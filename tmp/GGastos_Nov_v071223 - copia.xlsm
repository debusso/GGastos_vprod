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3.xml" ContentType="application/vnd.openxmlformats-officedocument.spreadsheetml.pivotTable+xml"/>
  <Override PartName="/xl/tables/table10.xml" ContentType="application/vnd.openxmlformats-officedocument.spreadsheetml.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showInkAnnotation="0"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C:\Users\debus\GGastos_vprod\"/>
    </mc:Choice>
  </mc:AlternateContent>
  <xr:revisionPtr revIDLastSave="0" documentId="13_ncr:1_{75911148-4114-4577-9B58-E780EE9687B4}" xr6:coauthVersionLast="47" xr6:coauthVersionMax="47" xr10:uidLastSave="{00000000-0000-0000-0000-000000000000}"/>
  <bookViews>
    <workbookView xWindow="20370" yWindow="-120" windowWidth="29040" windowHeight="15720" tabRatio="737" firstSheet="4" activeTab="13" xr2:uid="{00000000-000D-0000-FFFF-FFFF00000000}"/>
  </bookViews>
  <sheets>
    <sheet name="Menu" sheetId="3" r:id="rId1"/>
    <sheet name="Meses" sheetId="119" r:id="rId2"/>
    <sheet name="Debitos" sheetId="115" r:id="rId3"/>
    <sheet name="Creditos" sheetId="116" r:id="rId4"/>
    <sheet name="Naranja" sheetId="131" r:id="rId5"/>
    <sheet name="Registro_web" sheetId="122" r:id="rId6"/>
    <sheet name="Impuestos_2022" sheetId="4" state="hidden" r:id="rId7"/>
    <sheet name="Impuestos" sheetId="126" r:id="rId8"/>
    <sheet name="Impuestos_inmueble" sheetId="130" r:id="rId9"/>
    <sheet name="Impuestos_2023" sheetId="78" r:id="rId10"/>
    <sheet name="Gastos_pbi" sheetId="123" r:id="rId11"/>
    <sheet name="Gastos" sheetId="128" r:id="rId12"/>
    <sheet name="Saldos_pbi" sheetId="124" r:id="rId13"/>
    <sheet name="Saldos" sheetId="129" r:id="rId14"/>
    <sheet name="Prestamos" sheetId="7" state="hidden" r:id="rId15"/>
    <sheet name="CSeg Dolares" sheetId="10" r:id="rId16"/>
    <sheet name="Patrimonio" sheetId="11" r:id="rId17"/>
    <sheet name="Mensajes" sheetId="39" r:id="rId18"/>
    <sheet name="_xlwings.conf" sheetId="2" state="hidden" r:id="rId19"/>
  </sheets>
  <definedNames>
    <definedName name="DatosExternos_1" localSheetId="5" hidden="1">Registro_web!$A$1:$H$139</definedName>
    <definedName name="Print_Area" localSheetId="11">Gastos!$A$1:$J$8</definedName>
    <definedName name="Print_Area" localSheetId="13">Saldos!$A$3:$J$13</definedName>
  </definedNames>
  <calcPr calcId="191029" concurrentCalc="0"/>
  <pivotCaches>
    <pivotCache cacheId="0" r:id="rId20"/>
    <pivotCache cacheId="1" r:id="rId21"/>
    <pivotCache cacheId="2" r:id="rId22"/>
  </pivotCaches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9" i="10" l="1"/>
  <c r="K13" i="129"/>
  <c r="L13" i="129"/>
  <c r="J13" i="129"/>
  <c r="I13" i="129"/>
  <c r="F18" i="78"/>
  <c r="R5" i="78"/>
  <c r="R6" i="78"/>
  <c r="R7" i="78"/>
  <c r="R8" i="78"/>
  <c r="R9" i="78"/>
  <c r="R10" i="78"/>
  <c r="R11" i="78"/>
  <c r="R12" i="78"/>
  <c r="R13" i="78"/>
  <c r="R14" i="78"/>
  <c r="R15" i="78"/>
  <c r="R16" i="78"/>
  <c r="R17" i="78"/>
  <c r="G18" i="78"/>
  <c r="H18" i="78"/>
  <c r="I18" i="78"/>
  <c r="J18" i="78"/>
  <c r="K18" i="78"/>
  <c r="L18" i="78"/>
  <c r="M18" i="78"/>
  <c r="N18" i="78"/>
  <c r="O18" i="78"/>
  <c r="P18" i="78"/>
  <c r="Q18" i="78"/>
  <c r="H13" i="129"/>
  <c r="G13" i="129"/>
  <c r="F13" i="129"/>
  <c r="E13" i="129"/>
  <c r="D13" i="129"/>
  <c r="C13" i="129"/>
  <c r="B13" i="129"/>
  <c r="E13" i="10"/>
  <c r="E14" i="10"/>
  <c r="E15" i="10"/>
  <c r="C10" i="7"/>
  <c r="D10" i="7"/>
  <c r="E10" i="7"/>
  <c r="F10" i="7"/>
  <c r="G10" i="7"/>
  <c r="H10" i="7"/>
  <c r="I10" i="7"/>
  <c r="J10" i="7"/>
  <c r="K10" i="7"/>
  <c r="L10" i="7"/>
  <c r="M10" i="7"/>
  <c r="N10" i="7"/>
  <c r="O10" i="7"/>
  <c r="O9" i="7"/>
  <c r="O8" i="7"/>
  <c r="O7" i="7"/>
  <c r="O6" i="7"/>
  <c r="O5" i="7"/>
  <c r="R18" i="78"/>
  <c r="Q17" i="4"/>
  <c r="P17" i="4"/>
  <c r="O17" i="4"/>
  <c r="N17" i="4"/>
  <c r="M17" i="4"/>
  <c r="L17" i="4"/>
  <c r="K17" i="4"/>
  <c r="J17" i="4"/>
  <c r="I17" i="4"/>
  <c r="H17" i="4"/>
  <c r="G17" i="4"/>
  <c r="F10" i="4"/>
  <c r="F11" i="4"/>
  <c r="F12" i="4"/>
  <c r="F17" i="4"/>
  <c r="G55" i="116"/>
  <c r="G33" i="1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Respuestas de formulario 1" description="Conexión a la consulta 'Respuestas de formulario 1' en el libro." type="5" refreshedVersion="8" background="1" saveData="1">
    <dbPr connection="Provider=Microsoft.Mashup.OleDb.1;Data Source=$Workbook$;Location=&quot;Respuestas de formulario 1&quot;;Extended Properties=&quot;&quot;" command="SELECT * FROM [Respuestas de formulario 1]"/>
  </connection>
</connections>
</file>

<file path=xl/sharedStrings.xml><?xml version="1.0" encoding="utf-8"?>
<sst xmlns="http://schemas.openxmlformats.org/spreadsheetml/2006/main" count="5825" uniqueCount="844">
  <si>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</si>
  <si>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</si>
  <si>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</si>
  <si>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</si>
  <si>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</si>
  <si>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</si>
  <si>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</si>
  <si>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</si>
  <si>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</si>
  <si>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</si>
  <si>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</si>
  <si>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</si>
  <si>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</si>
  <si>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</si>
  <si>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</si>
  <si>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IMPUESTOS  2022 ( Esta Planilla es en realidad una Planilla de seguimiento)</t>
  </si>
  <si>
    <t>CUOTA 1</t>
  </si>
  <si>
    <t>CUOTA 2</t>
  </si>
  <si>
    <t>CUOTA 3</t>
  </si>
  <si>
    <t>CUOTA 4</t>
  </si>
  <si>
    <t>CUOTA 5</t>
  </si>
  <si>
    <t>CUOTA 6</t>
  </si>
  <si>
    <t>CUOTA 7</t>
  </si>
  <si>
    <t>CUOTA 8</t>
  </si>
  <si>
    <t>CUOTA 9</t>
  </si>
  <si>
    <t>CUOTA 10</t>
  </si>
  <si>
    <t>CUOTA 11</t>
  </si>
  <si>
    <t>CUOTA 12</t>
  </si>
  <si>
    <t>ADMINISTRACION</t>
  </si>
  <si>
    <t>TIPO</t>
  </si>
  <si>
    <t>DESCRIPCION</t>
  </si>
  <si>
    <t>CUENTA</t>
  </si>
  <si>
    <t>PLAN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</si>
  <si>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</si>
  <si>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</si>
  <si>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</si>
  <si>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</si>
  <si>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</si>
  <si>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</si>
  <si>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</si>
  <si>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</si>
  <si>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</si>
  <si>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</si>
  <si>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</si>
  <si>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ENE</t>
  </si>
  <si>
    <t>RENTAS</t>
  </si>
  <si>
    <t>AUTOMOTOR</t>
  </si>
  <si>
    <t>RENAULT SANDERO</t>
  </si>
  <si>
    <t>AA110NA</t>
  </si>
  <si>
    <t>MUNICBA</t>
  </si>
  <si>
    <t>AA110NA4</t>
  </si>
  <si>
    <t>RENAULT DUSTER</t>
  </si>
  <si>
    <t>AB269ST</t>
  </si>
  <si>
    <t>AB269ST3</t>
  </si>
  <si>
    <t>INMUEBLE</t>
  </si>
  <si>
    <t>Lote 13 Pileta VCParque</t>
  </si>
  <si>
    <t>Ledesma y Ceballos 1263 Colinas del Cerro</t>
  </si>
  <si>
    <t>Ledesma y Ceballos 1263 CAPITAL</t>
  </si>
  <si>
    <t>LOTE 14 CASA CHALET WALDEN VCPARQUE</t>
  </si>
  <si>
    <t>COMUVCPARQUE</t>
  </si>
  <si>
    <t>VCPMZ133LT14</t>
  </si>
  <si>
    <t>VCPMZ133LT13</t>
  </si>
  <si>
    <t>AFIP</t>
  </si>
  <si>
    <t>BIENES</t>
  </si>
  <si>
    <t>BIENES PERSONALES</t>
  </si>
  <si>
    <t>20-17534981-3</t>
  </si>
  <si>
    <t>31-Ene</t>
  </si>
  <si>
    <t>28-Feb</t>
  </si>
  <si>
    <t>31-Mar</t>
  </si>
  <si>
    <t>30-Abr</t>
  </si>
  <si>
    <t>31-May</t>
  </si>
  <si>
    <t>30-Jun</t>
  </si>
  <si>
    <t>31-Jul</t>
  </si>
  <si>
    <t>31-Ago</t>
  </si>
  <si>
    <t>30-Sep</t>
  </si>
  <si>
    <t>31-Oct</t>
  </si>
  <si>
    <t>30-Nov</t>
  </si>
  <si>
    <t>31-Dic</t>
  </si>
  <si>
    <t>ANUAL</t>
  </si>
  <si>
    <t>CONSUMO TARJETAS</t>
  </si>
  <si>
    <t>CONSUMO DEBITADO</t>
  </si>
  <si>
    <t>EFECTIVO GASTADO</t>
  </si>
  <si>
    <t>CONCEPTO</t>
  </si>
  <si>
    <t>HABERES</t>
  </si>
  <si>
    <t>EXTRAS</t>
  </si>
  <si>
    <t>CONSUMO</t>
  </si>
  <si>
    <t>IMPUESTOS</t>
  </si>
  <si>
    <t>AHORRO / DEFICIT</t>
  </si>
  <si>
    <t>SOLO A LOS FINES DE REGISTRO</t>
  </si>
  <si>
    <t>PRESTAMOS (DEUDA)</t>
  </si>
  <si>
    <t>REGISTRO LA DEVOLUCION DEL PRESTAMO (de un BANCO, YOLY o GABY)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</si>
  <si>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</si>
  <si>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</si>
  <si>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</si>
  <si>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</si>
  <si>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</si>
  <si>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</si>
  <si>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</si>
  <si>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</si>
  <si>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</si>
  <si>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</si>
  <si>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</si>
  <si>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</si>
  <si>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Prestamo Gaby</t>
  </si>
  <si>
    <t>Prestamo Yoly</t>
  </si>
  <si>
    <t>Total Mensual</t>
  </si>
  <si>
    <t>En esta hoja registro los prestamos que me pueda hacer yoly o Gaby. Al momento de cancelar la deuda debe quedar registrada en la hoja "Saldo Mensual". NO ESTAN CONECTADAS POR FORMULAS LAS HOJAS.</t>
  </si>
  <si>
    <t>El prestamo es un consumo exactamente igual que una Tarjeta de Crédito.</t>
  </si>
  <si>
    <t>Febrero: Gaby me presto 10.000 pesos ( YA DEVUELTO CON EL PAGO DE LA PC DE ESCRITORIO QUE COMPRO GABY )</t>
  </si>
  <si>
    <t>GABY me presto 500 Euros que equivalen a 25000 pesos (1 Euro = 50 pesos) para el viaje a Europa.</t>
  </si>
  <si>
    <t>11/06/2019 Transferi 25000 pesos a Gaby y devolvi los 500 Euros = 25000 pesos</t>
  </si>
  <si>
    <t>Total</t>
  </si>
  <si>
    <t>Tipo</t>
  </si>
  <si>
    <t>Comentario</t>
  </si>
  <si>
    <t xml:space="preserve"> </t>
  </si>
  <si>
    <t>Fecha</t>
  </si>
  <si>
    <t>Referencia</t>
  </si>
  <si>
    <t>Credito</t>
  </si>
  <si>
    <t>Debito</t>
  </si>
  <si>
    <t>Saldo</t>
  </si>
  <si>
    <t>DEPOSITO</t>
  </si>
  <si>
    <t>DEBITO</t>
  </si>
  <si>
    <t>EXTRACCION</t>
  </si>
  <si>
    <t xml:space="preserve">Deposito Inicial Caja de Seguridad. Todos los montos son cash (billete) dolar
</t>
  </si>
  <si>
    <t>Coti me dio 1000 dolares a cambio compro iphone7 y ropa</t>
  </si>
  <si>
    <t>Don Jacinto me dono 10000 dolares</t>
  </si>
  <si>
    <t>Compra Renault Sandero en $ 300.000 pesos De la Caja de Seguridad saque 2600 dolares para Gaby y 2600 dolares  para Yoly (5200)</t>
  </si>
  <si>
    <t>Deposité 7500 dolares. Lo saque de la Caja de Ahorros en Dolares del Banco de Cordoba por la turbulencia economica.</t>
  </si>
  <si>
    <t>COMPRA DE 400 DOLARES USA. (Cambio de 61.00 Pesos x Dolar)</t>
  </si>
  <si>
    <t>COMPRA DE 400 DOLARES USA. (Cambio de 72 Pesos x Dolar)</t>
  </si>
  <si>
    <t>Donacion Jacinto Busso en concepto Venta Casa de calle Apolinario Ribas</t>
  </si>
  <si>
    <t>Efectivo para Viaje Constanza a USA</t>
  </si>
  <si>
    <t>Coti me devolvio 1500 + 3000 dolares que compre en COIN</t>
  </si>
  <si>
    <t>Aqui registramos las inversiones, es decir, la diferencia a mi favor de (Ingresos - Gastos) fue invertido en un plazo fijo o lote o esta en la CA en pesos. La mejoras realizadas en una casa se considera una inversion.</t>
  </si>
  <si>
    <t xml:space="preserve">PATRIMONIO NETO = ACTIVOS - DEUDAS = (Efectivo de Cuentas + Efectivo de Caja de Seguridad + Propiedades + Autos) - DEUDAS </t>
  </si>
  <si>
    <t>Numero de Cuenta</t>
  </si>
  <si>
    <t>Saldo de Efectivo [Pesos]</t>
  </si>
  <si>
    <t>Saldo Caja de Ahorro [Pesos]</t>
  </si>
  <si>
    <t>'90020382809'</t>
  </si>
  <si>
    <t>Saldo Cuenta Corriente [Pesos]</t>
  </si>
  <si>
    <t>'90020382909'</t>
  </si>
  <si>
    <t>Saldo Caja de Ahorro [Dolares]</t>
  </si>
  <si>
    <t>Saldo Caja de Seguridad [Dolares]</t>
  </si>
  <si>
    <t>Dolares en casa</t>
  </si>
  <si>
    <t>Euros en  casa</t>
  </si>
  <si>
    <t xml:space="preserve">DEUDA O PASIVO </t>
  </si>
  <si>
    <t>PROPIEDADES</t>
  </si>
  <si>
    <t>Casa Colinas del Cerro</t>
  </si>
  <si>
    <t>Un valor aproximado.</t>
  </si>
  <si>
    <t>Casa Villa Ciudad Parque Calamuchita</t>
  </si>
  <si>
    <t>Dueño de 1/3 Dpto Casonas del Cerro</t>
  </si>
  <si>
    <t>U$S 150.000</t>
  </si>
  <si>
    <t>AUTOMOTORES</t>
  </si>
  <si>
    <t>MARCA</t>
  </si>
  <si>
    <t>MODELO</t>
  </si>
  <si>
    <t>COMPRA [Pesos]</t>
  </si>
  <si>
    <t>COMENTARIOS</t>
  </si>
  <si>
    <t>Ford KA Fly Viral 1.0</t>
  </si>
  <si>
    <t>Julio - 2009</t>
  </si>
  <si>
    <t>lo vendi el 16/11/2018 en 125.000 pesos</t>
  </si>
  <si>
    <t>Renault Duster 1.6 PH2 Privilege</t>
  </si>
  <si>
    <t>2017</t>
  </si>
  <si>
    <t>Compre 0 Kms.</t>
  </si>
  <si>
    <t>Renault Sandero 1.6 PH2 Dinamique</t>
  </si>
  <si>
    <t>2016</t>
  </si>
  <si>
    <t>Compre el 29/11/2018 usado con 20000 Kms</t>
  </si>
  <si>
    <t>Concepto</t>
  </si>
  <si>
    <t>Descripcion</t>
  </si>
  <si>
    <t>Compras Maestro POSNet</t>
  </si>
  <si>
    <t>CLEMENTE FULL SHOP</t>
  </si>
  <si>
    <t>DELICIUS</t>
  </si>
  <si>
    <t>Mantenimiento mundo Bancor</t>
  </si>
  <si>
    <t>IVA sobre comisión</t>
  </si>
  <si>
    <t>CARNES URCA SAS</t>
  </si>
  <si>
    <t>TRANSF.HB.EXENTO</t>
  </si>
  <si>
    <t>PAGO PEI- EXENTO</t>
  </si>
  <si>
    <t>ELECTROALEM</t>
  </si>
  <si>
    <t>Crédito Transferencia Cajero / HomeBanking</t>
  </si>
  <si>
    <t>Débito automatico recibido Camara</t>
  </si>
  <si>
    <t>TARJNARANJA2</t>
  </si>
  <si>
    <t>Pago de resumen desde Cajero / HomeBanking</t>
  </si>
  <si>
    <t>VISA EN PESOS-************7541</t>
  </si>
  <si>
    <t>Acreditación de Haberes TA</t>
  </si>
  <si>
    <t>EPEC - HABERES</t>
  </si>
  <si>
    <t>ALBERDI GNC</t>
  </si>
  <si>
    <t>Extracción ATM no propio</t>
  </si>
  <si>
    <t>AV R MENENDEZ PIDAL 4042 CAJERO EXPRESS        CO</t>
  </si>
  <si>
    <t>Interes por capitalización</t>
  </si>
  <si>
    <t>Columna1</t>
  </si>
  <si>
    <t>Gastos</t>
  </si>
  <si>
    <t>Tarjetas</t>
  </si>
  <si>
    <t>Impuestos</t>
  </si>
  <si>
    <t>Inversiones</t>
  </si>
  <si>
    <t>Extracciones</t>
  </si>
  <si>
    <t>Comentarios</t>
  </si>
  <si>
    <t>Haberes</t>
  </si>
  <si>
    <t>Extras</t>
  </si>
  <si>
    <t>23208706454-NAVAS, MARIA GABRIELA-VAR</t>
  </si>
  <si>
    <t>PANIFICADORA PUGLIESE</t>
  </si>
  <si>
    <t>Credito por pago de plazo fijo</t>
  </si>
  <si>
    <t>DEBIN</t>
  </si>
  <si>
    <t>LA GRUTA</t>
  </si>
  <si>
    <t>CERROPLAST</t>
  </si>
  <si>
    <t>TAREAS</t>
  </si>
  <si>
    <t>20268790099-AQUINO, JUAN MANUEL JORGE-VAR</t>
  </si>
  <si>
    <t>Descontar Impuestos del monto de Tarjetas</t>
  </si>
  <si>
    <t>27396891781-BUSSO/MARIA FLORENCIA-VAR</t>
  </si>
  <si>
    <t>Débito por plazo fijo LINK</t>
  </si>
  <si>
    <t>ALEJANDRO EL GRANDE</t>
  </si>
  <si>
    <t>PANADERIA Y CONFITERIA</t>
  </si>
  <si>
    <t>27396891781-BUSSO MARIA FLORENCIA-VAR</t>
  </si>
  <si>
    <t>TODO REPUESTOS</t>
  </si>
  <si>
    <t xml:space="preserve"> RAPIPAGO  / PCT 000000000945</t>
  </si>
  <si>
    <t>MUNDOPOLLO</t>
  </si>
  <si>
    <t>20406840043-Francisco David Busso-VAR</t>
  </si>
  <si>
    <t>Impuestos debitados en la Tarjeta Naranja</t>
  </si>
  <si>
    <t>CLAUDE</t>
  </si>
  <si>
    <t>DPTO MARISA EMILIO LAMARCA 4316</t>
  </si>
  <si>
    <t>DE PLANO</t>
  </si>
  <si>
    <t>GRIDO URCA</t>
  </si>
  <si>
    <t>MERPAGO*VETPLANET</t>
  </si>
  <si>
    <t>MERPAGO*VERDELIMON</t>
  </si>
  <si>
    <t>27413489879-SOSA MOLINA CECILIA ANTONELLA-VAR</t>
  </si>
  <si>
    <t>Compra Departamento en Emilio Lamarca 4316</t>
  </si>
  <si>
    <t>Departamento Emilio Lamarca 4316</t>
  </si>
  <si>
    <t>U$S 85.000</t>
  </si>
  <si>
    <t>Valor de compra del Departamento escriturado con Escribano Alejandro Tucci Garcia 6/12/2022</t>
  </si>
  <si>
    <t xml:space="preserve">Comision Mirco Hermida 3 % de 85000. </t>
  </si>
  <si>
    <t>EL Saldo en Caja de Seguridad al 6/12/22 es 20700 dolares.</t>
  </si>
  <si>
    <t>Periodo  a contabilizar :</t>
  </si>
  <si>
    <t>IMPUESTOS  2023 ( Esta Planilla es en realidad una Planilla de seguimiento)</t>
  </si>
  <si>
    <t>INGRESOS VS CONSUMOS 2023</t>
  </si>
  <si>
    <t>Monto</t>
  </si>
  <si>
    <t>NroComprobante</t>
  </si>
  <si>
    <t>CREDIN - TRANSFERENCIA GRAVADO SIRCREB</t>
  </si>
  <si>
    <t>20352910857-Ivan Maximiliano Lezcano-VAR</t>
  </si>
  <si>
    <t>Compra Cash Back PosNet en Comercio</t>
  </si>
  <si>
    <t>LIBERTAD SA</t>
  </si>
  <si>
    <t>MERPAGO*ELCATA</t>
  </si>
  <si>
    <t>MERPAGO*MIGRANJITA</t>
  </si>
  <si>
    <t>CONSTRULUZ</t>
  </si>
  <si>
    <t>MERPAGO*EAC</t>
  </si>
  <si>
    <t>RISSEN</t>
  </si>
  <si>
    <t>MERPAGO*KRATOS</t>
  </si>
  <si>
    <t>FARMACIA DE LA CLINICA</t>
  </si>
  <si>
    <t>MERPAGO*FERRETERAJUST</t>
  </si>
  <si>
    <t>PANADERIA JOANA</t>
  </si>
  <si>
    <t>GRIDO</t>
  </si>
  <si>
    <t>MERPAGO*CONTRUCCION</t>
  </si>
  <si>
    <t>MERPAGO*FERRE2M</t>
  </si>
  <si>
    <t>FERRELAS</t>
  </si>
  <si>
    <t>COOP DE LUZ Y FZA LTDA</t>
  </si>
  <si>
    <t>ACUARAMA</t>
  </si>
  <si>
    <t>MERPAGO*LAPATAESMIA</t>
  </si>
  <si>
    <t>FERRETERIA CERRO</t>
  </si>
  <si>
    <t>MERPAGO*QUELOMITOVGB</t>
  </si>
  <si>
    <t>GETNET *JOANA</t>
  </si>
  <si>
    <t>MERCADOPAGO*ELCATA</t>
  </si>
  <si>
    <t>CONFITERIA EL CIERVO R</t>
  </si>
  <si>
    <t>DSA FCIA CRISTAL</t>
  </si>
  <si>
    <t>COMUN. VA. CIUDAD PARQ</t>
  </si>
  <si>
    <t>MIL SABORES</t>
  </si>
  <si>
    <t>MERPAGO*LOSFIORETTI</t>
  </si>
  <si>
    <t>MERPAGO*FERRETERIAROQ</t>
  </si>
  <si>
    <t>LUGONES REPUESTOS</t>
  </si>
  <si>
    <t>20242813503-CENTENO/FERNANDO JOSE-VARvarios</t>
  </si>
  <si>
    <t>27364047520-ROCIO/MARIEL CATANIA-VAR</t>
  </si>
  <si>
    <t>TRANSF.  CREDITO HB -EXENTO</t>
  </si>
  <si>
    <t>27035534771-ANTHONIOZ, YOLANDA ELO-VAR</t>
  </si>
  <si>
    <t>TRANSF.CRED. IB PLAN INTER./PLUS PAGO PROVEED.</t>
  </si>
  <si>
    <t>30711367434 FRAGUEIRO Y NOVI</t>
  </si>
  <si>
    <t>27423847218-BUSSO, CONSTANZA CAROLINA-VAR</t>
  </si>
  <si>
    <t>23129889209-KRELL JORGE LEONARDO-VAR</t>
  </si>
  <si>
    <t>051701600600000/6</t>
  </si>
  <si>
    <t>051704000700001/6</t>
  </si>
  <si>
    <t>SHELL ALCANO</t>
  </si>
  <si>
    <t>ELECTRONICA ARGENTINA</t>
  </si>
  <si>
    <t>MERPAGO*KOSTURITAS</t>
  </si>
  <si>
    <t>MERPAGO*DEOLINDA</t>
  </si>
  <si>
    <t>MERPAGO*HIDROBOSS</t>
  </si>
  <si>
    <t>PINTURERIA CERRO</t>
  </si>
  <si>
    <t>CASA DE PEDRO</t>
  </si>
  <si>
    <t>ESSO SERV MEDIAR</t>
  </si>
  <si>
    <t>POSITANO RESTOBAR</t>
  </si>
  <si>
    <t>27396891781-BUSSO/MARIA FLORENCIA-VARAporte casa</t>
  </si>
  <si>
    <t>Extracción ATM propio banco</t>
  </si>
  <si>
    <t>AV. RAFAEL NUNEZ 3706 BCO. PROV. DE CORDOBA C.D.L</t>
  </si>
  <si>
    <t>AV. CARDENOSA 3250 BCO. PROV. DE CORDOBA CORDOBA</t>
  </si>
  <si>
    <t>AV. MITRE 353 BCO. PROV. DE CORDOBA CORDOBA</t>
  </si>
  <si>
    <t>33628302729-FUERZA AEREA ARGENTINA-CUO</t>
  </si>
  <si>
    <t>20223739432-EHLERS, CLAUDIO ALEJANDRO-FAC</t>
  </si>
  <si>
    <t>20119485194-REY CARLOS OMAR-VAR</t>
  </si>
  <si>
    <t>23376271099-PEDRAZA IGNACIO BERNABE-VAR</t>
  </si>
  <si>
    <t>MERPAGO*FERRETADAMOLI</t>
  </si>
  <si>
    <t>MERPAGO*FERRETERIAFEB</t>
  </si>
  <si>
    <t>LUBRICANTES Y SERVICIO</t>
  </si>
  <si>
    <t>MERPAGO*CITYPARK</t>
  </si>
  <si>
    <t>MERPAGO*MOSCATEL</t>
  </si>
  <si>
    <t>SYS DISTRIBUIDORA</t>
  </si>
  <si>
    <t>LA MERCERIA</t>
  </si>
  <si>
    <t>LA CELESTE</t>
  </si>
  <si>
    <t>MERPAGO*LATRADICION</t>
  </si>
  <si>
    <t>MERPAGO*NATYVOS</t>
  </si>
  <si>
    <t>PINTURERIAS REX</t>
  </si>
  <si>
    <t>SERVICIOS SAN NICOLAS</t>
  </si>
  <si>
    <t>LA FABRICA</t>
  </si>
  <si>
    <t>PLAYA PALERMO</t>
  </si>
  <si>
    <t>BAZZAR</t>
  </si>
  <si>
    <t>BOCATTO</t>
  </si>
  <si>
    <t>20227745607-PEIROTTI/CARLOS FER-VARpago nic</t>
  </si>
  <si>
    <t>20144012764-antonio jose lucantis-VAR</t>
  </si>
  <si>
    <t>AV. RAFAEL NUNEZ 3918 BCO. PROV. DE CORDOBA CORDO</t>
  </si>
  <si>
    <t>BARTOLOMÉ MITRE 353 BCO. PROV. DE CORDOBA CORDOBA</t>
  </si>
  <si>
    <t>Extracción en efectivo InterSucursal</t>
  </si>
  <si>
    <t>33582498739-DAYPLAS SA-VAR</t>
  </si>
  <si>
    <t>27271723402-ESQUENAZI CLAUDIA-CUO</t>
  </si>
  <si>
    <t>20111929530-CEBALLOS MARIO AUGUSTO-HON</t>
  </si>
  <si>
    <t>27396222235-AZAR MOIRA CAROLINA-VAR</t>
  </si>
  <si>
    <t>Transferencia Crédito OPJ mismo Banco</t>
  </si>
  <si>
    <t>NRO.EXP. 0653637000</t>
  </si>
  <si>
    <t>Compramos 1500 dolares a 475 pesos = 712500 pesos</t>
  </si>
  <si>
    <t>Comida / Vestido</t>
  </si>
  <si>
    <t>Transporte / Mecanica</t>
  </si>
  <si>
    <t>Construccion / Mantenimiento</t>
  </si>
  <si>
    <t>Entretenimiento / Vacaciones / Viajes</t>
  </si>
  <si>
    <t>TOTAL</t>
  </si>
  <si>
    <t>NATYVOSBIOALMACEN</t>
  </si>
  <si>
    <t>De a Deveras</t>
  </si>
  <si>
    <t>ABASTO SOLUCIONES</t>
  </si>
  <si>
    <t>MERPAGO*LACHURRERIA</t>
  </si>
  <si>
    <t>BASICOS DECORACION</t>
  </si>
  <si>
    <t>MV HERRAJES</t>
  </si>
  <si>
    <t>PINTE CORD</t>
  </si>
  <si>
    <t>PINTURERIA SZUMIK</t>
  </si>
  <si>
    <t>ALMACEN FERRETERO</t>
  </si>
  <si>
    <t>ANDREA FRANCESCHINI</t>
  </si>
  <si>
    <t>Débito DEBIN</t>
  </si>
  <si>
    <t>30703088534-MERCADOLIBRE SRL-VAR</t>
  </si>
  <si>
    <t>REINTEGRO CARNICERIAS MINORISTAS</t>
  </si>
  <si>
    <t>Compra -Carniceria- por -          2.630,00</t>
  </si>
  <si>
    <t>Compra -Carniceria- por -            350,00</t>
  </si>
  <si>
    <t>Compra -Carniceria- por -            900,00</t>
  </si>
  <si>
    <t>Compra -Carniceria- por -            940,00</t>
  </si>
  <si>
    <t>Compra -Carniceria- por -          5.320,00</t>
  </si>
  <si>
    <t>Compra -Carniceria- por -          3.539,00</t>
  </si>
  <si>
    <t>Compra -Carniceria- por -          3.263,90</t>
  </si>
  <si>
    <t>Compra -Carniceria- por -          3.044,25</t>
  </si>
  <si>
    <t>Compra -Carniceria- por -          2.926,00</t>
  </si>
  <si>
    <t>Compra -Carniceria- por -            950,00</t>
  </si>
  <si>
    <t>Compra -Carniceria- por -          1.850,00</t>
  </si>
  <si>
    <t>Compra -Carniceria- por -          2.040,00</t>
  </si>
  <si>
    <t>27275406606-PUSSETTO  VANESA-HON</t>
  </si>
  <si>
    <t>20179097622-VOTA, GUSTAVO JAVIER-VAR</t>
  </si>
  <si>
    <t>30646951239-ASOC DEL PERSONAL SUPERIOR DE EPEC(APSE)-VAR</t>
  </si>
  <si>
    <t>20207854760-OYOLA, PABLO DANTE-VAR</t>
  </si>
  <si>
    <t>30707692711-SOCIEDAD DE MISIONEROS DIOCESANOS SAN JU-CUO</t>
  </si>
  <si>
    <t>20111929530-CEBALLOS MARIO AUGUSTO-VAR</t>
  </si>
  <si>
    <t>Impuestos debitados en Tarjeta Naranja</t>
  </si>
  <si>
    <t>Descontar Impuestos de la Tarjeta</t>
  </si>
  <si>
    <t>Medio de Pago</t>
  </si>
  <si>
    <t>Efectivo</t>
  </si>
  <si>
    <t>Detalles</t>
  </si>
  <si>
    <t>MMAAAA</t>
  </si>
  <si>
    <t>Cantina Epec</t>
  </si>
  <si>
    <t>Criollitos</t>
  </si>
  <si>
    <t>FERRETERIA LAMARCA</t>
  </si>
  <si>
    <t>MERCADOPAGO*ROYAL</t>
  </si>
  <si>
    <t>MERPAGO*APESARDETODO</t>
  </si>
  <si>
    <t>LA BANDEROLA ABERTURAS</t>
  </si>
  <si>
    <t>MERPAGO*VERFULERIA</t>
  </si>
  <si>
    <t>RUCA QUIMEY</t>
  </si>
  <si>
    <t>FERRETERIA RISTAGNO</t>
  </si>
  <si>
    <t>SANITARIOS BEDOYA</t>
  </si>
  <si>
    <t>MERPAGO*FERRETERIAHIP</t>
  </si>
  <si>
    <t>CASA ROMERO</t>
  </si>
  <si>
    <t>MERPAGO*LEZCANO</t>
  </si>
  <si>
    <t>MERCADOPAGO*NATURALFRU</t>
  </si>
  <si>
    <t>23338935439-ZURCHER MAURICIO EZEQUIEL-VAR</t>
  </si>
  <si>
    <t>20175349813-BUSSO, DANIEL EDUARDO-VAR</t>
  </si>
  <si>
    <t>Débito operación de cambio ME Plat. digital</t>
  </si>
  <si>
    <t>IMPUESTO P.A.I.S.</t>
  </si>
  <si>
    <t>PERCEP GAN. TENENCIA RG 4815/20 - RESTO</t>
  </si>
  <si>
    <t>TRANSF.  CREDITO HB - GRAVADO SIRCREB</t>
  </si>
  <si>
    <t>27423847218-BUSSO, CONSTANZA CAROL-VAR</t>
  </si>
  <si>
    <t>27035534771-ANTHONIOZ, YOLANDA ELO-CUO</t>
  </si>
  <si>
    <t>20085381777-BRADASCHIA,ITALO BENIT-VAR</t>
  </si>
  <si>
    <t>20406840043-BUSSO, DAVID FRANCISCO-VAR</t>
  </si>
  <si>
    <t>27297165955-VILCHEZ MARIA FLORENCIA-HON</t>
  </si>
  <si>
    <t>27103788469-TRINCHERI, ANA MARIA-VAR</t>
  </si>
  <si>
    <t>Cortinas Broderie</t>
  </si>
  <si>
    <t>Carpintero</t>
  </si>
  <si>
    <t>Albañil Cesar Sayez</t>
  </si>
  <si>
    <t>Gasista</t>
  </si>
  <si>
    <t>Puerta nueva</t>
  </si>
  <si>
    <t>Compra 200 dolares</t>
  </si>
  <si>
    <t>Postre</t>
  </si>
  <si>
    <t>Ayudas Economicas / Donaciones / Varios</t>
  </si>
  <si>
    <t>REMESA DAVID</t>
  </si>
  <si>
    <t>Hotel Portal del Lago</t>
  </si>
  <si>
    <t>Restaurant Portal del Lago</t>
  </si>
  <si>
    <t>Restaurant Villa Paz</t>
  </si>
  <si>
    <t>Alfajores La Quinta</t>
  </si>
  <si>
    <t>Panaderia El Vergel</t>
  </si>
  <si>
    <t>Salud / Farmacia</t>
  </si>
  <si>
    <t>Farmacia CRISTAL</t>
  </si>
  <si>
    <t>PEAJES CORDOBA</t>
  </si>
  <si>
    <t>Peajes</t>
  </si>
  <si>
    <t>Deposite 300 dolares (los saque de la caja de ahorros en dolares de Banco de cba)</t>
  </si>
  <si>
    <t>Pago de Resumen de Tarjetas</t>
  </si>
  <si>
    <t>NARANJA</t>
  </si>
  <si>
    <t>VISA HIPOTECARIO</t>
  </si>
  <si>
    <t>Pago del Resumen de VISA Hipotecario</t>
  </si>
  <si>
    <t>COOPERATIVA  VGBELGRANO - ENERGIA y CABLE</t>
  </si>
  <si>
    <t xml:space="preserve">VISA NARANJA </t>
  </si>
  <si>
    <t>COMUNA VCPARQUE SERVICIO DE AGUA</t>
  </si>
  <si>
    <t>VISA NARANJA</t>
  </si>
  <si>
    <t>VENTA CALLE EPEC</t>
  </si>
  <si>
    <t>Salame y Quezo señor en calle Tablada Epec</t>
  </si>
  <si>
    <t>Parking</t>
  </si>
  <si>
    <t xml:space="preserve">Estacionamiento psiquiatra Florencia </t>
  </si>
  <si>
    <t>Comuna de Villa Ciudad Parque</t>
  </si>
  <si>
    <t>Compra de 200 dolares</t>
  </si>
  <si>
    <t>Bulonera</t>
  </si>
  <si>
    <t>Círculo casa javier</t>
  </si>
  <si>
    <t>BULONERA</t>
  </si>
  <si>
    <t>Electricidad</t>
  </si>
  <si>
    <t>Cortinas Casa Lamarca</t>
  </si>
  <si>
    <t>Playa en Pabellon Argentina</t>
  </si>
  <si>
    <t>Restaurant ITALY</t>
  </si>
  <si>
    <t>SHELL ALCANO SDA FAMILIA</t>
  </si>
  <si>
    <t xml:space="preserve">Cantina Epec </t>
  </si>
  <si>
    <t>Vidriería Sucre</t>
  </si>
  <si>
    <t>Boutiques Paraguay 320</t>
  </si>
  <si>
    <t xml:space="preserve">Peajes </t>
  </si>
  <si>
    <t>La gruta</t>
  </si>
  <si>
    <t xml:space="preserve">GNC falda del Carmen </t>
  </si>
  <si>
    <t xml:space="preserve">Pugliese </t>
  </si>
  <si>
    <t>MERPAGO*EQUUS</t>
  </si>
  <si>
    <t>FERRETERIA TRONCA</t>
  </si>
  <si>
    <t>SUCRE VIDRIOS</t>
  </si>
  <si>
    <t>PedidosYa</t>
  </si>
  <si>
    <t>VIVERO LA NONA</t>
  </si>
  <si>
    <t>IMPRENTA MARIELA</t>
  </si>
  <si>
    <t>LA FAMILIA</t>
  </si>
  <si>
    <t>MERPAGO*GOURMETSANDWI</t>
  </si>
  <si>
    <t>Locación Caja de Seguridad</t>
  </si>
  <si>
    <t>Compra -Carniceria- por -          6.456,95</t>
  </si>
  <si>
    <t>Compra -Carniceria- por -          4.707,33</t>
  </si>
  <si>
    <t>Compra -Carniceria- por -          4.446,20</t>
  </si>
  <si>
    <t>Compra -Carniceria- por -          4.000,00</t>
  </si>
  <si>
    <t>Compra -Carniceria- por -          3.847,76</t>
  </si>
  <si>
    <t>Compra -Carniceria- por -          5.785,16</t>
  </si>
  <si>
    <t>Compra -Carniceria- por -          2.300,00</t>
  </si>
  <si>
    <t>Compra -Carniceria- por -          2.550,00</t>
  </si>
  <si>
    <t>Compra -Carniceria- por -          3.166,10</t>
  </si>
  <si>
    <t>Compra -Carniceria- por -          4.270,00</t>
  </si>
  <si>
    <t>Compra -Carniceria- por -          4.481,43</t>
  </si>
  <si>
    <t>30668681766-COMUNA DE VILLA CIUDAD PARQUE LOS REARTE-FAC</t>
  </si>
  <si>
    <t>Salame y queso Epec</t>
  </si>
  <si>
    <t xml:space="preserve">Círculo San Antonio de Padua </t>
  </si>
  <si>
    <t>Morocho heroe</t>
  </si>
  <si>
    <t>Peluquería Don Yovino</t>
  </si>
  <si>
    <t>Áxion nafta super</t>
  </si>
  <si>
    <t>Polidori pastas</t>
  </si>
  <si>
    <t>Abuelo fuego</t>
  </si>
  <si>
    <t>Taller Trabuco Oblea</t>
  </si>
  <si>
    <t>Ferretería Lamarca</t>
  </si>
  <si>
    <t xml:space="preserve">Verdulería villa ciudad parque </t>
  </si>
  <si>
    <t>Peaje</t>
  </si>
  <si>
    <t xml:space="preserve">Panadería alta gracia </t>
  </si>
  <si>
    <t xml:space="preserve">GNC alta gracia </t>
  </si>
  <si>
    <t xml:space="preserve">El cata ciudad parque </t>
  </si>
  <si>
    <t xml:space="preserve">Ferretería ciudad parque </t>
  </si>
  <si>
    <t>Ayudas Economicas / Donaciones</t>
  </si>
  <si>
    <t xml:space="preserve">Iglesia </t>
  </si>
  <si>
    <t xml:space="preserve">Naranjita </t>
  </si>
  <si>
    <t>Tadicor</t>
  </si>
  <si>
    <t xml:space="preserve">Varios </t>
  </si>
  <si>
    <t>CANCELACION ADELANTO DE HABERES</t>
  </si>
  <si>
    <t>MERPAGO*GROPIUS</t>
  </si>
  <si>
    <t>ABUELO FUEGO</t>
  </si>
  <si>
    <t>REPUESTOS GOMEZ</t>
  </si>
  <si>
    <t>TRABUCCO CARLOS FRANCO</t>
  </si>
  <si>
    <t>TRAZO DE COLORES</t>
  </si>
  <si>
    <t>PORTONES EHLERS</t>
  </si>
  <si>
    <t>MERPAGO*NATURALFRUIT</t>
  </si>
  <si>
    <t>MERPAGO*HERIBERTAPOLL</t>
  </si>
  <si>
    <t>MERCADOPAGO*MERCADOLIB</t>
  </si>
  <si>
    <t>MERPAGO*GRIDOURCA</t>
  </si>
  <si>
    <t>20407715404-Federico Garzon Sosa-VAR</t>
  </si>
  <si>
    <t>20407715404-Federico Garzon Sosa-HON</t>
  </si>
  <si>
    <t>Débito Complemento Tarjeta VISA</t>
  </si>
  <si>
    <t>TARJ.VISA COMPLEMETO CA</t>
  </si>
  <si>
    <t>Débito mínimo tarjeta VISA</t>
  </si>
  <si>
    <t>TARJETA VISA</t>
  </si>
  <si>
    <t>Compra -Carniceria- por -          5.654,96</t>
  </si>
  <si>
    <t>Compra -Carniceria- por -          1.612,00</t>
  </si>
  <si>
    <t>Compra -Carniceria- por -          5.193,03</t>
  </si>
  <si>
    <t>Compra -Carniceria- por -          2.339,17</t>
  </si>
  <si>
    <t>Compra -Carniceria- por -          3.780,00</t>
  </si>
  <si>
    <t>Compra -Carniceria- por -          4.309,50</t>
  </si>
  <si>
    <t>Compra -Carniceria- por -          1.000,00</t>
  </si>
  <si>
    <t>20204536695-VARTANIAN SERGIO ALEJANDRO-HON</t>
  </si>
  <si>
    <t>20177204014-FERREIRA SOBRAL, EDUARDO ALEJANDRO-VAR</t>
  </si>
  <si>
    <t>30711858586-CUISINE ART S.A.-FAC</t>
  </si>
  <si>
    <t>27263758310-MARTINEZ  VIRGINIA N-HON</t>
  </si>
  <si>
    <t>VIAJE CONSTANZA</t>
  </si>
  <si>
    <t>Categoria</t>
  </si>
  <si>
    <t>GASTO</t>
  </si>
  <si>
    <t>EGRESOS</t>
  </si>
  <si>
    <t xml:space="preserve">Plomero Ezequiel </t>
  </si>
  <si>
    <t xml:space="preserve">Conexión cocina </t>
  </si>
  <si>
    <t xml:space="preserve">Técnico Sebastián </t>
  </si>
  <si>
    <t>Cambio de batería UPS</t>
  </si>
  <si>
    <t xml:space="preserve">Nafta Sandero </t>
  </si>
  <si>
    <t>Salame Epec</t>
  </si>
  <si>
    <t>Control portón ehlers</t>
  </si>
  <si>
    <t>Sombrero 63 mm</t>
  </si>
  <si>
    <t>Rifa AVEIT</t>
  </si>
  <si>
    <t>Queso rayar</t>
  </si>
  <si>
    <t>Compra de Dolares</t>
  </si>
  <si>
    <t xml:space="preserve">Ferretería </t>
  </si>
  <si>
    <t xml:space="preserve">Panadería VCParque </t>
  </si>
  <si>
    <t xml:space="preserve">Confitería los molinos </t>
  </si>
  <si>
    <t xml:space="preserve">Parada Carlos Paz </t>
  </si>
  <si>
    <t>Farmacia Menéndez pidal</t>
  </si>
  <si>
    <t>Interés saldo deudor cuenta adelanto</t>
  </si>
  <si>
    <t>30545879138-SANATORIO MORRA S.A.-VAR</t>
  </si>
  <si>
    <t>AL MALEK</t>
  </si>
  <si>
    <t>Compra -Carniceria- por -          5.480,56</t>
  </si>
  <si>
    <t>Compra -Carniceria- por -          1.350,00</t>
  </si>
  <si>
    <t>Compra -Carniceria- por -          2.810,00</t>
  </si>
  <si>
    <t>Compra -Carniceria- por -          5.887,01</t>
  </si>
  <si>
    <t>Compra -Carniceria- por -          4.385,05</t>
  </si>
  <si>
    <t>Compra -Carniceria- por -          7.570,00</t>
  </si>
  <si>
    <t>23207862789-MALDONADO  DE LA TORR CARLOS JULIO-VAR</t>
  </si>
  <si>
    <t>20374756630-MORAN FERNANDO JAVIER-VAR</t>
  </si>
  <si>
    <t>DI FILIPPO MARIA CLAU</t>
  </si>
  <si>
    <t>MERPAGO*PARQEMVT</t>
  </si>
  <si>
    <t>20254577821-Sebastian Omar Buyatti-VAR</t>
  </si>
  <si>
    <t>CASA CRIOLLA</t>
  </si>
  <si>
    <t>ASPEN</t>
  </si>
  <si>
    <t>30714799939-OS VIAJES TDH SRL-VAR</t>
  </si>
  <si>
    <t>23208706454-NAVAS, MARIA GABRIELA-VARGABI</t>
  </si>
  <si>
    <t>FECHA</t>
  </si>
  <si>
    <t>CUOTA</t>
  </si>
  <si>
    <t>MEDIO DE PAGO</t>
  </si>
  <si>
    <t>MONTO</t>
  </si>
  <si>
    <t>120106758617</t>
  </si>
  <si>
    <t>110109729043</t>
  </si>
  <si>
    <t>120106758625</t>
  </si>
  <si>
    <t>110124049806</t>
  </si>
  <si>
    <t>VARIOS</t>
  </si>
  <si>
    <t>Mes</t>
  </si>
  <si>
    <t>Anio</t>
  </si>
  <si>
    <t>Dia-Mes</t>
  </si>
  <si>
    <t>Suma de Monto</t>
  </si>
  <si>
    <t>Total general</t>
  </si>
  <si>
    <t>Etiquetas de columna</t>
  </si>
  <si>
    <t>ene</t>
  </si>
  <si>
    <t>feb</t>
  </si>
  <si>
    <t>mar</t>
  </si>
  <si>
    <t>abr</t>
  </si>
  <si>
    <t>may</t>
  </si>
  <si>
    <t>jun</t>
  </si>
  <si>
    <t>jul</t>
  </si>
  <si>
    <t>ago</t>
  </si>
  <si>
    <t>Etiquetas de fila</t>
  </si>
  <si>
    <t>Tengo que generar la tabla dinamica de impuestos</t>
  </si>
  <si>
    <t xml:space="preserve">Nueces Tunuyán </t>
  </si>
  <si>
    <t>Viaje a Mendoza - Iman</t>
  </si>
  <si>
    <t>Postresito</t>
  </si>
  <si>
    <t>Bebidas</t>
  </si>
  <si>
    <t xml:space="preserve">Bebidas </t>
  </si>
  <si>
    <t>Uber</t>
  </si>
  <si>
    <t>Taxi</t>
  </si>
  <si>
    <t>Comida</t>
  </si>
  <si>
    <t xml:space="preserve">Pastelito </t>
  </si>
  <si>
    <t>Sombra de ojos</t>
  </si>
  <si>
    <t>Botas nieve</t>
  </si>
  <si>
    <t xml:space="preserve">Guantes para nieve </t>
  </si>
  <si>
    <t>GASTOS = CONSUMO + IMPUESTOS  2023</t>
  </si>
  <si>
    <t>Suma de MONTO</t>
  </si>
  <si>
    <t>IMPUESTOS 2023</t>
  </si>
  <si>
    <t>PERIODO</t>
  </si>
  <si>
    <t>TARJETA</t>
  </si>
  <si>
    <t>CUPON</t>
  </si>
  <si>
    <t>DETALLE</t>
  </si>
  <si>
    <t>CUOTA_PLAN</t>
  </si>
  <si>
    <t>PESOS</t>
  </si>
  <si>
    <t>DOLARES</t>
  </si>
  <si>
    <t>COMENTARIO</t>
  </si>
  <si>
    <t>Ago-2023</t>
  </si>
  <si>
    <t>Naranja X</t>
  </si>
  <si>
    <t>CETROGAR S.A.</t>
  </si>
  <si>
    <t>MUNICIPALIDAD CBA INTERNET</t>
  </si>
  <si>
    <t>PINTECORD PINTURERIAS</t>
  </si>
  <si>
    <t>ZETA JUN/23</t>
  </si>
  <si>
    <t>COMISION POR RENOVACION</t>
  </si>
  <si>
    <t>NETFLIX</t>
  </si>
  <si>
    <t>ALCANO SRL</t>
  </si>
  <si>
    <t>TADICOR</t>
  </si>
  <si>
    <t>Zeta</t>
  </si>
  <si>
    <t>ELECTRO ALEM</t>
  </si>
  <si>
    <t>FARMACITY</t>
  </si>
  <si>
    <t>ZETA JUL/23</t>
  </si>
  <si>
    <t>RENTAS INM. - 120106758617 - 10/07/2023 - 2023/ 6</t>
  </si>
  <si>
    <t>Deb.Aut.</t>
  </si>
  <si>
    <t>RENTAS INM. - 110109729043 - 10/07/2023 - 2023/ 6</t>
  </si>
  <si>
    <t>RENTAS INM. - 120106758625 - 10/07/2023 - 2023/ 6</t>
  </si>
  <si>
    <t>RENTAS INM. - 110124049806 - 10/07/2023 - 2023/ 6</t>
  </si>
  <si>
    <t>RENTAS AUT. - AA110NA - 10/07/2023 - 2023/ 6</t>
  </si>
  <si>
    <t>RENTAS AUT. - AB269ST - 10/07/2023 - 2023/ 6</t>
  </si>
  <si>
    <t>CLARO DEBITO- 21500249600 - 27/07/2023</t>
  </si>
  <si>
    <t>AXION M EL ARCO</t>
  </si>
  <si>
    <t>ESTACION DE SERVICIO BIFUEL</t>
  </si>
  <si>
    <t>SERVICENTRO GAUSS</t>
  </si>
  <si>
    <t>E.P.E.C     - 0095956702 - 24/07/2023 - 2023/80</t>
  </si>
  <si>
    <t>AGUAS CORDOB- 637465 - 17/07/2023 - 2023/ 6</t>
  </si>
  <si>
    <t>ECOGAS      - 20750347 / 2023</t>
  </si>
  <si>
    <t>MUN.DE.CBA. - AA110NA4 - 11/08/2023 - 2023/ 7</t>
  </si>
  <si>
    <t>MUN.DE.CBA. - AB269ST3 - 11/08/2023 - 2023/ 7</t>
  </si>
  <si>
    <t>MUN.DE.CBA  - 0517016006000006 - 10/08/2023 - 202</t>
  </si>
  <si>
    <t>ESSO VELEZ SARFIELD</t>
  </si>
  <si>
    <t>SHELL TROPEZON</t>
  </si>
  <si>
    <t>NX Visa</t>
  </si>
  <si>
    <t>SOCIEDAD SAN JU  BUS948</t>
  </si>
  <si>
    <t>DLOCAL*PRIME VIDEO</t>
  </si>
  <si>
    <t>CONS PROF CS INF 000000000002094</t>
  </si>
  <si>
    <t>LACAJASEGURO  0000021396784-004-000</t>
  </si>
  <si>
    <t>MERPAGO LIDERCOACHPRO</t>
  </si>
  <si>
    <t>INST SAL SAN FRA ISSF00000018469</t>
  </si>
  <si>
    <t>PAY PER TIC SA</t>
  </si>
  <si>
    <t>AGUAS CORDOBESA  0000402984</t>
  </si>
  <si>
    <t>ALT SA</t>
  </si>
  <si>
    <t>RADIO MARIA ARG  000000002620391</t>
  </si>
  <si>
    <t>CILSA            000000000470029</t>
  </si>
  <si>
    <t>SAN CRISTOBAL 1030131138405-001-000</t>
  </si>
  <si>
    <t>YPF URCA</t>
  </si>
  <si>
    <t>Formato:</t>
  </si>
  <si>
    <t>Total Inmueble</t>
  </si>
  <si>
    <t>Total Adm</t>
  </si>
  <si>
    <t>AÑO</t>
  </si>
  <si>
    <t>2023</t>
  </si>
  <si>
    <t>1. Cargar  automaticamente los impuestos de la tabla Naranja a la tabla impuestos. Para evitar carga.  ???</t>
  </si>
  <si>
    <t>2. Probar conector a base sqlite3 desde Excel y Power BI</t>
  </si>
  <si>
    <t>3. Quedo pendiente lectura Resumen Naranja con pdfplumber 0.10.2</t>
  </si>
  <si>
    <t>900 0016316904'</t>
  </si>
  <si>
    <t>RED SARMIENTO FCIA BEN</t>
  </si>
  <si>
    <t>MERPAGO*ANUBIS</t>
  </si>
  <si>
    <t>CHOCOLEZZA</t>
  </si>
  <si>
    <t>MERPAGO*NUTRIVERDE</t>
  </si>
  <si>
    <t>MERPAGO*BAUDRON</t>
  </si>
  <si>
    <t>MERPAGO*NOELIAVILA</t>
  </si>
  <si>
    <t>MARIA B SOLDANO Y CIA</t>
  </si>
  <si>
    <t>MERPAGO*FARMACIASOLIS</t>
  </si>
  <si>
    <t>GRIDO PLAZA INDEPENDEN</t>
  </si>
  <si>
    <t>Compra -Carniceria- por -            812,25</t>
  </si>
  <si>
    <t>YPF VOLCAN DE FUEGO</t>
  </si>
  <si>
    <t>30711933200-AIKU SOCIEDAD ANONIM-VAR</t>
  </si>
  <si>
    <t>Compra -Carniceria- por -            790,00</t>
  </si>
  <si>
    <t>Compra -Carniceria- por -          3.441,75</t>
  </si>
  <si>
    <t>Compra -Carniceria- por -          8.806,50</t>
  </si>
  <si>
    <t>Compra -Carniceria- por -          2.700,00</t>
  </si>
  <si>
    <t>Compra -Carniceria- por -          4.830,00</t>
  </si>
  <si>
    <t>Compra -Carniceria- por -          6.000,00</t>
  </si>
  <si>
    <t>27185121777-FERREYRA SANDRA ROSANA-VAR</t>
  </si>
  <si>
    <t>MERPAGO*FIAMBRERIA</t>
  </si>
  <si>
    <t>HELADERIA GRIDO</t>
  </si>
  <si>
    <t>ESTACION DE SERV ELOY</t>
  </si>
  <si>
    <t>AXION SPOT</t>
  </si>
  <si>
    <t>OLIVICOLA BOUTIQUE</t>
  </si>
  <si>
    <t>23252514104-RAMIREZ/MARIANA EUGENI-VAR</t>
  </si>
  <si>
    <t>20406840043-Francisco David Busso-FAC</t>
  </si>
  <si>
    <t>27423847218-CONSTANZA CAROLINA BUSSO-VAR</t>
  </si>
  <si>
    <t>LOMITERIA DEL VALLE</t>
  </si>
  <si>
    <t>27263758310-MARTINEZ  VIRGINIA N-VAR</t>
  </si>
  <si>
    <t>MERPAGO*AGROPARQUE23</t>
  </si>
  <si>
    <t>MERPAGO*SNOOPY</t>
  </si>
  <si>
    <t>20428907079-LEANDRO AGUSTIN PIZARRO SPINI-VAR</t>
  </si>
  <si>
    <t>NEUMATICOS MADEIRA</t>
  </si>
  <si>
    <t>27361735213-GIOVANNA BOSSIO-VAR</t>
  </si>
  <si>
    <t>ZETA AGO/23</t>
  </si>
  <si>
    <t>CLARO DEBITO- 21500249600 - 28/08/2023</t>
  </si>
  <si>
    <t>RENTAS INM. - 120106758617 - 10/08/2023 - 2023/ 7</t>
  </si>
  <si>
    <t>RENTAS INM. - 110109729043 - 10/08/2023 - 2023/ 7</t>
  </si>
  <si>
    <t>RENTAS INM. - 120106758625 - 10/08/2023 - 2023/ 7</t>
  </si>
  <si>
    <t>RENTAS INM. - 110124049806 - 10/08/2023 - 2023/ 7</t>
  </si>
  <si>
    <t>RENTAS AUT. - AA110NA - 10/08/2023 - 2023/ 7</t>
  </si>
  <si>
    <t>RENTAS AUT. - AB269ST - 10/08/2023 - 2023/ 7</t>
  </si>
  <si>
    <t>E.P.E.C     - 0095956702 - 22/08/2023 - 2023/90</t>
  </si>
  <si>
    <t>ECOGAS      - 20943696 / 2023</t>
  </si>
  <si>
    <t>AGUAS CORDOB- 637465 - 22/08/2023 - 2023/ 7</t>
  </si>
  <si>
    <t>MUN.DE.CBA. - AA110NA4 - 12/09/2023 - 2023/ 8</t>
  </si>
  <si>
    <t>MUN.DE.CBA. - AB269ST3 - 12/09/2023 - 2023/ 8</t>
  </si>
  <si>
    <t>MUN.DE.CBA  - 0517016006000006 - 11/09/2023 - 202</t>
  </si>
  <si>
    <t>MERCPAGO*NIVEL6</t>
  </si>
  <si>
    <t>SIRO   _COMUNA DE VILLA C</t>
  </si>
  <si>
    <t>RADIO MARIA ARG  000000002638609</t>
  </si>
  <si>
    <t>MERPAGO NIVEL6</t>
  </si>
  <si>
    <t>MERPAGO TODOSXBENJA</t>
  </si>
  <si>
    <t>FARMACIA LIDER 526</t>
  </si>
  <si>
    <t xml:space="preserve">Salame y queso </t>
  </si>
  <si>
    <t>Peluquería José yovino</t>
  </si>
  <si>
    <t>Tomates</t>
  </si>
  <si>
    <t>Cesar Sayez</t>
  </si>
  <si>
    <t xml:space="preserve">Llevar escombros </t>
  </si>
  <si>
    <t xml:space="preserve">Cerrajería </t>
  </si>
  <si>
    <t>sep</t>
  </si>
  <si>
    <t>LIQUIDO / EFECTIVO / CASH</t>
  </si>
  <si>
    <t>INMUEBLES</t>
  </si>
  <si>
    <t>U$S 220.000</t>
  </si>
  <si>
    <t>U$S 105.000</t>
  </si>
  <si>
    <t>El Dpto cuesta 450.000 dolares valor aproximado. Donación de Coqui - Nancy a favor de sus tres hijos firmado el documento el xx/12/2018 Escribana Larcher</t>
  </si>
  <si>
    <t>Plazo Fijo BANCOR [Pesos]</t>
  </si>
  <si>
    <t>En Caja de Seguridad</t>
  </si>
  <si>
    <t>Compra -Carniceria- por -          6.565,45</t>
  </si>
  <si>
    <t>Compra -Carniceria- por -          5.800,00</t>
  </si>
  <si>
    <t>Compra -Carniceria- por -          4.294,75</t>
  </si>
  <si>
    <t>Compra -Carniceria- por -          4.200,00</t>
  </si>
  <si>
    <t>Compra -Carniceria- por -          5.588,77</t>
  </si>
  <si>
    <t>Compra -Carniceria- por -          1.970,00</t>
  </si>
  <si>
    <t>30707692711-SOCIEDAD DE MISIONEROS DIOCESANOS SAN JU-VAR</t>
  </si>
  <si>
    <t>Reintegro programa COMPRE SIN IVA</t>
  </si>
  <si>
    <t>Compra -CARNES URCA SAS- por -          3.719,25</t>
  </si>
  <si>
    <t>Compra -ANDREA FRANCESCHINI- por -         12.000,00</t>
  </si>
  <si>
    <t>Compra -GRIDO URCA- por -          1.900,00</t>
  </si>
  <si>
    <t>Compra -GRIDO URCA- por -          8.300,00</t>
  </si>
  <si>
    <t>Compra -MUNDOPOLLO- por -          1.393,00</t>
  </si>
  <si>
    <t>Compra -MUNDOPOLLO- por -          5.459,00</t>
  </si>
  <si>
    <t>Compra -LA GRUTA- por -          2.227,00</t>
  </si>
  <si>
    <t>Compra -PANIFICADORA PUGLIESE- por -          1.632,50</t>
  </si>
  <si>
    <t>Compra -LA GRUTA- por -          6.150,00</t>
  </si>
  <si>
    <t>Compra -PANIFICADORA PUGLIESE- por -          1.545,00</t>
  </si>
  <si>
    <t>Compra -ALEJANDRO EL GRANDE- por -          3.910,00</t>
  </si>
  <si>
    <t>27275406606-PUSSETTO  VANESA-VAR</t>
  </si>
  <si>
    <t>Compra -PANADERIA Y CONFITERIA- por -            500,00</t>
  </si>
  <si>
    <t>Compra -MUNDOPOLLO- por -          7.014,43</t>
  </si>
  <si>
    <t>Compra -MERPAGO*LEZCANO- por -          1.980,00</t>
  </si>
  <si>
    <t>Compra -PANIFICADORA PUGLIESE- por -          1.050,00</t>
  </si>
  <si>
    <t>Compra -REPUBLICA VERDULERIA- por -          2.360,00</t>
  </si>
  <si>
    <t>REPUBLICA VERDULERIA</t>
  </si>
  <si>
    <t>20104942858-RUIZ FERNANDO ESTEBAN-VAR</t>
  </si>
  <si>
    <t>ONCATIVO 50 BCO. PROV. DE CORDOBA CORDOBA</t>
  </si>
  <si>
    <t>Compra -ALEJANDRO EL GRANDE- por -          4.250,00</t>
  </si>
  <si>
    <t>NUMATT X28</t>
  </si>
  <si>
    <t>CLARO DEBITO- 21500249600 - 27/09/2023</t>
  </si>
  <si>
    <t>RENTAS INM. - 110109729043 - 11/09/2023 - 2023/ 8</t>
  </si>
  <si>
    <t>RENTAS INM. - 120106758625 - 11/09/2023 - 2023/ 8</t>
  </si>
  <si>
    <t>RENTAS INM. - 110124049806 - 11/09/2023 - 2023/ 8</t>
  </si>
  <si>
    <t>RENTAS INM. - 120106758617 - 11/09/2023 - 2023/ 8</t>
  </si>
  <si>
    <t>RENTAS AUT. - AA110NA - 11/09/2023 - 2023/ 8</t>
  </si>
  <si>
    <t>RENTAS AUT. - AB269ST - 11/09/2023 - 2023/ 8</t>
  </si>
  <si>
    <t>ZETA SET/23</t>
  </si>
  <si>
    <t>E.P.E.C     - 0095956702 - 22/09/2023 - 2023/10</t>
  </si>
  <si>
    <t>AGUAS CORDOB- 637465 - 18/09/2023 - 2023/ 8</t>
  </si>
  <si>
    <t>MUN.DE.CBA. - AA110NA4 - 11/10/2023 - 2023/ 9</t>
  </si>
  <si>
    <t>MUN.DE.CBA. - AB269ST3 - 11/10/2023 - 2023/ 9</t>
  </si>
  <si>
    <t>MUN.DE.CBA  - 0517016006000006 - 10/10/2023 - 202</t>
  </si>
  <si>
    <t>PAGO TIC</t>
  </si>
  <si>
    <t>RADIO MARIA ARG  000000002650306</t>
  </si>
  <si>
    <t>SAN CRISTOBAL 1030131255742-001-000</t>
  </si>
  <si>
    <t>LA CUARTA SA</t>
  </si>
  <si>
    <t xml:space="preserve">Salame y queso Epec </t>
  </si>
  <si>
    <t>Círculo Juan Illia</t>
  </si>
  <si>
    <t xml:space="preserve">Carmelo </t>
  </si>
  <si>
    <t xml:space="preserve">Queso rallar Carmelo </t>
  </si>
  <si>
    <t>Alarma X28</t>
  </si>
  <si>
    <t>Taller Tartara</t>
  </si>
  <si>
    <t xml:space="preserve">Lavadero </t>
  </si>
  <si>
    <t xml:space="preserve">Bono Bomberos </t>
  </si>
  <si>
    <t xml:space="preserve">Desayuno mamá </t>
  </si>
  <si>
    <t xml:space="preserve">Florería </t>
  </si>
  <si>
    <t xml:space="preserve">Instalación Elías </t>
  </si>
  <si>
    <t>Peluquería coquetos</t>
  </si>
  <si>
    <t xml:space="preserve">Renovación Carnet de conducir </t>
  </si>
  <si>
    <t>Impuesto CENAT</t>
  </si>
  <si>
    <t xml:space="preserve">Grido </t>
  </si>
  <si>
    <t>Círculo julio vinas</t>
  </si>
  <si>
    <t xml:space="preserve">Pan de azúcar </t>
  </si>
  <si>
    <t xml:space="preserve">Sanitarios </t>
  </si>
  <si>
    <t xml:space="preserve">Peluquería yovino </t>
  </si>
  <si>
    <t>Ayuda mision</t>
  </si>
  <si>
    <t>oct</t>
  </si>
  <si>
    <t>112023</t>
  </si>
  <si>
    <t>Compra -NATYVOSBIOALMACEN- por -          1.605,00</t>
  </si>
  <si>
    <t>27185412755-KRITTERSON CAROLINA INES-VAR</t>
  </si>
  <si>
    <t>27275406606-PUSSETTO  VANESA-CUO</t>
  </si>
  <si>
    <t>Compra -Carniceria- por -          1.393,00</t>
  </si>
  <si>
    <t>Compra -Carniceria- por -          5.459,00</t>
  </si>
  <si>
    <t>Compra -Carniceria- por -          5.400,00</t>
  </si>
  <si>
    <t>Compra -Carniceria- por -          6.150,00</t>
  </si>
  <si>
    <t>Compra -Carniceria- por -          8.997,28</t>
  </si>
  <si>
    <t>Compra -Carniceria- por -          3.719,25</t>
  </si>
  <si>
    <t>Compra -Carniceria- por -          2.227,00</t>
  </si>
  <si>
    <t>Compra -PANIFICADORA PUGLIESE- por -          1.712,50</t>
  </si>
  <si>
    <t>23300916554-Viviana de Lourdes Heredia-SEG</t>
  </si>
  <si>
    <t>DARSIE</t>
  </si>
  <si>
    <t>TODO REPUESTO</t>
  </si>
  <si>
    <t>27443468981-Maria Victoria Etcheverry Soto-VAR</t>
  </si>
  <si>
    <t>27148944445-MARTIN, MARIA ALEJANDRA-VAR</t>
  </si>
  <si>
    <t>Compra -ALEJANDRO EL GRANDE- por -          5.600,00</t>
  </si>
  <si>
    <t>Compra -PANIFICADORA PUGLIESE- por -          1.600,00</t>
  </si>
  <si>
    <t>Compra -PANIFICADORA PUGLIESE- por -          1.422,50</t>
  </si>
  <si>
    <t>Compra -REPUBLICA VERDULERIA- por -          6.300,00</t>
  </si>
  <si>
    <t>Compra -PANADERIA Y CONFITERIA- por -          1.060,00</t>
  </si>
  <si>
    <t>BETO S CERRO</t>
  </si>
  <si>
    <t>Compra -MERPAGO*LEZCANO- por -          4.680,00</t>
  </si>
  <si>
    <t>Compra -MUNDOPOLLO- por -          8.920,00</t>
  </si>
  <si>
    <t>Compra -GRIDO URCA- por -            900,00</t>
  </si>
  <si>
    <t>Compra -LA GRUTA- por -          3.430,00</t>
  </si>
  <si>
    <t>Compra -PANIFICADORA PUGLIESE- por -          1.940,00</t>
  </si>
  <si>
    <t>Compra -ALEJANDRO EL GRANDE- por -          9.300,00</t>
  </si>
  <si>
    <t>Compra -CARNES URCA SAS- por -          4.233,30</t>
  </si>
  <si>
    <t>ZETA OCT/23</t>
  </si>
  <si>
    <t>RENTAS AUT. - AA110NA - 10/10/2023 - 2023/ 9</t>
  </si>
  <si>
    <t>RENTAS AUT. - AB269ST - 10/10/2023 - 2023/ 9</t>
  </si>
  <si>
    <t>CLARO DEBITO- 21500249600 - 27/10/2023</t>
  </si>
  <si>
    <t>RENTAS INM. - 120106758617 - 10/10/2023 - 2023/ 9</t>
  </si>
  <si>
    <t>RENTAS INM. - 110109729043 - 10/10/2023 - 2023/ 9</t>
  </si>
  <si>
    <t>RENTAS INM. - 120106758625 - 10/10/2023 - 2023/ 9</t>
  </si>
  <si>
    <t>RENTAS INM. - 110124049806 - 10/10/2023 - 2023/ 9</t>
  </si>
  <si>
    <t>MPAGO-WALMT-HERRAJESDA</t>
  </si>
  <si>
    <t>E.P.E.C     - 0095956702 - 23/10/2023 - 2023/11</t>
  </si>
  <si>
    <t>AGUAS CORDOB- 637465 - 23/10/2023 - 2023/ 9</t>
  </si>
  <si>
    <t>MUN.DE.CBA. - AA110NA4 - 13/11/2023 - 2023/10</t>
  </si>
  <si>
    <t>MUN.DE.CBA. - AB269ST3 - 13/11/2023 - 2023/10</t>
  </si>
  <si>
    <t>MUN.DE.CBA  - 0517016006000006 - 10/11/2023 - 202</t>
  </si>
  <si>
    <t>IVA RG 4240 21% SERV. DIGITAL</t>
  </si>
  <si>
    <t>IMPUESTO PAIS LEY 27541 8% (6.998,49)</t>
  </si>
  <si>
    <t>PERCEP IIBB SERV DIGITALES (CORDOBA)</t>
  </si>
  <si>
    <t>PERCEPCION RG 4815 AFIP (6.998,49)</t>
  </si>
  <si>
    <t>RADIO MARIA ARG  000000002666536</t>
  </si>
  <si>
    <t>WWW CLARO.COM</t>
  </si>
  <si>
    <t>GOOGLE *GOOGLE STORAGE</t>
  </si>
  <si>
    <t>MACOWENS</t>
  </si>
  <si>
    <t>Ezequiel plomy</t>
  </si>
  <si>
    <t xml:space="preserve">Le petit libertad </t>
  </si>
  <si>
    <t xml:space="preserve">Panadería </t>
  </si>
  <si>
    <t>Aquarama</t>
  </si>
  <si>
    <t xml:space="preserve">Salame+ queso </t>
  </si>
  <si>
    <t>nov</t>
  </si>
  <si>
    <t>Deposito Marisa 500 dolares y 50 Euros</t>
  </si>
  <si>
    <t>Deposito Marisa 1000 dolares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</si>
</sst>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#,##0_ ;[Red]\-#,##0\ "/>
    <numFmt numFmtId="166" formatCode="#,##0.00_ ;[Red]\-#,##0.00\ "/>
    <numFmt numFmtId="167" formatCode="mmm"/>
    <numFmt numFmtId="168" formatCode="0_ ;[Red]\-0\ "/>
  </numFmts>
  <fonts count="4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6"/>
      <color rgb="FF000000"/>
      <name val="Arial"/>
      <family val="2"/>
    </font>
    <font>
      <strike/>
      <sz val="10"/>
      <color rgb="FF000000"/>
      <name val="Arial"/>
      <family val="2"/>
    </font>
    <font>
      <b/>
      <sz val="11"/>
      <color rgb="FFFFFFFF"/>
      <name val="Calibri"/>
      <family val="2"/>
    </font>
    <font>
      <sz val="16"/>
      <color rgb="FF000000"/>
      <name val="Arial"/>
      <family val="2"/>
    </font>
    <font>
      <sz val="14"/>
      <color rgb="FF000000"/>
      <name val="Arial"/>
      <family val="2"/>
    </font>
    <font>
      <b/>
      <strike/>
      <sz val="10"/>
      <color rgb="FF00000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sz val="12"/>
      <color rgb="FF000000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sz val="16"/>
      <color theme="1"/>
      <name val="Arial"/>
      <family val="2"/>
    </font>
    <font>
      <b/>
      <sz val="10"/>
      <color rgb="FF000000"/>
      <name val="Poppins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1"/>
      <name val="Arial"/>
      <family val="2"/>
    </font>
    <font>
      <b/>
      <sz val="16"/>
      <color theme="1"/>
      <name val="Arial"/>
      <family val="2"/>
    </font>
    <font>
      <strike/>
      <sz val="12"/>
      <color theme="1"/>
      <name val="Calibri"/>
      <family val="2"/>
      <scheme val="minor"/>
    </font>
    <font>
      <sz val="12"/>
      <color theme="1"/>
      <name val="Calibri"/>
      <scheme val="minor"/>
    </font>
    <font>
      <b/>
      <sz val="20"/>
      <color rgb="FF00000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DDDDDD"/>
      </patternFill>
    </fill>
    <fill>
      <patternFill patternType="solid">
        <fgColor rgb="FFFCD5B4"/>
        <bgColor rgb="FFFCD5B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339966"/>
        <bgColor rgb="FF339966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5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8" fillId="0" borderId="0"/>
    <xf numFmtId="0" fontId="13" fillId="0" borderId="0"/>
    <xf numFmtId="0" fontId="22" fillId="0" borderId="0"/>
  </cellStyleXfs>
  <cellXfs count="460">
    <xf numFmtId="0" fontId="0" fillId="0" borderId="0" xfId="0"/>
    <xf numFmtId="0" fontId="0" fillId="0" borderId="0" xfId="0" applyAlignment="1">
      <alignment vertical="center"/>
    </xf>
    <xf numFmtId="0" fontId="9" fillId="0" borderId="0" xfId="0" applyFont="1" applyAlignment="1">
      <alignment vertical="center"/>
    </xf>
    <xf numFmtId="0" fontId="8" fillId="0" borderId="0" xfId="1"/>
    <xf numFmtId="49" fontId="8" fillId="0" borderId="1" xfId="1" applyNumberFormat="1" applyBorder="1" applyAlignment="1">
      <alignment horizontal="center" vertical="center"/>
    </xf>
    <xf numFmtId="0" fontId="8" fillId="0" borderId="0" xfId="1" applyAlignment="1">
      <alignment horizontal="left" vertical="center"/>
    </xf>
    <xf numFmtId="2" fontId="8" fillId="0" borderId="0" xfId="1" applyNumberFormat="1" applyAlignment="1">
      <alignment horizontal="center" vertical="center"/>
    </xf>
    <xf numFmtId="49" fontId="8" fillId="0" borderId="0" xfId="1" applyNumberFormat="1" applyAlignment="1">
      <alignment horizontal="center" vertical="center"/>
    </xf>
    <xf numFmtId="0" fontId="8" fillId="0" borderId="0" xfId="1" applyAlignment="1">
      <alignment horizontal="center" vertical="center"/>
    </xf>
    <xf numFmtId="49" fontId="10" fillId="0" borderId="15" xfId="1" applyNumberFormat="1" applyFont="1" applyBorder="1" applyAlignment="1">
      <alignment horizontal="center" vertical="center"/>
    </xf>
    <xf numFmtId="2" fontId="14" fillId="0" borderId="0" xfId="2" applyNumberFormat="1" applyFont="1" applyAlignment="1">
      <alignment horizontal="center" vertical="center"/>
    </xf>
    <xf numFmtId="2" fontId="13" fillId="0" borderId="0" xfId="2" applyNumberFormat="1"/>
    <xf numFmtId="0" fontId="13" fillId="0" borderId="0" xfId="2"/>
    <xf numFmtId="2" fontId="13" fillId="0" borderId="0" xfId="2" applyNumberFormat="1" applyAlignment="1">
      <alignment horizontal="center" vertical="center" wrapText="1"/>
    </xf>
    <xf numFmtId="0" fontId="15" fillId="0" borderId="26" xfId="2" applyFont="1" applyBorder="1" applyAlignment="1">
      <alignment horizontal="center" vertical="center"/>
    </xf>
    <xf numFmtId="2" fontId="14" fillId="0" borderId="11" xfId="2" applyNumberFormat="1" applyFont="1" applyBorder="1" applyAlignment="1">
      <alignment horizontal="center" vertical="center"/>
    </xf>
    <xf numFmtId="2" fontId="14" fillId="0" borderId="26" xfId="2" applyNumberFormat="1" applyFont="1" applyBorder="1" applyAlignment="1">
      <alignment horizontal="center" vertical="center"/>
    </xf>
    <xf numFmtId="2" fontId="14" fillId="0" borderId="12" xfId="2" applyNumberFormat="1" applyFont="1" applyBorder="1" applyAlignment="1">
      <alignment horizontal="center" vertical="center"/>
    </xf>
    <xf numFmtId="1" fontId="14" fillId="0" borderId="26" xfId="2" applyNumberFormat="1" applyFont="1" applyBorder="1" applyAlignment="1">
      <alignment horizontal="center" vertical="center"/>
    </xf>
    <xf numFmtId="0" fontId="14" fillId="9" borderId="26" xfId="2" applyFont="1" applyFill="1" applyBorder="1" applyAlignment="1">
      <alignment horizontal="center" vertical="center"/>
    </xf>
    <xf numFmtId="3" fontId="13" fillId="9" borderId="27" xfId="2" applyNumberFormat="1" applyFill="1" applyBorder="1" applyAlignment="1">
      <alignment horizontal="center" vertical="center"/>
    </xf>
    <xf numFmtId="3" fontId="16" fillId="9" borderId="15" xfId="2" applyNumberFormat="1" applyFont="1" applyFill="1" applyBorder="1" applyAlignment="1">
      <alignment horizontal="center" vertical="center"/>
    </xf>
    <xf numFmtId="3" fontId="13" fillId="9" borderId="15" xfId="2" applyNumberFormat="1" applyFill="1" applyBorder="1" applyAlignment="1">
      <alignment horizontal="center" vertical="center"/>
    </xf>
    <xf numFmtId="3" fontId="13" fillId="9" borderId="16" xfId="2" applyNumberFormat="1" applyFill="1" applyBorder="1" applyAlignment="1">
      <alignment horizontal="center" vertical="center"/>
    </xf>
    <xf numFmtId="3" fontId="13" fillId="9" borderId="26" xfId="2" applyNumberFormat="1" applyFill="1" applyBorder="1" applyAlignment="1">
      <alignment horizontal="center" vertical="center"/>
    </xf>
    <xf numFmtId="0" fontId="14" fillId="7" borderId="26" xfId="2" applyFont="1" applyFill="1" applyBorder="1" applyAlignment="1">
      <alignment horizontal="center" vertical="center"/>
    </xf>
    <xf numFmtId="3" fontId="13" fillId="7" borderId="27" xfId="2" applyNumberFormat="1" applyFill="1" applyBorder="1" applyAlignment="1">
      <alignment horizontal="center" vertical="center"/>
    </xf>
    <xf numFmtId="3" fontId="16" fillId="7" borderId="15" xfId="2" applyNumberFormat="1" applyFont="1" applyFill="1" applyBorder="1" applyAlignment="1">
      <alignment horizontal="center" vertical="center"/>
    </xf>
    <xf numFmtId="3" fontId="13" fillId="7" borderId="15" xfId="2" applyNumberFormat="1" applyFill="1" applyBorder="1" applyAlignment="1">
      <alignment horizontal="center" vertical="center"/>
    </xf>
    <xf numFmtId="3" fontId="13" fillId="7" borderId="28" xfId="2" applyNumberFormat="1" applyFill="1" applyBorder="1" applyAlignment="1">
      <alignment horizontal="center" vertical="center"/>
    </xf>
    <xf numFmtId="3" fontId="13" fillId="7" borderId="26" xfId="2" applyNumberFormat="1" applyFill="1" applyBorder="1" applyAlignment="1">
      <alignment horizontal="center" vertical="center"/>
    </xf>
    <xf numFmtId="0" fontId="13" fillId="0" borderId="29" xfId="2" applyBorder="1" applyAlignment="1">
      <alignment horizontal="center" vertical="center"/>
    </xf>
    <xf numFmtId="3" fontId="13" fillId="0" borderId="2" xfId="2" applyNumberFormat="1" applyBorder="1" applyAlignment="1">
      <alignment horizontal="center" vertical="center"/>
    </xf>
    <xf numFmtId="3" fontId="16" fillId="0" borderId="3" xfId="2" applyNumberFormat="1" applyFont="1" applyBorder="1" applyAlignment="1">
      <alignment horizontal="center" vertical="center"/>
    </xf>
    <xf numFmtId="3" fontId="13" fillId="0" borderId="3" xfId="2" applyNumberFormat="1" applyBorder="1" applyAlignment="1">
      <alignment horizontal="center" vertical="center"/>
    </xf>
    <xf numFmtId="3" fontId="13" fillId="0" borderId="4" xfId="2" applyNumberFormat="1" applyBorder="1" applyAlignment="1">
      <alignment horizontal="center" vertical="center"/>
    </xf>
    <xf numFmtId="3" fontId="13" fillId="0" borderId="30" xfId="2" applyNumberFormat="1" applyBorder="1" applyAlignment="1">
      <alignment horizontal="center" vertical="center"/>
    </xf>
    <xf numFmtId="0" fontId="13" fillId="0" borderId="31" xfId="2" applyBorder="1" applyAlignment="1">
      <alignment horizontal="center" vertical="center"/>
    </xf>
    <xf numFmtId="3" fontId="13" fillId="0" borderId="5" xfId="2" applyNumberFormat="1" applyBorder="1" applyAlignment="1">
      <alignment horizontal="center" vertical="center"/>
    </xf>
    <xf numFmtId="3" fontId="16" fillId="0" borderId="1" xfId="2" applyNumberFormat="1" applyFont="1" applyBorder="1" applyAlignment="1">
      <alignment horizontal="center" vertical="center"/>
    </xf>
    <xf numFmtId="3" fontId="13" fillId="0" borderId="1" xfId="2" applyNumberFormat="1" applyBorder="1" applyAlignment="1">
      <alignment horizontal="center" vertical="center"/>
    </xf>
    <xf numFmtId="3" fontId="13" fillId="0" borderId="6" xfId="2" applyNumberFormat="1" applyBorder="1" applyAlignment="1">
      <alignment horizontal="center" vertical="center"/>
    </xf>
    <xf numFmtId="3" fontId="13" fillId="0" borderId="26" xfId="2" applyNumberFormat="1" applyBorder="1" applyAlignment="1">
      <alignment horizontal="center" vertical="center"/>
    </xf>
    <xf numFmtId="0" fontId="13" fillId="0" borderId="32" xfId="2" applyBorder="1" applyAlignment="1">
      <alignment horizontal="center" vertical="center"/>
    </xf>
    <xf numFmtId="0" fontId="14" fillId="2" borderId="26" xfId="2" applyFont="1" applyFill="1" applyBorder="1" applyAlignment="1">
      <alignment horizontal="center" vertical="center"/>
    </xf>
    <xf numFmtId="3" fontId="13" fillId="2" borderId="11" xfId="2" applyNumberFormat="1" applyFill="1" applyBorder="1" applyAlignment="1">
      <alignment horizontal="center" vertical="center"/>
    </xf>
    <xf numFmtId="3" fontId="16" fillId="2" borderId="11" xfId="2" applyNumberFormat="1" applyFont="1" applyFill="1" applyBorder="1" applyAlignment="1">
      <alignment horizontal="center" vertical="center"/>
    </xf>
    <xf numFmtId="3" fontId="13" fillId="2" borderId="26" xfId="2" applyNumberFormat="1" applyFill="1" applyBorder="1" applyAlignment="1">
      <alignment horizontal="center" vertical="center"/>
    </xf>
    <xf numFmtId="2" fontId="14" fillId="8" borderId="0" xfId="2" applyNumberFormat="1" applyFont="1" applyFill="1" applyAlignment="1">
      <alignment horizontal="left" vertical="center" wrapText="1"/>
    </xf>
    <xf numFmtId="2" fontId="14" fillId="0" borderId="0" xfId="2" applyNumberFormat="1" applyFont="1" applyAlignment="1">
      <alignment horizontal="left" vertical="center" wrapText="1"/>
    </xf>
    <xf numFmtId="0" fontId="13" fillId="0" borderId="0" xfId="2" applyAlignment="1">
      <alignment horizontal="left" vertical="center" wrapText="1"/>
    </xf>
    <xf numFmtId="0" fontId="18" fillId="0" borderId="0" xfId="2" applyFont="1" applyAlignment="1">
      <alignment horizontal="center" vertical="center"/>
    </xf>
    <xf numFmtId="0" fontId="18" fillId="0" borderId="0" xfId="2" applyFont="1" applyAlignment="1">
      <alignment vertical="center"/>
    </xf>
    <xf numFmtId="49" fontId="15" fillId="0" borderId="39" xfId="2" applyNumberFormat="1" applyFont="1" applyBorder="1" applyAlignment="1">
      <alignment horizontal="center" vertical="center"/>
    </xf>
    <xf numFmtId="49" fontId="14" fillId="0" borderId="39" xfId="2" applyNumberFormat="1" applyFont="1" applyBorder="1" applyAlignment="1">
      <alignment horizontal="center" vertical="center"/>
    </xf>
    <xf numFmtId="49" fontId="20" fillId="14" borderId="40" xfId="2" applyNumberFormat="1" applyFont="1" applyFill="1" applyBorder="1" applyAlignment="1">
      <alignment horizontal="right" vertical="center"/>
    </xf>
    <xf numFmtId="49" fontId="20" fillId="14" borderId="42" xfId="2" applyNumberFormat="1" applyFont="1" applyFill="1" applyBorder="1" applyAlignment="1">
      <alignment horizontal="center" vertical="center"/>
    </xf>
    <xf numFmtId="49" fontId="14" fillId="15" borderId="19" xfId="2" applyNumberFormat="1" applyFont="1" applyFill="1" applyBorder="1" applyAlignment="1">
      <alignment horizontal="right" vertical="center"/>
    </xf>
    <xf numFmtId="2" fontId="13" fillId="0" borderId="0" xfId="2" applyNumberFormat="1" applyAlignment="1">
      <alignment horizontal="center" vertical="center"/>
    </xf>
    <xf numFmtId="49" fontId="23" fillId="7" borderId="21" xfId="3" applyNumberFormat="1" applyFont="1" applyFill="1" applyBorder="1" applyAlignment="1">
      <alignment horizontal="right" vertical="center" wrapText="1"/>
    </xf>
    <xf numFmtId="0" fontId="14" fillId="0" borderId="0" xfId="2" applyFont="1" applyAlignment="1">
      <alignment vertical="center"/>
    </xf>
    <xf numFmtId="49" fontId="23" fillId="7" borderId="0" xfId="3" applyNumberFormat="1" applyFont="1" applyFill="1" applyAlignment="1">
      <alignment horizontal="right" vertical="center" wrapText="1"/>
    </xf>
    <xf numFmtId="3" fontId="22" fillId="7" borderId="0" xfId="3" applyNumberFormat="1" applyFill="1" applyAlignment="1">
      <alignment horizontal="center" vertical="center" wrapText="1"/>
    </xf>
    <xf numFmtId="3" fontId="13" fillId="7" borderId="0" xfId="2" applyNumberFormat="1" applyFill="1" applyAlignment="1">
      <alignment horizontal="center" vertical="center"/>
    </xf>
    <xf numFmtId="49" fontId="13" fillId="7" borderId="0" xfId="2" applyNumberFormat="1" applyFill="1" applyAlignment="1">
      <alignment vertical="center"/>
    </xf>
    <xf numFmtId="49" fontId="23" fillId="14" borderId="14" xfId="3" applyNumberFormat="1" applyFont="1" applyFill="1" applyBorder="1" applyAlignment="1">
      <alignment horizontal="right" vertical="center" wrapText="1"/>
    </xf>
    <xf numFmtId="2" fontId="22" fillId="14" borderId="15" xfId="3" applyNumberFormat="1" applyFill="1" applyBorder="1" applyAlignment="1">
      <alignment horizontal="center" vertical="center" wrapText="1"/>
    </xf>
    <xf numFmtId="2" fontId="13" fillId="14" borderId="15" xfId="2" applyNumberFormat="1" applyFill="1" applyBorder="1" applyAlignment="1">
      <alignment horizontal="center" vertical="center"/>
    </xf>
    <xf numFmtId="49" fontId="13" fillId="14" borderId="16" xfId="2" applyNumberFormat="1" applyFill="1" applyBorder="1" applyAlignment="1">
      <alignment vertical="center"/>
    </xf>
    <xf numFmtId="0" fontId="13" fillId="0" borderId="0" xfId="2" applyAlignment="1">
      <alignment horizontal="right" vertical="center"/>
    </xf>
    <xf numFmtId="0" fontId="13" fillId="0" borderId="0" xfId="2" applyAlignment="1">
      <alignment vertical="center"/>
    </xf>
    <xf numFmtId="17" fontId="13" fillId="0" borderId="0" xfId="2" applyNumberFormat="1"/>
    <xf numFmtId="2" fontId="13" fillId="0" borderId="0" xfId="2" applyNumberFormat="1" applyAlignment="1">
      <alignment horizontal="right"/>
    </xf>
    <xf numFmtId="14" fontId="13" fillId="0" borderId="0" xfId="2" applyNumberFormat="1" applyAlignment="1">
      <alignment horizontal="center" vertical="center"/>
    </xf>
    <xf numFmtId="49" fontId="13" fillId="0" borderId="0" xfId="2" applyNumberFormat="1" applyAlignment="1">
      <alignment horizontal="center" vertical="center"/>
    </xf>
    <xf numFmtId="3" fontId="13" fillId="0" borderId="0" xfId="2" applyNumberFormat="1" applyAlignment="1">
      <alignment horizontal="center" vertical="center"/>
    </xf>
    <xf numFmtId="0" fontId="21" fillId="0" borderId="0" xfId="2" applyFont="1" applyAlignment="1">
      <alignment horizontal="center" vertical="center" wrapText="1"/>
    </xf>
    <xf numFmtId="14" fontId="0" fillId="0" borderId="0" xfId="0" applyNumberFormat="1"/>
    <xf numFmtId="2" fontId="0" fillId="0" borderId="0" xfId="0" applyNumberFormat="1"/>
    <xf numFmtId="2" fontId="0" fillId="14" borderId="0" xfId="0" applyNumberFormat="1" applyFill="1"/>
    <xf numFmtId="1" fontId="8" fillId="0" borderId="1" xfId="1" applyNumberFormat="1" applyBorder="1" applyAlignment="1">
      <alignment vertical="center"/>
    </xf>
    <xf numFmtId="14" fontId="0" fillId="14" borderId="0" xfId="0" applyNumberFormat="1" applyFill="1"/>
    <xf numFmtId="0" fontId="0" fillId="14" borderId="0" xfId="0" applyFill="1"/>
    <xf numFmtId="0" fontId="13" fillId="0" borderId="0" xfId="2" applyAlignment="1">
      <alignment horizontal="left" vertical="center"/>
    </xf>
    <xf numFmtId="2" fontId="8" fillId="0" borderId="0" xfId="1" applyNumberFormat="1"/>
    <xf numFmtId="14" fontId="8" fillId="0" borderId="0" xfId="1" applyNumberFormat="1" applyAlignment="1">
      <alignment horizontal="center"/>
    </xf>
    <xf numFmtId="49" fontId="8" fillId="0" borderId="0" xfId="1" applyNumberFormat="1"/>
    <xf numFmtId="14" fontId="17" fillId="12" borderId="2" xfId="1" applyNumberFormat="1" applyFont="1" applyFill="1" applyBorder="1" applyAlignment="1">
      <alignment horizontal="center" vertical="center"/>
    </xf>
    <xf numFmtId="14" fontId="8" fillId="0" borderId="5" xfId="1" applyNumberFormat="1" applyBorder="1" applyAlignment="1">
      <alignment horizontal="center" vertical="center"/>
    </xf>
    <xf numFmtId="14" fontId="8" fillId="0" borderId="7" xfId="1" applyNumberFormat="1" applyBorder="1" applyAlignment="1">
      <alignment horizontal="center" vertical="center"/>
    </xf>
    <xf numFmtId="49" fontId="17" fillId="12" borderId="3" xfId="1" applyNumberFormat="1" applyFont="1" applyFill="1" applyBorder="1" applyAlignment="1">
      <alignment horizontal="center" vertical="center"/>
    </xf>
    <xf numFmtId="49" fontId="8" fillId="0" borderId="8" xfId="1" applyNumberFormat="1" applyBorder="1" applyAlignment="1">
      <alignment horizontal="center" vertical="center"/>
    </xf>
    <xf numFmtId="49" fontId="8" fillId="0" borderId="0" xfId="1" applyNumberFormat="1" applyAlignment="1">
      <alignment horizontal="center"/>
    </xf>
    <xf numFmtId="1" fontId="17" fillId="12" borderId="3" xfId="1" applyNumberFormat="1" applyFont="1" applyFill="1" applyBorder="1" applyAlignment="1">
      <alignment horizontal="center" vertical="center"/>
    </xf>
    <xf numFmtId="1" fontId="8" fillId="0" borderId="8" xfId="1" applyNumberFormat="1" applyBorder="1" applyAlignment="1">
      <alignment vertical="center"/>
    </xf>
    <xf numFmtId="1" fontId="8" fillId="0" borderId="0" xfId="1" applyNumberFormat="1"/>
    <xf numFmtId="49" fontId="17" fillId="12" borderId="4" xfId="1" applyNumberFormat="1" applyFont="1" applyFill="1" applyBorder="1" applyAlignment="1">
      <alignment horizontal="center" vertical="center"/>
    </xf>
    <xf numFmtId="49" fontId="8" fillId="0" borderId="6" xfId="1" applyNumberFormat="1" applyBorder="1" applyAlignment="1">
      <alignment vertical="center"/>
    </xf>
    <xf numFmtId="49" fontId="8" fillId="0" borderId="9" xfId="1" applyNumberFormat="1" applyBorder="1" applyAlignment="1">
      <alignment vertical="center"/>
    </xf>
    <xf numFmtId="49" fontId="21" fillId="14" borderId="20" xfId="2" applyNumberFormat="1" applyFont="1" applyFill="1" applyBorder="1" applyAlignment="1">
      <alignment horizontal="center" vertical="center" wrapText="1"/>
    </xf>
    <xf numFmtId="49" fontId="14" fillId="6" borderId="19" xfId="2" applyNumberFormat="1" applyFont="1" applyFill="1" applyBorder="1" applyAlignment="1">
      <alignment horizontal="right" vertical="center"/>
    </xf>
    <xf numFmtId="1" fontId="20" fillId="14" borderId="41" xfId="2" applyNumberFormat="1" applyFont="1" applyFill="1" applyBorder="1" applyAlignment="1">
      <alignment horizontal="center" vertical="center"/>
    </xf>
    <xf numFmtId="49" fontId="24" fillId="15" borderId="20" xfId="2" applyNumberFormat="1" applyFont="1" applyFill="1" applyBorder="1" applyAlignment="1">
      <alignment horizontal="center" vertical="center" wrapText="1"/>
    </xf>
    <xf numFmtId="49" fontId="24" fillId="6" borderId="20" xfId="2" applyNumberFormat="1" applyFont="1" applyFill="1" applyBorder="1" applyAlignment="1">
      <alignment horizontal="center" vertical="center" wrapText="1"/>
    </xf>
    <xf numFmtId="49" fontId="14" fillId="7" borderId="23" xfId="2" applyNumberFormat="1" applyFont="1" applyFill="1" applyBorder="1" applyAlignment="1">
      <alignment vertical="center"/>
    </xf>
    <xf numFmtId="49" fontId="20" fillId="14" borderId="19" xfId="2" applyNumberFormat="1" applyFont="1" applyFill="1" applyBorder="1" applyAlignment="1">
      <alignment horizontal="right" vertical="center"/>
    </xf>
    <xf numFmtId="0" fontId="14" fillId="0" borderId="0" xfId="2" applyFont="1" applyAlignment="1">
      <alignment horizontal="center" vertical="center"/>
    </xf>
    <xf numFmtId="3" fontId="14" fillId="0" borderId="0" xfId="2" applyNumberFormat="1" applyFont="1" applyAlignment="1">
      <alignment horizontal="center" vertical="center"/>
    </xf>
    <xf numFmtId="2" fontId="13" fillId="14" borderId="1" xfId="2" applyNumberFormat="1" applyFill="1" applyBorder="1" applyAlignment="1">
      <alignment horizontal="center" vertical="center"/>
    </xf>
    <xf numFmtId="0" fontId="14" fillId="5" borderId="3" xfId="2" applyFont="1" applyFill="1" applyBorder="1" applyAlignment="1">
      <alignment horizontal="center" vertical="center"/>
    </xf>
    <xf numFmtId="0" fontId="14" fillId="5" borderId="3" xfId="2" applyFont="1" applyFill="1" applyBorder="1" applyAlignment="1">
      <alignment horizontal="center" vertical="center" wrapText="1"/>
    </xf>
    <xf numFmtId="49" fontId="16" fillId="5" borderId="1" xfId="2" applyNumberFormat="1" applyFont="1" applyFill="1" applyBorder="1" applyAlignment="1">
      <alignment horizontal="center" vertical="center"/>
    </xf>
    <xf numFmtId="1" fontId="16" fillId="5" borderId="1" xfId="2" applyNumberFormat="1" applyFont="1" applyFill="1" applyBorder="1" applyAlignment="1">
      <alignment horizontal="center" vertical="center"/>
    </xf>
    <xf numFmtId="49" fontId="13" fillId="5" borderId="1" xfId="2" applyNumberFormat="1" applyFill="1" applyBorder="1" applyAlignment="1">
      <alignment horizontal="center" vertical="center"/>
    </xf>
    <xf numFmtId="3" fontId="13" fillId="5" borderId="1" xfId="2" applyNumberFormat="1" applyFill="1" applyBorder="1" applyAlignment="1">
      <alignment horizontal="center" vertical="center"/>
    </xf>
    <xf numFmtId="49" fontId="13" fillId="5" borderId="22" xfId="2" applyNumberFormat="1" applyFill="1" applyBorder="1" applyAlignment="1">
      <alignment horizontal="center" vertical="center"/>
    </xf>
    <xf numFmtId="3" fontId="13" fillId="5" borderId="22" xfId="2" applyNumberFormat="1" applyFill="1" applyBorder="1" applyAlignment="1">
      <alignment horizontal="center" vertical="center"/>
    </xf>
    <xf numFmtId="49" fontId="14" fillId="5" borderId="21" xfId="2" applyNumberFormat="1" applyFont="1" applyFill="1" applyBorder="1" applyAlignment="1">
      <alignment horizontal="right" vertical="center"/>
    </xf>
    <xf numFmtId="49" fontId="24" fillId="5" borderId="23" xfId="2" applyNumberFormat="1" applyFont="1" applyFill="1" applyBorder="1" applyAlignment="1">
      <alignment horizontal="center" vertical="center" wrapText="1"/>
    </xf>
    <xf numFmtId="49" fontId="14" fillId="6" borderId="40" xfId="2" applyNumberFormat="1" applyFont="1" applyFill="1" applyBorder="1" applyAlignment="1">
      <alignment horizontal="right" vertical="center"/>
    </xf>
    <xf numFmtId="49" fontId="24" fillId="6" borderId="42" xfId="2" applyNumberFormat="1" applyFont="1" applyFill="1" applyBorder="1" applyAlignment="1">
      <alignment horizontal="center" vertical="center" wrapText="1"/>
    </xf>
    <xf numFmtId="14" fontId="8" fillId="16" borderId="7" xfId="1" applyNumberFormat="1" applyFill="1" applyBorder="1" applyAlignment="1">
      <alignment horizontal="center" vertical="center"/>
    </xf>
    <xf numFmtId="49" fontId="7" fillId="16" borderId="8" xfId="1" applyNumberFormat="1" applyFont="1" applyFill="1" applyBorder="1" applyAlignment="1">
      <alignment horizontal="center" vertical="center"/>
    </xf>
    <xf numFmtId="1" fontId="8" fillId="16" borderId="8" xfId="1" applyNumberFormat="1" applyFill="1" applyBorder="1" applyAlignment="1">
      <alignment vertical="center"/>
    </xf>
    <xf numFmtId="49" fontId="7" fillId="16" borderId="9" xfId="1" applyNumberFormat="1" applyFont="1" applyFill="1" applyBorder="1" applyAlignment="1">
      <alignment vertical="center"/>
    </xf>
    <xf numFmtId="0" fontId="15" fillId="0" borderId="0" xfId="2" applyFont="1" applyAlignment="1">
      <alignment horizontal="center" vertical="center"/>
    </xf>
    <xf numFmtId="49" fontId="6" fillId="0" borderId="8" xfId="1" applyNumberFormat="1" applyFont="1" applyBorder="1" applyAlignment="1">
      <alignment horizontal="center" vertical="center"/>
    </xf>
    <xf numFmtId="49" fontId="6" fillId="16" borderId="9" xfId="1" applyNumberFormat="1" applyFont="1" applyFill="1" applyBorder="1" applyAlignment="1">
      <alignment vertical="center"/>
    </xf>
    <xf numFmtId="49" fontId="6" fillId="0" borderId="9" xfId="1" applyNumberFormat="1" applyFont="1" applyBorder="1" applyAlignment="1">
      <alignment vertical="center"/>
    </xf>
    <xf numFmtId="0" fontId="25" fillId="0" borderId="1" xfId="1" applyFont="1" applyBorder="1" applyAlignment="1">
      <alignment horizontal="left" vertical="center"/>
    </xf>
    <xf numFmtId="0" fontId="25" fillId="0" borderId="5" xfId="1" applyFont="1" applyBorder="1" applyAlignment="1">
      <alignment horizontal="left" vertical="center"/>
    </xf>
    <xf numFmtId="49" fontId="25" fillId="0" borderId="1" xfId="1" applyNumberFormat="1" applyFont="1" applyBorder="1" applyAlignment="1">
      <alignment horizontal="center" vertical="center"/>
    </xf>
    <xf numFmtId="0" fontId="25" fillId="0" borderId="1" xfId="1" applyFont="1" applyBorder="1" applyAlignment="1">
      <alignment horizontal="center" vertical="center"/>
    </xf>
    <xf numFmtId="1" fontId="25" fillId="0" borderId="1" xfId="1" applyNumberFormat="1" applyFont="1" applyBorder="1" applyAlignment="1">
      <alignment horizontal="center" vertical="center"/>
    </xf>
    <xf numFmtId="0" fontId="25" fillId="5" borderId="5" xfId="1" applyFont="1" applyFill="1" applyBorder="1" applyAlignment="1">
      <alignment horizontal="left" vertical="center"/>
    </xf>
    <xf numFmtId="0" fontId="25" fillId="5" borderId="1" xfId="1" applyFont="1" applyFill="1" applyBorder="1" applyAlignment="1">
      <alignment horizontal="left" vertical="center"/>
    </xf>
    <xf numFmtId="49" fontId="25" fillId="5" borderId="1" xfId="1" applyNumberFormat="1" applyFont="1" applyFill="1" applyBorder="1" applyAlignment="1">
      <alignment horizontal="center" vertical="center"/>
    </xf>
    <xf numFmtId="0" fontId="25" fillId="5" borderId="1" xfId="1" applyFont="1" applyFill="1" applyBorder="1" applyAlignment="1">
      <alignment horizontal="center" vertical="center"/>
    </xf>
    <xf numFmtId="0" fontId="26" fillId="6" borderId="5" xfId="0" applyFont="1" applyFill="1" applyBorder="1" applyAlignment="1">
      <alignment horizontal="left" vertical="center" wrapText="1"/>
    </xf>
    <xf numFmtId="0" fontId="25" fillId="6" borderId="1" xfId="1" applyFont="1" applyFill="1" applyBorder="1" applyAlignment="1">
      <alignment horizontal="left" vertical="center"/>
    </xf>
    <xf numFmtId="49" fontId="26" fillId="6" borderId="1" xfId="0" applyNumberFormat="1" applyFont="1" applyFill="1" applyBorder="1" applyAlignment="1">
      <alignment horizontal="center" vertical="center" wrapText="1"/>
    </xf>
    <xf numFmtId="0" fontId="25" fillId="6" borderId="1" xfId="1" applyFont="1" applyFill="1" applyBorder="1" applyAlignment="1">
      <alignment horizontal="center" vertical="center"/>
    </xf>
    <xf numFmtId="0" fontId="25" fillId="2" borderId="7" xfId="1" applyFont="1" applyFill="1" applyBorder="1" applyAlignment="1">
      <alignment horizontal="left" vertical="center"/>
    </xf>
    <xf numFmtId="0" fontId="25" fillId="2" borderId="8" xfId="1" applyFont="1" applyFill="1" applyBorder="1" applyAlignment="1">
      <alignment horizontal="left" vertical="center"/>
    </xf>
    <xf numFmtId="49" fontId="26" fillId="2" borderId="8" xfId="0" applyNumberFormat="1" applyFont="1" applyFill="1" applyBorder="1" applyAlignment="1">
      <alignment horizontal="center" vertical="center" wrapText="1"/>
    </xf>
    <xf numFmtId="0" fontId="25" fillId="2" borderId="8" xfId="1" applyFont="1" applyFill="1" applyBorder="1" applyAlignment="1">
      <alignment horizontal="center" vertical="center"/>
    </xf>
    <xf numFmtId="0" fontId="25" fillId="0" borderId="43" xfId="0" applyFont="1" applyBorder="1" applyAlignment="1">
      <alignment horizontal="center" vertical="center"/>
    </xf>
    <xf numFmtId="0" fontId="27" fillId="4" borderId="1" xfId="1" applyFont="1" applyFill="1" applyBorder="1" applyAlignment="1">
      <alignment horizontal="left" vertical="center" wrapText="1"/>
    </xf>
    <xf numFmtId="49" fontId="27" fillId="4" borderId="1" xfId="1" applyNumberFormat="1" applyFont="1" applyFill="1" applyBorder="1" applyAlignment="1">
      <alignment horizontal="center" vertical="center" wrapText="1"/>
    </xf>
    <xf numFmtId="0" fontId="27" fillId="4" borderId="1" xfId="1" applyFont="1" applyFill="1" applyBorder="1" applyAlignment="1">
      <alignment horizontal="center" vertical="center" wrapText="1"/>
    </xf>
    <xf numFmtId="0" fontId="27" fillId="4" borderId="2" xfId="1" applyFont="1" applyFill="1" applyBorder="1" applyAlignment="1">
      <alignment horizontal="left" vertical="center" wrapText="1"/>
    </xf>
    <xf numFmtId="0" fontId="27" fillId="4" borderId="3" xfId="1" applyFont="1" applyFill="1" applyBorder="1" applyAlignment="1">
      <alignment horizontal="left" vertical="center" wrapText="1"/>
    </xf>
    <xf numFmtId="49" fontId="27" fillId="4" borderId="3" xfId="1" applyNumberFormat="1" applyFont="1" applyFill="1" applyBorder="1" applyAlignment="1">
      <alignment horizontal="center" vertical="center" wrapText="1"/>
    </xf>
    <xf numFmtId="0" fontId="27" fillId="4" borderId="3" xfId="1" applyFont="1" applyFill="1" applyBorder="1" applyAlignment="1">
      <alignment horizontal="center" vertical="center" wrapText="1"/>
    </xf>
    <xf numFmtId="0" fontId="27" fillId="4" borderId="4" xfId="1" applyFont="1" applyFill="1" applyBorder="1" applyAlignment="1">
      <alignment horizontal="center" vertical="center" wrapText="1"/>
    </xf>
    <xf numFmtId="3" fontId="25" fillId="0" borderId="1" xfId="1" applyNumberFormat="1" applyFont="1" applyBorder="1" applyAlignment="1">
      <alignment vertical="center"/>
    </xf>
    <xf numFmtId="3" fontId="25" fillId="0" borderId="6" xfId="1" applyNumberFormat="1" applyFont="1" applyBorder="1" applyAlignment="1">
      <alignment vertical="center"/>
    </xf>
    <xf numFmtId="3" fontId="25" fillId="5" borderId="1" xfId="1" applyNumberFormat="1" applyFont="1" applyFill="1" applyBorder="1" applyAlignment="1">
      <alignment vertical="center"/>
    </xf>
    <xf numFmtId="3" fontId="25" fillId="5" borderId="6" xfId="1" applyNumberFormat="1" applyFont="1" applyFill="1" applyBorder="1" applyAlignment="1">
      <alignment vertical="center"/>
    </xf>
    <xf numFmtId="3" fontId="25" fillId="6" borderId="1" xfId="1" applyNumberFormat="1" applyFont="1" applyFill="1" applyBorder="1"/>
    <xf numFmtId="3" fontId="25" fillId="6" borderId="6" xfId="1" applyNumberFormat="1" applyFont="1" applyFill="1" applyBorder="1"/>
    <xf numFmtId="3" fontId="25" fillId="2" borderId="8" xfId="1" applyNumberFormat="1" applyFont="1" applyFill="1" applyBorder="1"/>
    <xf numFmtId="3" fontId="25" fillId="2" borderId="9" xfId="1" applyNumberFormat="1" applyFont="1" applyFill="1" applyBorder="1"/>
    <xf numFmtId="3" fontId="25" fillId="0" borderId="43" xfId="0" applyNumberFormat="1" applyFont="1" applyBorder="1" applyAlignment="1">
      <alignment horizontal="center" vertical="center"/>
    </xf>
    <xf numFmtId="49" fontId="25" fillId="5" borderId="1" xfId="1" quotePrefix="1" applyNumberFormat="1" applyFont="1" applyFill="1" applyBorder="1" applyAlignment="1">
      <alignment horizontal="center" vertical="center"/>
    </xf>
    <xf numFmtId="1" fontId="25" fillId="5" borderId="1" xfId="1" quotePrefix="1" applyNumberFormat="1" applyFont="1" applyFill="1" applyBorder="1" applyAlignment="1">
      <alignment horizontal="center" vertical="center"/>
    </xf>
    <xf numFmtId="0" fontId="30" fillId="0" borderId="0" xfId="0" applyFont="1"/>
    <xf numFmtId="3" fontId="14" fillId="15" borderId="1" xfId="2" applyNumberFormat="1" applyFont="1" applyFill="1" applyBorder="1" applyAlignment="1">
      <alignment horizontal="right" vertical="center"/>
    </xf>
    <xf numFmtId="3" fontId="14" fillId="6" borderId="1" xfId="2" applyNumberFormat="1" applyFont="1" applyFill="1" applyBorder="1" applyAlignment="1">
      <alignment horizontal="right" vertical="center"/>
    </xf>
    <xf numFmtId="3" fontId="14" fillId="5" borderId="22" xfId="2" applyNumberFormat="1" applyFont="1" applyFill="1" applyBorder="1" applyAlignment="1">
      <alignment horizontal="right" vertical="center"/>
    </xf>
    <xf numFmtId="3" fontId="14" fillId="6" borderId="41" xfId="2" applyNumberFormat="1" applyFont="1" applyFill="1" applyBorder="1" applyAlignment="1">
      <alignment horizontal="right" vertical="center"/>
    </xf>
    <xf numFmtId="3" fontId="23" fillId="7" borderId="22" xfId="3" applyNumberFormat="1" applyFont="1" applyFill="1" applyBorder="1" applyAlignment="1">
      <alignment horizontal="right" vertical="center" wrapText="1"/>
    </xf>
    <xf numFmtId="3" fontId="14" fillId="7" borderId="22" xfId="2" applyNumberFormat="1" applyFont="1" applyFill="1" applyBorder="1" applyAlignment="1">
      <alignment horizontal="right" vertical="center"/>
    </xf>
    <xf numFmtId="3" fontId="0" fillId="0" borderId="0" xfId="0" applyNumberFormat="1"/>
    <xf numFmtId="49" fontId="5" fillId="0" borderId="8" xfId="1" applyNumberFormat="1" applyFont="1" applyBorder="1" applyAlignment="1">
      <alignment horizontal="center" vertical="center"/>
    </xf>
    <xf numFmtId="49" fontId="5" fillId="0" borderId="9" xfId="1" applyNumberFormat="1" applyFont="1" applyBorder="1" applyAlignment="1">
      <alignment vertical="center"/>
    </xf>
    <xf numFmtId="3" fontId="8" fillId="0" borderId="0" xfId="1" applyNumberFormat="1"/>
    <xf numFmtId="0" fontId="0" fillId="0" borderId="0" xfId="0" applyAlignment="1">
      <alignment horizontal="center"/>
    </xf>
    <xf numFmtId="49" fontId="4" fillId="0" borderId="8" xfId="1" applyNumberFormat="1" applyFont="1" applyBorder="1" applyAlignment="1">
      <alignment horizontal="center" vertical="center"/>
    </xf>
    <xf numFmtId="49" fontId="4" fillId="0" borderId="9" xfId="1" applyNumberFormat="1" applyFont="1" applyBorder="1" applyAlignment="1">
      <alignment vertical="center"/>
    </xf>
    <xf numFmtId="0" fontId="25" fillId="0" borderId="0" xfId="0" applyFont="1" applyAlignment="1">
      <alignment horizontal="center" vertical="center"/>
    </xf>
    <xf numFmtId="2" fontId="25" fillId="0" borderId="1" xfId="1" applyNumberFormat="1" applyFont="1" applyBorder="1" applyAlignment="1">
      <alignment vertical="center"/>
    </xf>
    <xf numFmtId="2" fontId="25" fillId="5" borderId="1" xfId="1" applyNumberFormat="1" applyFont="1" applyFill="1" applyBorder="1" applyAlignment="1">
      <alignment vertical="center"/>
    </xf>
    <xf numFmtId="2" fontId="25" fillId="6" borderId="1" xfId="1" applyNumberFormat="1" applyFont="1" applyFill="1" applyBorder="1"/>
    <xf numFmtId="2" fontId="25" fillId="2" borderId="8" xfId="1" applyNumberFormat="1" applyFont="1" applyFill="1" applyBorder="1"/>
    <xf numFmtId="2" fontId="25" fillId="0" borderId="0" xfId="0" applyNumberFormat="1" applyFont="1" applyAlignment="1">
      <alignment horizontal="center" vertical="center"/>
    </xf>
    <xf numFmtId="164" fontId="8" fillId="0" borderId="0" xfId="1" applyNumberFormat="1"/>
    <xf numFmtId="0" fontId="0" fillId="0" borderId="0" xfId="0" applyAlignment="1">
      <alignment horizontal="center" vertical="center"/>
    </xf>
    <xf numFmtId="49" fontId="27" fillId="4" borderId="0" xfId="1" applyNumberFormat="1" applyFont="1" applyFill="1" applyAlignment="1">
      <alignment horizontal="center" vertical="center" wrapText="1"/>
    </xf>
    <xf numFmtId="0" fontId="27" fillId="4" borderId="0" xfId="1" applyFont="1" applyFill="1" applyAlignment="1">
      <alignment horizontal="center" vertical="center" wrapText="1"/>
    </xf>
    <xf numFmtId="14" fontId="0" fillId="0" borderId="0" xfId="0" applyNumberFormat="1" applyAlignment="1">
      <alignment vertical="center"/>
    </xf>
    <xf numFmtId="0" fontId="9" fillId="0" borderId="0" xfId="0" applyFont="1" applyAlignment="1">
      <alignment horizontal="center" vertical="center"/>
    </xf>
    <xf numFmtId="0" fontId="0" fillId="0" borderId="0" xfId="1" applyFont="1" applyAlignment="1">
      <alignment horizontal="left" vertical="center"/>
    </xf>
    <xf numFmtId="49" fontId="0" fillId="0" borderId="0" xfId="1" applyNumberFormat="1" applyFont="1" applyAlignment="1">
      <alignment horizontal="center" vertical="center"/>
    </xf>
    <xf numFmtId="0" fontId="0" fillId="0" borderId="0" xfId="1" applyFont="1" applyAlignment="1">
      <alignment horizontal="center" vertical="center"/>
    </xf>
    <xf numFmtId="2" fontId="0" fillId="0" borderId="0" xfId="1" applyNumberFormat="1" applyFont="1" applyAlignment="1">
      <alignment horizontal="center" vertical="center"/>
    </xf>
    <xf numFmtId="14" fontId="27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/>
    </xf>
    <xf numFmtId="0" fontId="32" fillId="2" borderId="0" xfId="0" applyFont="1" applyFill="1" applyAlignment="1">
      <alignment horizontal="center" vertical="center"/>
    </xf>
    <xf numFmtId="2" fontId="27" fillId="4" borderId="0" xfId="1" applyNumberFormat="1" applyFont="1" applyFill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49" fontId="0" fillId="0" borderId="0" xfId="1" quotePrefix="1" applyNumberFormat="1" applyFont="1" applyAlignment="1">
      <alignment horizontal="center" vertical="center"/>
    </xf>
    <xf numFmtId="0" fontId="0" fillId="5" borderId="0" xfId="1" applyFont="1" applyFill="1" applyAlignment="1">
      <alignment horizontal="left" vertical="center"/>
    </xf>
    <xf numFmtId="49" fontId="0" fillId="5" borderId="0" xfId="1" applyNumberFormat="1" applyFont="1" applyFill="1" applyAlignment="1">
      <alignment horizontal="center" vertical="center"/>
    </xf>
    <xf numFmtId="0" fontId="0" fillId="5" borderId="0" xfId="1" applyFont="1" applyFill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49" fontId="33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right" vertical="center"/>
    </xf>
    <xf numFmtId="2" fontId="0" fillId="0" borderId="0" xfId="1" applyNumberFormat="1" applyFont="1" applyAlignment="1">
      <alignment horizontal="right" vertical="center"/>
    </xf>
    <xf numFmtId="2" fontId="0" fillId="5" borderId="0" xfId="1" applyNumberFormat="1" applyFont="1" applyFill="1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16" fontId="0" fillId="0" borderId="0" xfId="0" applyNumberFormat="1" applyAlignment="1">
      <alignment horizontal="center" vertical="center"/>
    </xf>
    <xf numFmtId="16" fontId="0" fillId="0" borderId="0" xfId="0" applyNumberFormat="1"/>
    <xf numFmtId="14" fontId="34" fillId="17" borderId="44" xfId="0" applyNumberFormat="1" applyFont="1" applyFill="1" applyBorder="1" applyAlignment="1">
      <alignment horizontal="center" vertical="center"/>
    </xf>
    <xf numFmtId="16" fontId="34" fillId="17" borderId="45" xfId="0" applyNumberFormat="1" applyFont="1" applyFill="1" applyBorder="1" applyAlignment="1">
      <alignment horizontal="center" vertical="center"/>
    </xf>
    <xf numFmtId="0" fontId="34" fillId="17" borderId="45" xfId="0" applyFont="1" applyFill="1" applyBorder="1" applyAlignment="1">
      <alignment horizontal="center" vertical="center"/>
    </xf>
    <xf numFmtId="0" fontId="34" fillId="17" borderId="46" xfId="0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3" fontId="34" fillId="17" borderId="45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/>
    </xf>
    <xf numFmtId="0" fontId="9" fillId="19" borderId="14" xfId="0" applyFont="1" applyFill="1" applyBorder="1" applyAlignment="1">
      <alignment horizontal="center" vertical="center"/>
    </xf>
    <xf numFmtId="0" fontId="34" fillId="18" borderId="0" xfId="0" applyFont="1" applyFill="1" applyAlignment="1">
      <alignment horizontal="center" vertical="center"/>
    </xf>
    <xf numFmtId="14" fontId="34" fillId="18" borderId="8" xfId="0" applyNumberFormat="1" applyFont="1" applyFill="1" applyBorder="1" applyAlignment="1">
      <alignment horizontal="center" vertical="center"/>
    </xf>
    <xf numFmtId="14" fontId="34" fillId="18" borderId="9" xfId="0" applyNumberFormat="1" applyFont="1" applyFill="1" applyBorder="1" applyAlignment="1">
      <alignment horizontal="center" vertical="center"/>
    </xf>
    <xf numFmtId="14" fontId="34" fillId="18" borderId="1" xfId="0" applyNumberFormat="1" applyFont="1" applyFill="1" applyBorder="1" applyAlignment="1" applyProtection="1">
      <alignment horizontal="center" vertical="center"/>
      <protection locked="0"/>
    </xf>
    <xf numFmtId="0" fontId="32" fillId="7" borderId="0" xfId="0" applyFont="1" applyFill="1"/>
    <xf numFmtId="0" fontId="9" fillId="16" borderId="6" xfId="0" applyFont="1" applyFill="1" applyBorder="1" applyAlignment="1">
      <alignment horizontal="center" vertical="center"/>
    </xf>
    <xf numFmtId="165" fontId="9" fillId="16" borderId="1" xfId="0" applyNumberFormat="1" applyFont="1" applyFill="1" applyBorder="1" applyAlignment="1">
      <alignment horizontal="right" vertical="center"/>
    </xf>
    <xf numFmtId="0" fontId="9" fillId="2" borderId="6" xfId="0" applyFont="1" applyFill="1" applyBorder="1" applyAlignment="1">
      <alignment horizontal="center" vertical="center"/>
    </xf>
    <xf numFmtId="165" fontId="9" fillId="2" borderId="1" xfId="0" applyNumberFormat="1" applyFont="1" applyFill="1" applyBorder="1" applyAlignment="1">
      <alignment horizontal="right" vertical="center"/>
    </xf>
    <xf numFmtId="165" fontId="34" fillId="0" borderId="1" xfId="0" applyNumberFormat="1" applyFont="1" applyBorder="1" applyAlignment="1">
      <alignment horizontal="right" vertical="center"/>
    </xf>
    <xf numFmtId="0" fontId="12" fillId="0" borderId="0" xfId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0" xfId="0" pivotButton="1" applyBorder="1"/>
    <xf numFmtId="0" fontId="0" fillId="0" borderId="30" xfId="0" pivotButton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0" xfId="0" applyBorder="1" applyAlignment="1">
      <alignment horizontal="left"/>
    </xf>
    <xf numFmtId="0" fontId="0" fillId="0" borderId="30" xfId="0" applyBorder="1" applyAlignment="1">
      <alignment horizontal="center" vertical="center"/>
    </xf>
    <xf numFmtId="165" fontId="0" fillId="0" borderId="35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0" borderId="37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36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0" fontId="0" fillId="0" borderId="26" xfId="0" applyBorder="1" applyAlignment="1">
      <alignment horizontal="left"/>
    </xf>
    <xf numFmtId="0" fontId="0" fillId="20" borderId="0" xfId="0" applyFill="1"/>
    <xf numFmtId="0" fontId="0" fillId="20" borderId="0" xfId="0" applyFill="1" applyAlignment="1">
      <alignment horizontal="left" vertical="center"/>
    </xf>
    <xf numFmtId="0" fontId="9" fillId="20" borderId="0" xfId="0" applyFont="1" applyFill="1"/>
    <xf numFmtId="0" fontId="9" fillId="20" borderId="0" xfId="0" applyFont="1" applyFill="1" applyAlignment="1">
      <alignment horizontal="left" vertical="center"/>
    </xf>
    <xf numFmtId="0" fontId="0" fillId="20" borderId="0" xfId="0" applyFill="1" applyAlignment="1">
      <alignment horizontal="left" vertical="top"/>
    </xf>
    <xf numFmtId="165" fontId="0" fillId="0" borderId="35" xfId="0" applyNumberFormat="1" applyBorder="1"/>
    <xf numFmtId="165" fontId="0" fillId="0" borderId="10" xfId="0" applyNumberFormat="1" applyBorder="1"/>
    <xf numFmtId="165" fontId="0" fillId="0" borderId="37" xfId="0" applyNumberFormat="1" applyBorder="1"/>
    <xf numFmtId="165" fontId="0" fillId="0" borderId="38" xfId="0" applyNumberFormat="1" applyBorder="1"/>
    <xf numFmtId="165" fontId="0" fillId="0" borderId="5" xfId="0" applyNumberFormat="1" applyBorder="1"/>
    <xf numFmtId="165" fontId="0" fillId="0" borderId="33" xfId="0" applyNumberFormat="1" applyBorder="1"/>
    <xf numFmtId="165" fontId="0" fillId="0" borderId="24" xfId="0" applyNumberFormat="1" applyBorder="1"/>
    <xf numFmtId="165" fontId="0" fillId="0" borderId="34" xfId="0" applyNumberFormat="1" applyBorder="1"/>
    <xf numFmtId="165" fontId="0" fillId="0" borderId="25" xfId="0" applyNumberFormat="1" applyBorder="1"/>
    <xf numFmtId="165" fontId="0" fillId="0" borderId="36" xfId="0" applyNumberFormat="1" applyBorder="1"/>
    <xf numFmtId="0" fontId="0" fillId="0" borderId="26" xfId="0" pivotButton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30" xfId="0" applyBorder="1" applyAlignment="1">
      <alignment horizontal="left" indent="1"/>
    </xf>
    <xf numFmtId="165" fontId="0" fillId="0" borderId="6" xfId="0" applyNumberFormat="1" applyBorder="1"/>
    <xf numFmtId="165" fontId="0" fillId="0" borderId="4" xfId="0" applyNumberFormat="1" applyBorder="1"/>
    <xf numFmtId="165" fontId="0" fillId="0" borderId="51" xfId="0" applyNumberFormat="1" applyBorder="1"/>
    <xf numFmtId="165" fontId="0" fillId="0" borderId="2" xfId="0" applyNumberFormat="1" applyBorder="1"/>
    <xf numFmtId="17" fontId="0" fillId="0" borderId="0" xfId="0" applyNumberFormat="1"/>
    <xf numFmtId="166" fontId="0" fillId="0" borderId="0" xfId="0" applyNumberFormat="1"/>
    <xf numFmtId="166" fontId="36" fillId="0" borderId="0" xfId="0" applyNumberFormat="1" applyFont="1"/>
    <xf numFmtId="17" fontId="0" fillId="0" borderId="0" xfId="0" applyNumberFormat="1" applyAlignment="1">
      <alignment horizontal="center" vertical="center"/>
    </xf>
    <xf numFmtId="49" fontId="9" fillId="16" borderId="26" xfId="0" applyNumberFormat="1" applyFont="1" applyFill="1" applyBorder="1" applyAlignment="1">
      <alignment horizontal="center" vertical="center"/>
    </xf>
    <xf numFmtId="0" fontId="9" fillId="20" borderId="0" xfId="0" applyFont="1" applyFill="1" applyAlignment="1">
      <alignment horizontal="right" vertical="center"/>
    </xf>
    <xf numFmtId="0" fontId="0" fillId="20" borderId="0" xfId="0" applyFill="1" applyAlignment="1">
      <alignment horizontal="center"/>
    </xf>
    <xf numFmtId="0" fontId="0" fillId="0" borderId="25" xfId="0" applyBorder="1" applyAlignment="1">
      <alignment horizontal="left"/>
    </xf>
    <xf numFmtId="0" fontId="0" fillId="0" borderId="25" xfId="0" applyBorder="1" applyAlignment="1">
      <alignment horizontal="left" indent="2"/>
    </xf>
    <xf numFmtId="0" fontId="0" fillId="0" borderId="26" xfId="0" applyBorder="1" applyAlignment="1">
      <alignment horizontal="center"/>
    </xf>
    <xf numFmtId="0" fontId="34" fillId="21" borderId="25" xfId="0" applyFont="1" applyFill="1" applyBorder="1"/>
    <xf numFmtId="0" fontId="34" fillId="21" borderId="35" xfId="0" applyFont="1" applyFill="1" applyBorder="1"/>
    <xf numFmtId="0" fontId="34" fillId="21" borderId="35" xfId="0" applyFont="1" applyFill="1" applyBorder="1" applyAlignment="1">
      <alignment horizontal="center" vertical="center"/>
    </xf>
    <xf numFmtId="0" fontId="34" fillId="21" borderId="25" xfId="0" applyFont="1" applyFill="1" applyBorder="1" applyAlignment="1">
      <alignment horizontal="left"/>
    </xf>
    <xf numFmtId="0" fontId="34" fillId="21" borderId="47" xfId="0" applyFont="1" applyFill="1" applyBorder="1" applyAlignment="1">
      <alignment horizontal="left"/>
    </xf>
    <xf numFmtId="0" fontId="34" fillId="22" borderId="50" xfId="0" applyFont="1" applyFill="1" applyBorder="1" applyAlignment="1">
      <alignment horizontal="left"/>
    </xf>
    <xf numFmtId="0" fontId="34" fillId="22" borderId="30" xfId="0" applyFont="1" applyFill="1" applyBorder="1" applyAlignment="1">
      <alignment horizontal="left"/>
    </xf>
    <xf numFmtId="0" fontId="34" fillId="22" borderId="32" xfId="0" applyFont="1" applyFill="1" applyBorder="1" applyAlignment="1">
      <alignment horizontal="left"/>
    </xf>
    <xf numFmtId="0" fontId="34" fillId="22" borderId="30" xfId="0" applyFont="1" applyFill="1" applyBorder="1"/>
    <xf numFmtId="0" fontId="34" fillId="22" borderId="30" xfId="0" applyFont="1" applyFill="1" applyBorder="1" applyAlignment="1">
      <alignment horizontal="center" vertical="center"/>
    </xf>
    <xf numFmtId="0" fontId="38" fillId="0" borderId="0" xfId="1" applyFont="1" applyAlignment="1">
      <alignment horizontal="center" vertical="center"/>
    </xf>
    <xf numFmtId="0" fontId="37" fillId="0" borderId="0" xfId="1" applyFont="1" applyAlignment="1">
      <alignment horizontal="left" vertical="center" wrapText="1"/>
    </xf>
    <xf numFmtId="49" fontId="37" fillId="0" borderId="0" xfId="1" applyNumberFormat="1" applyFont="1" applyAlignment="1">
      <alignment horizontal="center" vertical="center" wrapText="1"/>
    </xf>
    <xf numFmtId="0" fontId="37" fillId="0" borderId="0" xfId="1" applyFont="1" applyAlignment="1">
      <alignment horizontal="center" vertical="center" wrapText="1"/>
    </xf>
    <xf numFmtId="0" fontId="29" fillId="0" borderId="0" xfId="1" applyFont="1"/>
    <xf numFmtId="0" fontId="3" fillId="0" borderId="0" xfId="1" applyFont="1"/>
    <xf numFmtId="0" fontId="0" fillId="0" borderId="26" xfId="0" applyBorder="1" applyAlignment="1">
      <alignment horizontal="left" indent="1"/>
    </xf>
    <xf numFmtId="0" fontId="0" fillId="0" borderId="39" xfId="0" applyBorder="1" applyAlignment="1">
      <alignment horizontal="left" indent="2"/>
    </xf>
    <xf numFmtId="0" fontId="0" fillId="0" borderId="30" xfId="0" applyBorder="1" applyAlignment="1">
      <alignment horizontal="left" indent="2"/>
    </xf>
    <xf numFmtId="0" fontId="0" fillId="0" borderId="1" xfId="0" applyBorder="1" applyAlignment="1">
      <alignment horizontal="left" indent="1"/>
    </xf>
    <xf numFmtId="0" fontId="0" fillId="0" borderId="41" xfId="0" applyBorder="1" applyAlignment="1">
      <alignment horizontal="left" indent="1"/>
    </xf>
    <xf numFmtId="49" fontId="27" fillId="2" borderId="0" xfId="0" applyNumberFormat="1" applyFont="1" applyFill="1" applyAlignment="1">
      <alignment horizontal="center" vertical="center"/>
    </xf>
    <xf numFmtId="167" fontId="27" fillId="4" borderId="0" xfId="1" applyNumberFormat="1" applyFont="1" applyFill="1" applyAlignment="1">
      <alignment horizontal="center" vertical="center" wrapText="1"/>
    </xf>
    <xf numFmtId="167" fontId="0" fillId="0" borderId="0" xfId="0" applyNumberFormat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7" fontId="0" fillId="0" borderId="0" xfId="0" applyNumberFormat="1" applyAlignment="1">
      <alignment horizontal="center"/>
    </xf>
    <xf numFmtId="0" fontId="0" fillId="0" borderId="11" xfId="0" applyBorder="1" applyAlignment="1">
      <alignment horizontal="center"/>
    </xf>
    <xf numFmtId="165" fontId="0" fillId="0" borderId="11" xfId="0" applyNumberFormat="1" applyBorder="1"/>
    <xf numFmtId="165" fontId="0" fillId="0" borderId="12" xfId="0" applyNumberFormat="1" applyBorder="1"/>
    <xf numFmtId="165" fontId="0" fillId="0" borderId="13" xfId="0" applyNumberFormat="1" applyBorder="1"/>
    <xf numFmtId="49" fontId="24" fillId="6" borderId="20" xfId="2" quotePrefix="1" applyNumberFormat="1" applyFont="1" applyFill="1" applyBorder="1" applyAlignment="1">
      <alignment horizontal="center" vertical="center" wrapText="1"/>
    </xf>
    <xf numFmtId="14" fontId="40" fillId="0" borderId="0" xfId="0" applyNumberFormat="1" applyFont="1" applyAlignment="1">
      <alignment vertical="center"/>
    </xf>
    <xf numFmtId="49" fontId="40" fillId="0" borderId="0" xfId="0" applyNumberFormat="1" applyFont="1" applyAlignment="1">
      <alignment horizontal="center" vertical="center"/>
    </xf>
    <xf numFmtId="0" fontId="40" fillId="0" borderId="0" xfId="1" applyFont="1" applyAlignment="1">
      <alignment horizontal="left" vertical="center"/>
    </xf>
    <xf numFmtId="49" fontId="40" fillId="0" borderId="0" xfId="1" applyNumberFormat="1" applyFont="1" applyAlignment="1">
      <alignment horizontal="center" vertical="center"/>
    </xf>
    <xf numFmtId="49" fontId="40" fillId="0" borderId="0" xfId="1" quotePrefix="1" applyNumberFormat="1" applyFont="1" applyAlignment="1">
      <alignment horizontal="center" vertical="center"/>
    </xf>
    <xf numFmtId="0" fontId="40" fillId="0" borderId="0" xfId="1" applyFont="1" applyAlignment="1">
      <alignment horizontal="center" vertical="center"/>
    </xf>
    <xf numFmtId="2" fontId="40" fillId="0" borderId="0" xfId="1" applyNumberFormat="1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34" fillId="21" borderId="25" xfId="0" applyFont="1" applyFill="1" applyBorder="1" applyAlignment="1">
      <alignment horizontal="center" vertical="center"/>
    </xf>
    <xf numFmtId="168" fontId="25" fillId="0" borderId="6" xfId="1" applyNumberFormat="1" applyFont="1" applyBorder="1" applyAlignment="1">
      <alignment vertical="center"/>
    </xf>
    <xf numFmtId="2" fontId="22" fillId="0" borderId="0" xfId="2" applyNumberFormat="1" applyFont="1" applyAlignment="1">
      <alignment horizontal="left" vertical="center" wrapText="1"/>
    </xf>
    <xf numFmtId="49" fontId="2" fillId="0" borderId="8" xfId="1" applyNumberFormat="1" applyFont="1" applyBorder="1" applyAlignment="1">
      <alignment horizontal="center" vertical="center"/>
    </xf>
    <xf numFmtId="3" fontId="17" fillId="12" borderId="3" xfId="1" applyNumberFormat="1" applyFont="1" applyFill="1" applyBorder="1" applyAlignment="1">
      <alignment horizontal="center" vertical="center"/>
    </xf>
    <xf numFmtId="3" fontId="8" fillId="0" borderId="1" xfId="1" applyNumberFormat="1" applyBorder="1" applyAlignment="1">
      <alignment vertical="center"/>
    </xf>
    <xf numFmtId="3" fontId="8" fillId="0" borderId="8" xfId="1" applyNumberFormat="1" applyBorder="1" applyAlignment="1">
      <alignment vertical="center"/>
    </xf>
    <xf numFmtId="3" fontId="8" fillId="16" borderId="8" xfId="1" applyNumberFormat="1" applyFill="1" applyBorder="1" applyAlignment="1">
      <alignment vertical="center"/>
    </xf>
    <xf numFmtId="3" fontId="23" fillId="7" borderId="22" xfId="3" applyNumberFormat="1" applyFont="1" applyFill="1" applyBorder="1" applyAlignment="1">
      <alignment horizontal="left" vertical="center" wrapText="1"/>
    </xf>
    <xf numFmtId="0" fontId="9" fillId="0" borderId="0" xfId="0" applyFont="1"/>
    <xf numFmtId="0" fontId="34" fillId="21" borderId="0" xfId="0" applyFont="1" applyFill="1"/>
    <xf numFmtId="0" fontId="34" fillId="21" borderId="0" xfId="0" applyFont="1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/>
    <xf numFmtId="49" fontId="1" fillId="0" borderId="8" xfId="1" applyNumberFormat="1" applyFont="1" applyBorder="1" applyAlignment="1">
      <alignment horizontal="center" vertical="center"/>
    </xf>
    <xf numFmtId="49" fontId="1" fillId="0" borderId="9" xfId="1" applyNumberFormat="1" applyFont="1" applyBorder="1" applyAlignment="1">
      <alignment vertical="center" wrapText="1"/>
    </xf>
    <xf numFmtId="49" fontId="1" fillId="0" borderId="9" xfId="1" applyNumberFormat="1" applyFont="1" applyBorder="1" applyAlignment="1">
      <alignment horizontal="left" vertical="center" wrapText="1"/>
    </xf>
    <xf numFmtId="0" fontId="11" fillId="20" borderId="0" xfId="0" applyFont="1" applyFill="1" applyAlignment="1">
      <alignment horizontal="right" vertical="center"/>
    </xf>
    <xf numFmtId="0" fontId="0" fillId="20" borderId="0" xfId="0" applyFill="1" applyAlignment="1">
      <alignment horizontal="left" vertical="center"/>
    </xf>
    <xf numFmtId="0" fontId="0" fillId="20" borderId="0" xfId="0" applyFill="1" applyAlignment="1">
      <alignment horizontal="left" vertical="top"/>
    </xf>
    <xf numFmtId="0" fontId="9" fillId="20" borderId="0" xfId="0" applyFont="1" applyFill="1" applyAlignment="1">
      <alignment horizontal="left" vertical="center"/>
    </xf>
    <xf numFmtId="0" fontId="28" fillId="3" borderId="1" xfId="1" applyFont="1" applyFill="1" applyBorder="1" applyAlignment="1">
      <alignment horizontal="center" vertical="center"/>
    </xf>
    <xf numFmtId="0" fontId="29" fillId="0" borderId="1" xfId="1" applyFont="1" applyBorder="1"/>
    <xf numFmtId="0" fontId="35" fillId="0" borderId="33" xfId="0" applyFont="1" applyBorder="1" applyAlignment="1">
      <alignment horizontal="center" vertical="center"/>
    </xf>
    <xf numFmtId="0" fontId="35" fillId="0" borderId="24" xfId="0" applyFont="1" applyBorder="1" applyAlignment="1">
      <alignment horizontal="center" vertical="center"/>
    </xf>
    <xf numFmtId="0" fontId="35" fillId="0" borderId="34" xfId="0" applyFont="1" applyBorder="1" applyAlignment="1">
      <alignment horizontal="center" vertical="center"/>
    </xf>
    <xf numFmtId="0" fontId="35" fillId="0" borderId="36" xfId="0" applyFont="1" applyBorder="1" applyAlignment="1">
      <alignment horizontal="center" vertical="center"/>
    </xf>
    <xf numFmtId="0" fontId="35" fillId="0" borderId="10" xfId="0" applyFont="1" applyBorder="1" applyAlignment="1">
      <alignment horizontal="center" vertical="center"/>
    </xf>
    <xf numFmtId="0" fontId="35" fillId="0" borderId="37" xfId="0" applyFont="1" applyBorder="1" applyAlignment="1">
      <alignment horizontal="center" vertical="center"/>
    </xf>
    <xf numFmtId="0" fontId="28" fillId="3" borderId="8" xfId="1" applyFont="1" applyFill="1" applyBorder="1" applyAlignment="1">
      <alignment horizontal="center" vertical="center"/>
    </xf>
    <xf numFmtId="0" fontId="29" fillId="0" borderId="8" xfId="1" applyFont="1" applyBorder="1"/>
    <xf numFmtId="0" fontId="11" fillId="0" borderId="0" xfId="0" applyFont="1" applyAlignment="1">
      <alignment horizontal="center" vertical="center"/>
    </xf>
    <xf numFmtId="0" fontId="12" fillId="0" borderId="11" xfId="1" applyFont="1" applyBorder="1" applyAlignment="1">
      <alignment horizontal="center" vertical="center"/>
    </xf>
    <xf numFmtId="0" fontId="12" fillId="0" borderId="12" xfId="1" applyFont="1" applyBorder="1" applyAlignment="1">
      <alignment horizontal="center" vertical="center"/>
    </xf>
    <xf numFmtId="0" fontId="12" fillId="0" borderId="13" xfId="1" applyFont="1" applyBorder="1" applyAlignment="1">
      <alignment horizontal="center" vertical="center"/>
    </xf>
    <xf numFmtId="0" fontId="13" fillId="0" borderId="25" xfId="2" applyBorder="1" applyAlignment="1">
      <alignment horizontal="center"/>
    </xf>
    <xf numFmtId="0" fontId="13" fillId="0" borderId="0" xfId="2" applyAlignment="1">
      <alignment horizontal="center"/>
    </xf>
    <xf numFmtId="0" fontId="13" fillId="7" borderId="11" xfId="2" applyFill="1" applyBorder="1" applyAlignment="1">
      <alignment horizontal="center" vertical="center"/>
    </xf>
    <xf numFmtId="0" fontId="13" fillId="7" borderId="12" xfId="2" applyFill="1" applyBorder="1" applyAlignment="1">
      <alignment horizontal="center" vertical="center"/>
    </xf>
    <xf numFmtId="0" fontId="13" fillId="7" borderId="13" xfId="2" applyFill="1" applyBorder="1" applyAlignment="1">
      <alignment horizontal="center" vertical="center"/>
    </xf>
    <xf numFmtId="0" fontId="14" fillId="0" borderId="11" xfId="2" applyFont="1" applyBorder="1" applyAlignment="1">
      <alignment horizontal="center" vertical="center"/>
    </xf>
    <xf numFmtId="0" fontId="14" fillId="0" borderId="13" xfId="2" applyFont="1" applyBorder="1" applyAlignment="1">
      <alignment horizontal="center" vertical="center"/>
    </xf>
    <xf numFmtId="2" fontId="14" fillId="8" borderId="25" xfId="2" applyNumberFormat="1" applyFont="1" applyFill="1" applyBorder="1" applyAlignment="1">
      <alignment horizontal="center" vertical="center"/>
    </xf>
    <xf numFmtId="2" fontId="14" fillId="8" borderId="0" xfId="2" applyNumberFormat="1" applyFont="1" applyFill="1" applyAlignment="1">
      <alignment horizontal="center" vertical="center"/>
    </xf>
    <xf numFmtId="2" fontId="13" fillId="0" borderId="25" xfId="2" applyNumberFormat="1" applyBorder="1" applyAlignment="1">
      <alignment horizontal="left" vertical="center" wrapText="1"/>
    </xf>
    <xf numFmtId="2" fontId="13" fillId="0" borderId="0" xfId="2" applyNumberFormat="1" applyAlignment="1">
      <alignment horizontal="left" vertical="center" wrapText="1"/>
    </xf>
    <xf numFmtId="2" fontId="13" fillId="0" borderId="25" xfId="2" applyNumberFormat="1" applyBorder="1" applyAlignment="1">
      <alignment horizontal="center" vertical="center" wrapText="1"/>
    </xf>
    <xf numFmtId="2" fontId="13" fillId="0" borderId="0" xfId="2" applyNumberFormat="1" applyAlignment="1">
      <alignment horizontal="center" vertical="center" wrapText="1"/>
    </xf>
    <xf numFmtId="2" fontId="14" fillId="11" borderId="0" xfId="2" applyNumberFormat="1" applyFont="1" applyFill="1" applyAlignment="1">
      <alignment horizontal="left" vertical="center"/>
    </xf>
    <xf numFmtId="2" fontId="14" fillId="8" borderId="0" xfId="2" applyNumberFormat="1" applyFont="1" applyFill="1" applyAlignment="1">
      <alignment horizontal="left" vertical="center" wrapText="1"/>
    </xf>
    <xf numFmtId="0" fontId="13" fillId="10" borderId="0" xfId="2" applyFill="1" applyAlignment="1">
      <alignment horizontal="left" vertical="center"/>
    </xf>
    <xf numFmtId="0" fontId="16" fillId="5" borderId="19" xfId="2" applyFont="1" applyFill="1" applyBorder="1" applyAlignment="1">
      <alignment horizontal="left" vertical="center"/>
    </xf>
    <xf numFmtId="0" fontId="16" fillId="5" borderId="1" xfId="2" applyFont="1" applyFill="1" applyBorder="1" applyAlignment="1">
      <alignment horizontal="left" vertical="center"/>
    </xf>
    <xf numFmtId="0" fontId="13" fillId="5" borderId="19" xfId="2" applyFill="1" applyBorder="1" applyAlignment="1">
      <alignment horizontal="left" vertical="center"/>
    </xf>
    <xf numFmtId="0" fontId="13" fillId="5" borderId="1" xfId="2" applyFill="1" applyBorder="1" applyAlignment="1">
      <alignment horizontal="left" vertical="center"/>
    </xf>
    <xf numFmtId="0" fontId="13" fillId="13" borderId="33" xfId="2" applyFill="1" applyBorder="1" applyAlignment="1">
      <alignment horizontal="left" vertical="center" wrapText="1"/>
    </xf>
    <xf numFmtId="0" fontId="13" fillId="13" borderId="24" xfId="2" applyFill="1" applyBorder="1" applyAlignment="1">
      <alignment horizontal="left" vertical="center" wrapText="1"/>
    </xf>
    <xf numFmtId="0" fontId="13" fillId="13" borderId="34" xfId="2" applyFill="1" applyBorder="1" applyAlignment="1">
      <alignment horizontal="left" vertical="center" wrapText="1"/>
    </xf>
    <xf numFmtId="0" fontId="13" fillId="13" borderId="25" xfId="2" applyFill="1" applyBorder="1" applyAlignment="1">
      <alignment horizontal="left" vertical="center" wrapText="1"/>
    </xf>
    <xf numFmtId="0" fontId="13" fillId="13" borderId="0" xfId="2" applyFill="1" applyAlignment="1">
      <alignment horizontal="left" vertical="center" wrapText="1"/>
    </xf>
    <xf numFmtId="0" fontId="13" fillId="13" borderId="35" xfId="2" applyFill="1" applyBorder="1" applyAlignment="1">
      <alignment horizontal="left" vertical="center" wrapText="1"/>
    </xf>
    <xf numFmtId="0" fontId="13" fillId="13" borderId="36" xfId="2" applyFill="1" applyBorder="1" applyAlignment="1">
      <alignment horizontal="left" vertical="center" wrapText="1"/>
    </xf>
    <xf numFmtId="0" fontId="13" fillId="13" borderId="10" xfId="2" applyFill="1" applyBorder="1" applyAlignment="1">
      <alignment horizontal="left" vertical="center" wrapText="1"/>
    </xf>
    <xf numFmtId="0" fontId="13" fillId="13" borderId="37" xfId="2" applyFill="1" applyBorder="1" applyAlignment="1">
      <alignment horizontal="left" vertical="center" wrapText="1"/>
    </xf>
    <xf numFmtId="0" fontId="15" fillId="0" borderId="33" xfId="2" applyFont="1" applyBorder="1" applyAlignment="1">
      <alignment horizontal="center" vertical="center"/>
    </xf>
    <xf numFmtId="0" fontId="15" fillId="0" borderId="34" xfId="2" applyFont="1" applyBorder="1" applyAlignment="1">
      <alignment horizontal="center" vertical="center"/>
    </xf>
    <xf numFmtId="0" fontId="15" fillId="0" borderId="25" xfId="2" applyFont="1" applyBorder="1" applyAlignment="1">
      <alignment horizontal="center" vertical="center"/>
    </xf>
    <xf numFmtId="0" fontId="15" fillId="0" borderId="35" xfId="2" applyFont="1" applyBorder="1" applyAlignment="1">
      <alignment horizontal="center" vertical="center"/>
    </xf>
    <xf numFmtId="0" fontId="15" fillId="0" borderId="36" xfId="2" applyFont="1" applyBorder="1" applyAlignment="1">
      <alignment horizontal="center" vertical="center"/>
    </xf>
    <xf numFmtId="0" fontId="15" fillId="0" borderId="37" xfId="2" applyFont="1" applyBorder="1" applyAlignment="1">
      <alignment horizontal="center" vertical="center"/>
    </xf>
    <xf numFmtId="0" fontId="19" fillId="7" borderId="6" xfId="2" applyFont="1" applyFill="1" applyBorder="1" applyAlignment="1">
      <alignment horizontal="center" vertical="center" wrapText="1"/>
    </xf>
    <xf numFmtId="0" fontId="19" fillId="7" borderId="38" xfId="2" applyFont="1" applyFill="1" applyBorder="1" applyAlignment="1">
      <alignment horizontal="center" vertical="center" wrapText="1"/>
    </xf>
    <xf numFmtId="0" fontId="19" fillId="7" borderId="5" xfId="2" applyFont="1" applyFill="1" applyBorder="1" applyAlignment="1">
      <alignment horizontal="center" vertical="center" wrapText="1"/>
    </xf>
    <xf numFmtId="0" fontId="14" fillId="6" borderId="40" xfId="2" applyFont="1" applyFill="1" applyBorder="1" applyAlignment="1">
      <alignment horizontal="center" vertical="center"/>
    </xf>
    <xf numFmtId="0" fontId="14" fillId="6" borderId="41" xfId="2" applyFont="1" applyFill="1" applyBorder="1" applyAlignment="1">
      <alignment horizontal="center" vertical="center"/>
    </xf>
    <xf numFmtId="3" fontId="14" fillId="6" borderId="41" xfId="2" applyNumberFormat="1" applyFont="1" applyFill="1" applyBorder="1" applyAlignment="1">
      <alignment horizontal="center" vertical="center"/>
    </xf>
    <xf numFmtId="0" fontId="14" fillId="6" borderId="33" xfId="2" applyFont="1" applyFill="1" applyBorder="1" applyAlignment="1">
      <alignment horizontal="center" vertical="center"/>
    </xf>
    <xf numFmtId="0" fontId="14" fillId="6" borderId="24" xfId="2" applyFont="1" applyFill="1" applyBorder="1" applyAlignment="1">
      <alignment horizontal="center" vertical="center"/>
    </xf>
    <xf numFmtId="0" fontId="14" fillId="6" borderId="34" xfId="2" applyFont="1" applyFill="1" applyBorder="1" applyAlignment="1">
      <alignment horizontal="center" vertical="center"/>
    </xf>
    <xf numFmtId="0" fontId="13" fillId="6" borderId="41" xfId="2" applyFill="1" applyBorder="1" applyAlignment="1">
      <alignment horizontal="left" vertical="center"/>
    </xf>
    <xf numFmtId="0" fontId="13" fillId="6" borderId="42" xfId="2" applyFill="1" applyBorder="1" applyAlignment="1">
      <alignment horizontal="left" vertical="center"/>
    </xf>
    <xf numFmtId="0" fontId="41" fillId="0" borderId="11" xfId="2" applyFont="1" applyBorder="1" applyAlignment="1">
      <alignment horizontal="center" vertical="center" wrapText="1"/>
    </xf>
    <xf numFmtId="0" fontId="41" fillId="0" borderId="12" xfId="2" applyFont="1" applyBorder="1" applyAlignment="1">
      <alignment horizontal="center" vertical="center" wrapText="1"/>
    </xf>
    <xf numFmtId="0" fontId="41" fillId="0" borderId="13" xfId="2" applyFont="1" applyBorder="1" applyAlignment="1">
      <alignment horizontal="center" vertical="center" wrapText="1"/>
    </xf>
    <xf numFmtId="0" fontId="41" fillId="0" borderId="11" xfId="2" applyFont="1" applyBorder="1" applyAlignment="1">
      <alignment horizontal="center" vertical="center"/>
    </xf>
    <xf numFmtId="0" fontId="41" fillId="0" borderId="12" xfId="2" applyFont="1" applyBorder="1" applyAlignment="1">
      <alignment horizontal="center" vertical="center"/>
    </xf>
    <xf numFmtId="0" fontId="41" fillId="0" borderId="13" xfId="2" applyFont="1" applyBorder="1" applyAlignment="1">
      <alignment horizontal="center" vertical="center"/>
    </xf>
    <xf numFmtId="0" fontId="13" fillId="5" borderId="22" xfId="2" applyFill="1" applyBorder="1" applyAlignment="1">
      <alignment horizontal="left" vertical="center" wrapText="1"/>
    </xf>
    <xf numFmtId="0" fontId="13" fillId="5" borderId="23" xfId="2" applyFill="1" applyBorder="1" applyAlignment="1">
      <alignment horizontal="left" vertical="center" wrapText="1"/>
    </xf>
    <xf numFmtId="0" fontId="13" fillId="5" borderId="21" xfId="2" applyFill="1" applyBorder="1" applyAlignment="1">
      <alignment horizontal="left" vertical="center"/>
    </xf>
    <xf numFmtId="0" fontId="13" fillId="5" borderId="22" xfId="2" applyFill="1" applyBorder="1" applyAlignment="1">
      <alignment horizontal="left" vertical="center"/>
    </xf>
    <xf numFmtId="0" fontId="14" fillId="6" borderId="19" xfId="2" applyFont="1" applyFill="1" applyBorder="1" applyAlignment="1">
      <alignment horizontal="center" vertical="center"/>
    </xf>
    <xf numFmtId="0" fontId="14" fillId="6" borderId="1" xfId="2" applyFont="1" applyFill="1" applyBorder="1" applyAlignment="1">
      <alignment horizontal="center" vertical="center"/>
    </xf>
    <xf numFmtId="0" fontId="14" fillId="5" borderId="11" xfId="2" applyFont="1" applyFill="1" applyBorder="1" applyAlignment="1">
      <alignment horizontal="center" vertical="center"/>
    </xf>
    <xf numFmtId="0" fontId="14" fillId="5" borderId="12" xfId="2" applyFont="1" applyFill="1" applyBorder="1" applyAlignment="1">
      <alignment horizontal="center" vertical="center"/>
    </xf>
    <xf numFmtId="0" fontId="14" fillId="5" borderId="13" xfId="2" applyFont="1" applyFill="1" applyBorder="1" applyAlignment="1">
      <alignment horizontal="center" vertical="center"/>
    </xf>
    <xf numFmtId="0" fontId="14" fillId="5" borderId="3" xfId="2" applyFont="1" applyFill="1" applyBorder="1" applyAlignment="1">
      <alignment horizontal="center" vertical="center"/>
    </xf>
    <xf numFmtId="0" fontId="14" fillId="5" borderId="18" xfId="2" applyFont="1" applyFill="1" applyBorder="1" applyAlignment="1">
      <alignment horizontal="center" vertical="center"/>
    </xf>
    <xf numFmtId="0" fontId="13" fillId="5" borderId="20" xfId="2" applyFill="1" applyBorder="1" applyAlignment="1">
      <alignment horizontal="left" vertical="center"/>
    </xf>
    <xf numFmtId="3" fontId="14" fillId="6" borderId="1" xfId="2" applyNumberFormat="1" applyFont="1" applyFill="1" applyBorder="1" applyAlignment="1">
      <alignment horizontal="center" vertical="center"/>
    </xf>
    <xf numFmtId="0" fontId="14" fillId="6" borderId="21" xfId="2" applyFont="1" applyFill="1" applyBorder="1" applyAlignment="1">
      <alignment horizontal="center" vertical="center"/>
    </xf>
    <xf numFmtId="0" fontId="14" fillId="6" borderId="22" xfId="2" applyFont="1" applyFill="1" applyBorder="1" applyAlignment="1">
      <alignment horizontal="center" vertical="center"/>
    </xf>
    <xf numFmtId="3" fontId="14" fillId="6" borderId="22" xfId="2" applyNumberFormat="1" applyFont="1" applyFill="1" applyBorder="1" applyAlignment="1">
      <alignment horizontal="center" vertical="center"/>
    </xf>
    <xf numFmtId="0" fontId="13" fillId="6" borderId="1" xfId="2" applyFill="1" applyBorder="1" applyAlignment="1">
      <alignment horizontal="left" vertical="center"/>
    </xf>
    <xf numFmtId="0" fontId="13" fillId="6" borderId="20" xfId="2" applyFill="1" applyBorder="1" applyAlignment="1">
      <alignment horizontal="left" vertical="center"/>
    </xf>
    <xf numFmtId="0" fontId="13" fillId="6" borderId="22" xfId="2" applyFill="1" applyBorder="1" applyAlignment="1">
      <alignment horizontal="left" vertical="center" wrapText="1"/>
    </xf>
    <xf numFmtId="0" fontId="13" fillId="6" borderId="23" xfId="2" applyFill="1" applyBorder="1" applyAlignment="1">
      <alignment horizontal="left" vertical="center" wrapText="1"/>
    </xf>
    <xf numFmtId="0" fontId="14" fillId="5" borderId="17" xfId="2" applyFont="1" applyFill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9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39" fillId="0" borderId="0" xfId="0" applyFont="1" applyAlignment="1">
      <alignment horizontal="left" vertical="top" wrapText="1"/>
    </xf>
    <xf numFmtId="0" fontId="9" fillId="0" borderId="0" xfId="0" applyFont="1" applyAlignment="1">
      <alignment horizontal="center"/>
    </xf>
    <xf numFmtId="1" fontId="32" fillId="0" borderId="0" xfId="0" applyNumberFormat="1" applyFont="1"/>
    <xf numFmtId="1" fontId="32" fillId="0" borderId="35" xfId="0" applyNumberFormat="1" applyFont="1" applyBorder="1"/>
    <xf numFmtId="1" fontId="32" fillId="0" borderId="48" xfId="0" applyNumberFormat="1" applyFont="1" applyBorder="1"/>
    <xf numFmtId="1" fontId="32" fillId="0" borderId="49" xfId="0" applyNumberFormat="1" applyFont="1" applyBorder="1"/>
    <xf numFmtId="1" fontId="34" fillId="22" borderId="30" xfId="0" applyNumberFormat="1" applyFont="1" applyFill="1" applyBorder="1"/>
    <xf numFmtId="1" fontId="34" fillId="22" borderId="36" xfId="0" applyNumberFormat="1" applyFont="1" applyFill="1" applyBorder="1"/>
    <xf numFmtId="1" fontId="34" fillId="22" borderId="10" xfId="0" applyNumberFormat="1" applyFont="1" applyFill="1" applyBorder="1"/>
    <xf numFmtId="1" fontId="34" fillId="22" borderId="37" xfId="0" applyNumberFormat="1" applyFont="1" applyFill="1" applyBorder="1"/>
    <xf numFmtId="1" fontId="34" fillId="22" borderId="36" xfId="0" applyNumberFormat="1" applyFont="1" applyFill="1" applyBorder="1" applyAlignment="1">
      <alignment horizontal="center" vertical="center"/>
    </xf>
    <xf numFmtId="1" fontId="34" fillId="22" borderId="10" xfId="0" applyNumberFormat="1" applyFont="1" applyFill="1" applyBorder="1" applyAlignment="1">
      <alignment horizontal="center" vertical="center"/>
    </xf>
    <xf numFmtId="1" fontId="34" fillId="22" borderId="37" xfId="0" applyNumberFormat="1" applyFont="1" applyFill="1" applyBorder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vertical="center"/>
    </xf>
    <xf numFmtId="1" fontId="9" fillId="0" borderId="0" xfId="0" applyNumberFormat="1" applyFont="1"/>
    <xf numFmtId="1" fontId="34" fillId="22" borderId="30" xfId="0" applyNumberFormat="1" applyFont="1" applyFill="1" applyBorder="1" applyAlignment="1">
      <alignment horizontal="center" vertical="center"/>
    </xf>
    <xf numFmtId="1" fontId="32" fillId="0" borderId="25" xfId="0" applyNumberFormat="1" applyFont="1" applyBorder="1"/>
    <xf numFmtId="1" fontId="32" fillId="0" borderId="47" xfId="0" applyNumberFormat="1" applyFont="1" applyBorder="1"/>
    <xf numFmtId="1" fontId="9" fillId="19" borderId="15" xfId="0" applyNumberFormat="1" applyFont="1" applyFill="1" applyBorder="1" applyAlignment="1">
      <alignment horizontal="center" vertical="center"/>
    </xf>
    <xf numFmtId="1" fontId="9" fillId="19" borderId="28" xfId="0" applyNumberFormat="1" applyFont="1" applyFill="1" applyBorder="1" applyAlignment="1">
      <alignment horizontal="center" vertical="center"/>
    </xf>
    <xf numFmtId="1" fontId="0" fillId="19" borderId="26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</cellXfs>
  <cellStyles count="4">
    <cellStyle name="Normal" xfId="0" builtinId="0"/>
    <cellStyle name="Normal 2 2" xfId="2" xr:uid="{00000000-0005-0000-0000-000001000000}"/>
    <cellStyle name="Normal 5" xfId="1" xr:uid="{00000000-0005-0000-0000-000002000000}"/>
    <cellStyle name="Normal 5 2" xfId="3" xr:uid="{00000000-0005-0000-0000-000003000000}"/>
  </cellStyles>
  <dxfs count="508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#,##0_ ;[Red]\-#,##0\ "/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top style="thin">
          <color indexed="64"/>
        </top>
      </border>
    </dxf>
    <dxf>
      <font>
        <color auto="1"/>
      </font>
    </dxf>
    <dxf>
      <fill>
        <patternFill patternType="solid"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" formatCode="0"/>
    </dxf>
    <dxf>
      <numFmt numFmtId="165" formatCode="#,##0_ ;[Red]\-#,##0\ "/>
    </dxf>
    <dxf>
      <alignment horizontal="center"/>
    </dxf>
    <dxf>
      <alignment horizontal="center"/>
    </dxf>
    <dxf>
      <alignment vertical="center"/>
    </dxf>
    <dxf>
      <alignment vertical="center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ont>
        <color auto="1"/>
      </font>
    </dxf>
    <dxf>
      <fill>
        <patternFill patternType="solid">
          <bgColor theme="5" tint="0.39997558519241921"/>
        </patternFill>
      </fill>
    </dxf>
    <dxf>
      <fill>
        <patternFill patternType="solid">
          <bgColor theme="5" tint="0.39997558519241921"/>
        </patternFill>
      </fill>
    </dxf>
    <dxf>
      <fill>
        <patternFill patternType="solid">
          <bgColor theme="5" tint="0.39997558519241921"/>
        </patternFill>
      </fill>
    </dxf>
    <dxf>
      <fill>
        <patternFill patternType="solid">
          <bgColor theme="5" tint="0.39997558519241921"/>
        </patternFill>
      </fill>
    </dxf>
    <dxf>
      <fill>
        <patternFill patternType="solid">
          <bgColor theme="5" tint="0.39997558519241921"/>
        </patternFill>
      </fill>
    </dxf>
    <dxf>
      <fill>
        <patternFill patternType="solid">
          <bgColor theme="5" tint="0.399975585192419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5" tint="0.39997558519241921"/>
        </patternFill>
      </fill>
    </dxf>
    <dxf>
      <fill>
        <patternFill patternType="solid">
          <bgColor theme="5" tint="0.39997558519241921"/>
        </patternFill>
      </fill>
    </dxf>
    <dxf>
      <font>
        <color theme="0"/>
      </font>
    </dxf>
    <dxf>
      <font>
        <color theme="0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rgb="FF339966"/>
          <bgColor rgb="FF3399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ont>
        <color theme="0"/>
      </font>
    </dxf>
    <dxf>
      <font>
        <color theme="0"/>
      </font>
    </dxf>
    <dxf>
      <fill>
        <patternFill patternType="solid">
          <bgColor theme="5" tint="0.39997558519241921"/>
        </patternFill>
      </fill>
    </dxf>
    <dxf>
      <fill>
        <patternFill patternType="solid">
          <bgColor theme="5" tint="0.399975585192419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5" tint="0.39997558519241921"/>
        </patternFill>
      </fill>
    </dxf>
    <dxf>
      <fill>
        <patternFill patternType="solid">
          <bgColor theme="5" tint="0.39997558519241921"/>
        </patternFill>
      </fill>
    </dxf>
    <dxf>
      <fill>
        <patternFill patternType="solid">
          <bgColor theme="5" tint="0.39997558519241921"/>
        </patternFill>
      </fill>
    </dxf>
    <dxf>
      <fill>
        <patternFill patternType="solid">
          <bgColor theme="5" tint="0.39997558519241921"/>
        </patternFill>
      </fill>
    </dxf>
    <dxf>
      <fill>
        <patternFill patternType="solid">
          <bgColor theme="5" tint="0.39997558519241921"/>
        </patternFill>
      </fill>
    </dxf>
    <dxf>
      <fill>
        <patternFill patternType="solid">
          <bgColor theme="5" tint="0.39997558519241921"/>
        </patternFill>
      </fill>
    </dxf>
    <dxf>
      <font>
        <color auto="1"/>
      </font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165" formatCode="#,##0_ ;[Red]\-#,##0\ 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font>
        <color auto="1"/>
      </font>
    </dxf>
    <dxf>
      <border>
        <top style="thin">
          <color indexed="64"/>
        </top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65" formatCode="#,##0_ ;[Red]\-#,##0\ "/>
    </dxf>
    <dxf>
      <numFmt numFmtId="3" formatCode="#,##0"/>
    </dxf>
    <dxf>
      <numFmt numFmtId="21" formatCode="d\-mmm"/>
    </dxf>
    <dxf>
      <numFmt numFmtId="19" formatCode="d/m/yyyy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alignment vertic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horizontal="right"/>
    </dxf>
    <dxf>
      <border>
        <left style="thin">
          <color indexed="64"/>
        </lef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</dxf>
    <dxf>
      <font>
        <color auto="1"/>
      </font>
    </dxf>
    <dxf>
      <font>
        <color auto="1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 patternType="solid">
          <bgColor rgb="FFFFC000"/>
        </patternFill>
      </fill>
    </dxf>
    <dxf>
      <font>
        <color theme="0"/>
      </font>
    </dxf>
    <dxf>
      <font>
        <b/>
      </font>
    </dxf>
    <dxf>
      <font>
        <b/>
      </font>
    </dxf>
    <dxf>
      <font>
        <b/>
      </font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numFmt numFmtId="165" formatCode="#,##0_ ;[Red]\-#,##0\ "/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vertical="center"/>
    </dxf>
    <dxf>
      <alignment vertical="center"/>
    </dxf>
    <dxf>
      <font>
        <color auto="1"/>
      </font>
    </dxf>
    <dxf>
      <font>
        <color auto="1"/>
      </font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protection locked="0"/>
    </dxf>
    <dxf>
      <font>
        <sz val="1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59999389629810485"/>
        </patternFill>
      </fill>
    </dxf>
    <dxf>
      <font>
        <color auto="1"/>
      </font>
    </dxf>
    <dxf>
      <fill>
        <patternFill patternType="solid">
          <bgColor theme="9" tint="0.79998168889431442"/>
        </patternFill>
      </fill>
    </dxf>
    <dxf>
      <alignment vertical="center"/>
    </dxf>
    <dxf>
      <alignment horizontal="center"/>
    </dxf>
    <dxf>
      <numFmt numFmtId="3" formatCode="#,##0"/>
    </dxf>
    <dxf>
      <numFmt numFmtId="3" formatCode="#,##0"/>
    </dxf>
    <dxf>
      <numFmt numFmtId="21" formatCode="d\-mmm"/>
    </dxf>
    <dxf>
      <numFmt numFmtId="19" formatCode="d/m/yyyy"/>
    </dxf>
    <dxf>
      <alignment horizontal="center" vertical="center" textRotation="0" wrapText="0" indent="0" justifyLastLine="0" shrinkToFit="0" readingOrder="0"/>
    </dxf>
    <dxf>
      <numFmt numFmtId="2" formatCode="0.00"/>
    </dxf>
    <dxf>
      <numFmt numFmtId="168" formatCode="0_ ;[Red]\-0\ 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rgb="FFFCD5B4"/>
          <bgColor rgb="FFFCD5B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#,##0_ ;[Red]\-#,##0\ "/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general"/>
    </dxf>
    <dxf>
      <alignment vertical="bottom"/>
    </dxf>
    <dxf>
      <alignment horizontal="center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5" formatCode="#,##0_ ;[Red]\-#,##0\ 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numFmt numFmtId="2" formatCode="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2" formatCode="0.00"/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7" formatCode="m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numFmt numFmtId="22" formatCode="mmm\-yy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d/m/yyyy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rgb="FFFCD5B4"/>
          <bgColor rgb="FFFCD5B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/yyyy"/>
    </dxf>
    <dxf>
      <numFmt numFmtId="0" formatCode="General"/>
    </dxf>
    <dxf>
      <numFmt numFmtId="166" formatCode="#,##0.00_ ;[Red]\-#,##0.00\ "/>
    </dxf>
    <dxf>
      <numFmt numFmtId="166" formatCode="#,##0.00_ ;[Red]\-#,##0.00\ "/>
    </dxf>
    <dxf>
      <numFmt numFmtId="166" formatCode="#,##0.00_ ;[Red]\-#,##0.00\ "/>
    </dxf>
    <dxf>
      <numFmt numFmtId="22" formatCode="mmm\-yy"/>
      <alignment horizontal="center" vertical="center" textRotation="0" wrapText="0" indent="0" justifyLastLine="0" shrinkToFit="0" readingOrder="0"/>
    </dxf>
    <dxf>
      <numFmt numFmtId="22" formatCode="mmm\-yy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/yyyy"/>
    </dxf>
    <dxf>
      <numFmt numFmtId="0" formatCode="General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4</xdr:row>
          <xdr:rowOff>9525</xdr:rowOff>
        </xdr:from>
        <xdr:to>
          <xdr:col>8</xdr:col>
          <xdr:colOff>209550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8</xdr:row>
          <xdr:rowOff>9525</xdr:rowOff>
        </xdr:from>
        <xdr:to>
          <xdr:col>8</xdr:col>
          <xdr:colOff>219075</xdr:colOff>
          <xdr:row>11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16</xdr:row>
          <xdr:rowOff>76200</xdr:rowOff>
        </xdr:from>
        <xdr:to>
          <xdr:col>8</xdr:col>
          <xdr:colOff>219075</xdr:colOff>
          <xdr:row>19</xdr:row>
          <xdr:rowOff>85725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12</xdr:row>
          <xdr:rowOff>38100</xdr:rowOff>
        </xdr:from>
        <xdr:to>
          <xdr:col>8</xdr:col>
          <xdr:colOff>228600</xdr:colOff>
          <xdr:row>15</xdr:row>
          <xdr:rowOff>47625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Busso" refreshedDate="45267.696259374999" createdVersion="8" refreshedVersion="8" minRefreshableVersion="3" recordCount="33" xr:uid="{00000000-000A-0000-FFFF-FFFF00000000}">
  <cacheSource type="worksheet">
    <worksheetSource name="Gastos_pbi"/>
  </cacheSource>
  <cacheFields count="10">
    <cacheField name="Fecha" numFmtId="14">
      <sharedItems containsSemiMixedTypes="0" containsNonDate="0" containsDate="1" containsString="0" minDate="2023-01-31T00:00:00" maxDate="2023-12-01T00:00:00" count="11">
        <d v="2023-01-31T00:00:00"/>
        <d v="2023-02-28T00:00:00"/>
        <d v="2023-03-31T00:00:00"/>
        <d v="2023-04-30T00:00:00"/>
        <d v="2023-05-31T00:00:00"/>
        <d v="2023-06-30T00:00:00"/>
        <d v="2023-07-31T00:00:00"/>
        <d v="2023-08-31T00:00:00"/>
        <d v="2023-09-30T00:00:00"/>
        <d v="2023-10-31T00:00:00"/>
        <d v="2023-11-30T00:00:00"/>
      </sharedItems>
      <fieldGroup par="9"/>
    </cacheField>
    <cacheField name="Dia-Mes" numFmtId="16">
      <sharedItems containsSemiMixedTypes="0" containsNonDate="0" containsDate="1" containsString="0" minDate="2023-01-31T00:00:00" maxDate="2023-12-01T00:00:00" count="11">
        <d v="2023-01-31T00:00:00"/>
        <d v="2023-02-28T00:00:00"/>
        <d v="2023-03-31T00:00:00"/>
        <d v="2023-04-30T00:00:00"/>
        <d v="2023-05-31T00:00:00"/>
        <d v="2023-06-30T00:00:00"/>
        <d v="2023-07-31T00:00:00"/>
        <d v="2023-08-31T00:00:00"/>
        <d v="2023-09-30T00:00:00"/>
        <d v="2023-10-31T00:00:00"/>
        <d v="2023-11-30T00:00:00"/>
      </sharedItems>
      <fieldGroup par="7"/>
    </cacheField>
    <cacheField name="Concepto" numFmtId="0">
      <sharedItems count="3">
        <s v="CONSUMO TARJETAS"/>
        <s v="CONSUMO DEBITADO"/>
        <s v="EFECTIVO GASTADO"/>
      </sharedItems>
    </cacheField>
    <cacheField name="Monto" numFmtId="3">
      <sharedItems containsSemiMixedTypes="0" containsString="0" containsNumber="1" minValue="11390" maxValue="588181.11"/>
    </cacheField>
    <cacheField name="Mes" numFmtId="0">
      <sharedItems containsSemiMixedTypes="0" containsString="0" containsNumber="1" containsInteger="1" minValue="1" maxValue="11"/>
    </cacheField>
    <cacheField name="Anio" numFmtId="0">
      <sharedItems containsSemiMixedTypes="0" containsString="0" containsNumber="1" containsInteger="1" minValue="2023" maxValue="2023"/>
    </cacheField>
    <cacheField name="Días (Dia-Mes)" numFmtId="0" databaseField="0">
      <fieldGroup base="1">
        <rangePr groupBy="days" startDate="2023-01-31T00:00:00" endDate="2023-12-01T00:00:00"/>
        <groupItems count="368">
          <s v="&lt;31/1/2023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/12/2023"/>
        </groupItems>
      </fieldGroup>
    </cacheField>
    <cacheField name="Meses (Dia-Mes)" numFmtId="0" databaseField="0">
      <fieldGroup base="1">
        <rangePr groupBy="months" startDate="2023-01-31T00:00:00" endDate="2023-12-01T00:00:00"/>
        <groupItems count="14">
          <s v="&lt;31/1/2023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/12/2023"/>
        </groupItems>
      </fieldGroup>
    </cacheField>
    <cacheField name="Días (Fecha)" numFmtId="0" databaseField="0">
      <fieldGroup base="0">
        <rangePr groupBy="days" startDate="2023-01-31T00:00:00" endDate="2023-12-01T00:00:00"/>
        <groupItems count="368">
          <s v="&lt;31/1/2023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/12/2023"/>
        </groupItems>
      </fieldGroup>
    </cacheField>
    <cacheField name="Meses (Fecha)" numFmtId="0" databaseField="0">
      <fieldGroup base="0">
        <rangePr groupBy="months" startDate="2023-01-31T00:00:00" endDate="2023-12-01T00:00:00"/>
        <groupItems count="14">
          <s v="&lt;31/1/2023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/12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Busso" refreshedDate="45267.696259722223" createdVersion="8" refreshedVersion="8" minRefreshableVersion="3" recordCount="44" xr:uid="{00000000-000A-0000-FFFF-FFFF01000000}">
  <cacheSource type="worksheet">
    <worksheetSource name="Saldos_pbi"/>
  </cacheSource>
  <cacheFields count="8">
    <cacheField name="Fecha" numFmtId="14">
      <sharedItems containsSemiMixedTypes="0" containsNonDate="0" containsDate="1" containsString="0" minDate="2023-01-31T00:00:00" maxDate="2023-12-01T00:00:00" count="11">
        <d v="2023-01-31T00:00:00"/>
        <d v="2023-02-28T00:00:00"/>
        <d v="2023-03-31T00:00:00"/>
        <d v="2023-04-30T00:00:00"/>
        <d v="2023-05-31T00:00:00"/>
        <d v="2023-06-30T00:00:00"/>
        <d v="2023-07-31T00:00:00"/>
        <d v="2023-08-31T00:00:00"/>
        <d v="2023-09-30T00:00:00"/>
        <d v="2023-10-31T00:00:00"/>
        <d v="2023-11-30T00:00:00"/>
      </sharedItems>
      <fieldGroup par="7"/>
    </cacheField>
    <cacheField name="Dia-Mes" numFmtId="16">
      <sharedItems containsSemiMixedTypes="0" containsNonDate="0" containsDate="1" containsString="0" minDate="2023-01-31T00:00:00" maxDate="2023-12-01T00:00:00"/>
    </cacheField>
    <cacheField name="Concepto" numFmtId="0">
      <sharedItems count="4">
        <s v="HABERES"/>
        <s v="EXTRAS"/>
        <s v="CONSUMO"/>
        <s v="IMPUESTOS"/>
      </sharedItems>
    </cacheField>
    <cacheField name="Monto" numFmtId="3">
      <sharedItems containsSemiMixedTypes="0" containsString="0" containsNumber="1" minValue="4697" maxValue="1869455"/>
    </cacheField>
    <cacheField name="Mes" numFmtId="0">
      <sharedItems containsSemiMixedTypes="0" containsString="0" containsNumber="1" containsInteger="1" minValue="1" maxValue="11"/>
    </cacheField>
    <cacheField name="Anio" numFmtId="0">
      <sharedItems containsSemiMixedTypes="0" containsString="0" containsNumber="1" containsInteger="1" minValue="2023" maxValue="2023"/>
    </cacheField>
    <cacheField name="Días (Fecha)" numFmtId="0" databaseField="0">
      <fieldGroup base="0">
        <rangePr groupBy="days" startDate="2023-01-31T00:00:00" endDate="2023-12-01T00:00:00"/>
        <groupItems count="368">
          <s v="&lt;31/1/2023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/12/2023"/>
        </groupItems>
      </fieldGroup>
    </cacheField>
    <cacheField name="Meses (Fecha)" numFmtId="0" databaseField="0">
      <fieldGroup base="0">
        <rangePr groupBy="months" startDate="2023-01-31T00:00:00" endDate="2023-12-01T00:00:00"/>
        <groupItems count="14">
          <s v="&lt;31/1/2023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/12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Busso" refreshedDate="45267.696260416669" createdVersion="8" refreshedVersion="8" minRefreshableVersion="3" recordCount="87" xr:uid="{A06FE2BE-3260-49DE-9BB3-E62C157CB763}">
  <cacheSource type="worksheet">
    <worksheetSource name="Impuestos"/>
  </cacheSource>
  <cacheFields count="12">
    <cacheField name="FECHA" numFmtId="14">
      <sharedItems containsSemiMixedTypes="0" containsNonDate="0" containsDate="1" containsString="0" minDate="2023-02-10T00:00:00" maxDate="2023-11-11T00:00:00" count="10">
        <d v="2023-03-10T00:00:00"/>
        <d v="2023-04-10T00:00:00"/>
        <d v="2023-05-10T00:00:00"/>
        <d v="2023-06-10T00:00:00"/>
        <d v="2023-07-10T00:00:00"/>
        <d v="2023-02-10T00:00:00"/>
        <d v="2023-08-10T00:00:00"/>
        <d v="2023-09-10T00:00:00"/>
        <d v="2023-10-10T00:00:00"/>
        <d v="2023-11-10T00:00:00"/>
      </sharedItems>
      <fieldGroup par="11"/>
    </cacheField>
    <cacheField name="AÑO" numFmtId="49">
      <sharedItems containsMixedTypes="1" containsNumber="1" containsInteger="1" minValue="2023" maxValue="2023" count="2">
        <s v="2023"/>
        <n v="2023" u="1"/>
      </sharedItems>
    </cacheField>
    <cacheField name="ADMINISTRACION" numFmtId="0">
      <sharedItems count="3">
        <s v="RENTAS"/>
        <s v="MUNICBA"/>
        <s v="COMUVCPARQUE"/>
      </sharedItems>
    </cacheField>
    <cacheField name="TIPO" numFmtId="0">
      <sharedItems/>
    </cacheField>
    <cacheField name="DESCRIPCION" numFmtId="0">
      <sharedItems count="6">
        <s v="RENAULT SANDERO"/>
        <s v="RENAULT DUSTER"/>
        <s v="Lote 13 Pileta VCParque"/>
        <s v="Ledesma y Ceballos 1263 Colinas del Cerro"/>
        <s v="LOTE 14 CASA CHALET WALDEN VCPARQUE"/>
        <s v="DPTO MARISA EMILIO LAMARCA 4316"/>
      </sharedItems>
    </cacheField>
    <cacheField name="CUENTA" numFmtId="49">
      <sharedItems count="12">
        <s v="AA110NA"/>
        <s v="AB269ST"/>
        <s v="120106758617"/>
        <s v="110109729043"/>
        <s v="120106758625"/>
        <s v="110124049806"/>
        <s v="AA110NA4"/>
        <s v="AB269ST3"/>
        <s v="051701600600000/6"/>
        <s v="051704000700001/6"/>
        <s v="VCPMZ133LT14"/>
        <s v="VCPMZ133LT13"/>
      </sharedItems>
    </cacheField>
    <cacheField name="PLAN" numFmtId="0">
      <sharedItems containsSemiMixedTypes="0" containsString="0" containsNumber="1" containsInteger="1" minValue="1" maxValue="12"/>
    </cacheField>
    <cacheField name="CUOTA" numFmtId="167">
      <sharedItems count="10">
        <s v="FEB"/>
        <s v="MAR"/>
        <s v="ABR"/>
        <s v="MAY"/>
        <s v="JUN"/>
        <s v="ENE"/>
        <s v="JUL"/>
        <s v="AGO"/>
        <s v="SEP"/>
        <s v="OCT"/>
      </sharedItems>
    </cacheField>
    <cacheField name="MONTO" numFmtId="2">
      <sharedItems containsSemiMixedTypes="0" containsString="0" containsNumber="1" minValue="880" maxValue="26653.200000000001"/>
    </cacheField>
    <cacheField name="MEDIO DE PAGO" numFmtId="0">
      <sharedItems/>
    </cacheField>
    <cacheField name="Días (FECHA)" numFmtId="0" databaseField="0">
      <fieldGroup base="0">
        <rangePr groupBy="days" startDate="2023-02-10T00:00:00" endDate="2023-11-11T00:00:00"/>
        <groupItems count="368">
          <s v="&lt;10/2/2023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1/11/2023"/>
        </groupItems>
      </fieldGroup>
    </cacheField>
    <cacheField name="Meses (FECHA)" numFmtId="0" databaseField="0">
      <fieldGroup base="0">
        <rangePr groupBy="months" startDate="2023-02-10T00:00:00" endDate="2023-11-11T00:00:00"/>
        <groupItems count="14">
          <s v="&lt;10/2/2023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1/11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x v="0"/>
    <x v="0"/>
    <x v="0"/>
    <n v="190125.37"/>
    <n v="1"/>
    <n v="2023"/>
  </r>
  <r>
    <x v="0"/>
    <x v="0"/>
    <x v="1"/>
    <n v="185253"/>
    <n v="1"/>
    <n v="2023"/>
  </r>
  <r>
    <x v="0"/>
    <x v="0"/>
    <x v="2"/>
    <n v="13290"/>
    <n v="1"/>
    <n v="2023"/>
  </r>
  <r>
    <x v="1"/>
    <x v="1"/>
    <x v="0"/>
    <n v="326980.23"/>
    <n v="2"/>
    <n v="2023"/>
  </r>
  <r>
    <x v="1"/>
    <x v="1"/>
    <x v="1"/>
    <n v="224825"/>
    <n v="2"/>
    <n v="2023"/>
  </r>
  <r>
    <x v="1"/>
    <x v="1"/>
    <x v="2"/>
    <n v="92590"/>
    <n v="2"/>
    <n v="2023"/>
  </r>
  <r>
    <x v="2"/>
    <x v="2"/>
    <x v="0"/>
    <n v="273650.73"/>
    <n v="3"/>
    <n v="2023"/>
  </r>
  <r>
    <x v="2"/>
    <x v="2"/>
    <x v="1"/>
    <n v="425357"/>
    <n v="3"/>
    <n v="2023"/>
  </r>
  <r>
    <x v="2"/>
    <x v="2"/>
    <x v="2"/>
    <n v="67450"/>
    <n v="3"/>
    <n v="2023"/>
  </r>
  <r>
    <x v="3"/>
    <x v="3"/>
    <x v="0"/>
    <n v="373467.82"/>
    <n v="4"/>
    <n v="2023"/>
  </r>
  <r>
    <x v="3"/>
    <x v="3"/>
    <x v="1"/>
    <n v="389653"/>
    <n v="4"/>
    <n v="2023"/>
  </r>
  <r>
    <x v="3"/>
    <x v="3"/>
    <x v="2"/>
    <n v="186431"/>
    <n v="4"/>
    <n v="2023"/>
  </r>
  <r>
    <x v="4"/>
    <x v="4"/>
    <x v="0"/>
    <n v="334542.46000000002"/>
    <n v="5"/>
    <n v="2023"/>
  </r>
  <r>
    <x v="4"/>
    <x v="4"/>
    <x v="1"/>
    <n v="254740"/>
    <n v="5"/>
    <n v="2023"/>
  </r>
  <r>
    <x v="4"/>
    <x v="4"/>
    <x v="2"/>
    <n v="26680"/>
    <n v="5"/>
    <n v="2023"/>
  </r>
  <r>
    <x v="5"/>
    <x v="5"/>
    <x v="0"/>
    <n v="380922.33"/>
    <n v="6"/>
    <n v="2023"/>
  </r>
  <r>
    <x v="5"/>
    <x v="5"/>
    <x v="1"/>
    <n v="207897"/>
    <n v="6"/>
    <n v="2023"/>
  </r>
  <r>
    <x v="5"/>
    <x v="5"/>
    <x v="2"/>
    <n v="52050"/>
    <n v="6"/>
    <n v="2023"/>
  </r>
  <r>
    <x v="6"/>
    <x v="6"/>
    <x v="0"/>
    <n v="588181.11"/>
    <n v="7"/>
    <n v="2023"/>
  </r>
  <r>
    <x v="6"/>
    <x v="6"/>
    <x v="1"/>
    <n v="203878"/>
    <n v="7"/>
    <n v="2023"/>
  </r>
  <r>
    <x v="6"/>
    <x v="6"/>
    <x v="2"/>
    <n v="11390"/>
    <n v="7"/>
    <n v="2023"/>
  </r>
  <r>
    <x v="7"/>
    <x v="7"/>
    <x v="0"/>
    <n v="347618.19"/>
    <n v="8"/>
    <n v="2023"/>
  </r>
  <r>
    <x v="7"/>
    <x v="7"/>
    <x v="1"/>
    <n v="331506.81"/>
    <n v="8"/>
    <n v="2023"/>
  </r>
  <r>
    <x v="7"/>
    <x v="7"/>
    <x v="2"/>
    <n v="35660"/>
    <n v="8"/>
    <n v="2023"/>
  </r>
  <r>
    <x v="8"/>
    <x v="8"/>
    <x v="0"/>
    <n v="405777.86000000004"/>
    <n v="9"/>
    <n v="2023"/>
  </r>
  <r>
    <x v="8"/>
    <x v="8"/>
    <x v="1"/>
    <n v="461122.63"/>
    <n v="9"/>
    <n v="2023"/>
  </r>
  <r>
    <x v="8"/>
    <x v="8"/>
    <x v="2"/>
    <n v="46230"/>
    <n v="9"/>
    <n v="2023"/>
  </r>
  <r>
    <x v="9"/>
    <x v="9"/>
    <x v="0"/>
    <n v="381342.6"/>
    <n v="10"/>
    <n v="2023"/>
  </r>
  <r>
    <x v="9"/>
    <x v="9"/>
    <x v="1"/>
    <n v="173700.18"/>
    <n v="10"/>
    <n v="2023"/>
  </r>
  <r>
    <x v="9"/>
    <x v="9"/>
    <x v="2"/>
    <n v="418460"/>
    <n v="10"/>
    <n v="2023"/>
  </r>
  <r>
    <x v="10"/>
    <x v="10"/>
    <x v="0"/>
    <n v="541128.09"/>
    <n v="11"/>
    <n v="2023"/>
  </r>
  <r>
    <x v="10"/>
    <x v="10"/>
    <x v="1"/>
    <n v="297086.53000000003"/>
    <n v="11"/>
    <n v="2023"/>
  </r>
  <r>
    <x v="10"/>
    <x v="10"/>
    <x v="2"/>
    <n v="27750"/>
    <n v="11"/>
    <n v="202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">
  <r>
    <x v="0"/>
    <d v="2023-01-31T00:00:00"/>
    <x v="0"/>
    <n v="157806"/>
    <n v="1"/>
    <n v="2023"/>
  </r>
  <r>
    <x v="0"/>
    <d v="2023-01-31T00:00:00"/>
    <x v="1"/>
    <n v="197390"/>
    <n v="1"/>
    <n v="2023"/>
  </r>
  <r>
    <x v="0"/>
    <d v="2023-01-31T00:00:00"/>
    <x v="2"/>
    <n v="374646"/>
    <n v="1"/>
    <n v="2023"/>
  </r>
  <r>
    <x v="0"/>
    <d v="2023-01-31T00:00:00"/>
    <x v="3"/>
    <n v="14022"/>
    <n v="1"/>
    <n v="2023"/>
  </r>
  <r>
    <x v="1"/>
    <d v="2023-02-28T00:00:00"/>
    <x v="0"/>
    <n v="458328"/>
    <n v="2"/>
    <n v="2023"/>
  </r>
  <r>
    <x v="1"/>
    <d v="2023-02-28T00:00:00"/>
    <x v="1"/>
    <n v="72846"/>
    <n v="2"/>
    <n v="2023"/>
  </r>
  <r>
    <x v="1"/>
    <d v="2023-02-28T00:00:00"/>
    <x v="2"/>
    <n v="634126"/>
    <n v="2"/>
    <n v="2023"/>
  </r>
  <r>
    <x v="1"/>
    <d v="2023-02-28T00:00:00"/>
    <x v="3"/>
    <n v="30580"/>
    <n v="2"/>
    <n v="2023"/>
  </r>
  <r>
    <x v="2"/>
    <d v="2023-03-31T00:00:00"/>
    <x v="0"/>
    <n v="1869455"/>
    <n v="3"/>
    <n v="2023"/>
  </r>
  <r>
    <x v="2"/>
    <d v="2023-03-31T00:00:00"/>
    <x v="1"/>
    <n v="269884"/>
    <n v="3"/>
    <n v="2023"/>
  </r>
  <r>
    <x v="2"/>
    <d v="2023-03-31T00:00:00"/>
    <x v="2"/>
    <n v="745899"/>
    <n v="3"/>
    <n v="2023"/>
  </r>
  <r>
    <x v="2"/>
    <d v="2023-03-31T00:00:00"/>
    <x v="3"/>
    <n v="20559"/>
    <n v="3"/>
    <n v="2023"/>
  </r>
  <r>
    <x v="3"/>
    <d v="2023-04-30T00:00:00"/>
    <x v="0"/>
    <n v="401703"/>
    <n v="4"/>
    <n v="2023"/>
  </r>
  <r>
    <x v="3"/>
    <d v="2023-04-30T00:00:00"/>
    <x v="1"/>
    <n v="73414"/>
    <n v="4"/>
    <n v="2023"/>
  </r>
  <r>
    <x v="3"/>
    <d v="2023-04-30T00:00:00"/>
    <x v="2"/>
    <n v="926523"/>
    <n v="4"/>
    <n v="2023"/>
  </r>
  <r>
    <x v="3"/>
    <d v="2023-04-30T00:00:00"/>
    <x v="3"/>
    <n v="23299"/>
    <n v="4"/>
    <n v="2023"/>
  </r>
  <r>
    <x v="4"/>
    <d v="2023-05-31T00:00:00"/>
    <x v="0"/>
    <n v="499330"/>
    <n v="5"/>
    <n v="2023"/>
  </r>
  <r>
    <x v="4"/>
    <d v="2023-05-31T00:00:00"/>
    <x v="1"/>
    <n v="159049"/>
    <n v="5"/>
    <n v="2023"/>
  </r>
  <r>
    <x v="4"/>
    <d v="2023-05-31T00:00:00"/>
    <x v="2"/>
    <n v="592663"/>
    <n v="5"/>
    <n v="2023"/>
  </r>
  <r>
    <x v="4"/>
    <d v="2023-05-31T00:00:00"/>
    <x v="3"/>
    <n v="76605"/>
    <n v="5"/>
    <n v="2023"/>
  </r>
  <r>
    <x v="5"/>
    <d v="2023-06-30T00:00:00"/>
    <x v="0"/>
    <n v="418996"/>
    <n v="6"/>
    <n v="2023"/>
  </r>
  <r>
    <x v="5"/>
    <d v="2023-06-30T00:00:00"/>
    <x v="1"/>
    <n v="4697"/>
    <n v="6"/>
    <n v="2023"/>
  </r>
  <r>
    <x v="5"/>
    <d v="2023-06-30T00:00:00"/>
    <x v="2"/>
    <n v="617571"/>
    <n v="6"/>
    <n v="2023"/>
  </r>
  <r>
    <x v="5"/>
    <d v="2023-06-30T00:00:00"/>
    <x v="3"/>
    <n v="23299"/>
    <n v="6"/>
    <n v="2023"/>
  </r>
  <r>
    <x v="6"/>
    <d v="2023-07-31T00:00:00"/>
    <x v="0"/>
    <n v="1005967"/>
    <n v="7"/>
    <n v="2023"/>
  </r>
  <r>
    <x v="6"/>
    <d v="2023-07-31T00:00:00"/>
    <x v="1"/>
    <n v="62186"/>
    <n v="7"/>
    <n v="2023"/>
  </r>
  <r>
    <x v="6"/>
    <d v="2023-07-31T00:00:00"/>
    <x v="2"/>
    <n v="780150"/>
    <n v="7"/>
    <n v="2023"/>
  </r>
  <r>
    <x v="6"/>
    <d v="2023-07-31T00:00:00"/>
    <x v="3"/>
    <n v="23299"/>
    <n v="7"/>
    <n v="2023"/>
  </r>
  <r>
    <x v="7"/>
    <d v="2023-08-31T00:00:00"/>
    <x v="0"/>
    <n v="537282.75"/>
    <n v="8"/>
    <n v="2023"/>
  </r>
  <r>
    <x v="7"/>
    <d v="2023-08-31T00:00:00"/>
    <x v="1"/>
    <n v="182612.6"/>
    <n v="8"/>
    <n v="2023"/>
  </r>
  <r>
    <x v="7"/>
    <d v="2023-08-31T00:00:00"/>
    <x v="2"/>
    <n v="691486"/>
    <n v="8"/>
    <n v="2023"/>
  </r>
  <r>
    <x v="7"/>
    <d v="2023-08-31T00:00:00"/>
    <x v="3"/>
    <n v="23299"/>
    <n v="8"/>
    <n v="2023"/>
  </r>
  <r>
    <x v="8"/>
    <d v="2023-09-30T00:00:00"/>
    <x v="0"/>
    <n v="715441.66"/>
    <n v="9"/>
    <n v="2023"/>
  </r>
  <r>
    <x v="8"/>
    <d v="2023-09-30T00:00:00"/>
    <x v="1"/>
    <n v="209071.65000000002"/>
    <n v="9"/>
    <n v="2023"/>
  </r>
  <r>
    <x v="8"/>
    <d v="2023-09-30T00:00:00"/>
    <x v="2"/>
    <n v="889831.49"/>
    <n v="9"/>
    <n v="2023"/>
  </r>
  <r>
    <x v="8"/>
    <d v="2023-09-30T00:00:00"/>
    <x v="3"/>
    <n v="23299"/>
    <n v="9"/>
    <n v="2023"/>
  </r>
  <r>
    <x v="9"/>
    <d v="2023-10-31T00:00:00"/>
    <x v="0"/>
    <n v="572691.44999999995"/>
    <n v="10"/>
    <n v="2023"/>
  </r>
  <r>
    <x v="9"/>
    <d v="2023-10-31T00:00:00"/>
    <x v="1"/>
    <n v="58290.100000000006"/>
    <n v="10"/>
    <n v="2023"/>
  </r>
  <r>
    <x v="9"/>
    <d v="2023-10-31T00:00:00"/>
    <x v="2"/>
    <n v="950203.78"/>
    <n v="10"/>
    <n v="2023"/>
  </r>
  <r>
    <x v="9"/>
    <d v="2023-10-31T00:00:00"/>
    <x v="3"/>
    <n v="23299"/>
    <n v="10"/>
    <n v="2023"/>
  </r>
  <r>
    <x v="10"/>
    <d v="2023-11-30T00:00:00"/>
    <x v="0"/>
    <n v="831308.7"/>
    <n v="11"/>
    <n v="2023"/>
  </r>
  <r>
    <x v="10"/>
    <d v="2023-11-30T00:00:00"/>
    <x v="1"/>
    <n v="42689.64"/>
    <n v="11"/>
    <n v="2023"/>
  </r>
  <r>
    <x v="10"/>
    <d v="2023-11-30T00:00:00"/>
    <x v="2"/>
    <n v="842665.62"/>
    <n v="11"/>
    <n v="2023"/>
  </r>
  <r>
    <x v="10"/>
    <d v="2023-11-30T00:00:00"/>
    <x v="3"/>
    <n v="23299"/>
    <n v="11"/>
    <n v="202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x v="0"/>
    <x v="0"/>
    <x v="0"/>
    <s v="AUTOMOTOR"/>
    <x v="0"/>
    <x v="0"/>
    <n v="11"/>
    <x v="0"/>
    <n v="880"/>
    <s v="NARANJA"/>
  </r>
  <r>
    <x v="1"/>
    <x v="0"/>
    <x v="0"/>
    <s v="AUTOMOTOR"/>
    <x v="0"/>
    <x v="0"/>
    <n v="11"/>
    <x v="1"/>
    <n v="880"/>
    <s v="NARANJA"/>
  </r>
  <r>
    <x v="2"/>
    <x v="0"/>
    <x v="0"/>
    <s v="AUTOMOTOR"/>
    <x v="0"/>
    <x v="0"/>
    <n v="11"/>
    <x v="2"/>
    <n v="880"/>
    <s v="NARANJA"/>
  </r>
  <r>
    <x v="3"/>
    <x v="0"/>
    <x v="0"/>
    <s v="AUTOMOTOR"/>
    <x v="0"/>
    <x v="0"/>
    <n v="11"/>
    <x v="3"/>
    <n v="880"/>
    <s v="NARANJA"/>
  </r>
  <r>
    <x v="4"/>
    <x v="0"/>
    <x v="0"/>
    <s v="AUTOMOTOR"/>
    <x v="0"/>
    <x v="0"/>
    <n v="11"/>
    <x v="4"/>
    <n v="880"/>
    <s v="NARANJA"/>
  </r>
  <r>
    <x v="0"/>
    <x v="0"/>
    <x v="0"/>
    <s v="AUTOMOTOR"/>
    <x v="1"/>
    <x v="1"/>
    <n v="11"/>
    <x v="0"/>
    <n v="1670"/>
    <s v="NARANJA"/>
  </r>
  <r>
    <x v="1"/>
    <x v="0"/>
    <x v="0"/>
    <s v="AUTOMOTOR"/>
    <x v="1"/>
    <x v="1"/>
    <n v="11"/>
    <x v="1"/>
    <n v="1670"/>
    <s v="NARANJA"/>
  </r>
  <r>
    <x v="2"/>
    <x v="0"/>
    <x v="0"/>
    <s v="AUTOMOTOR"/>
    <x v="1"/>
    <x v="1"/>
    <n v="11"/>
    <x v="2"/>
    <n v="1670"/>
    <s v="NARANJA"/>
  </r>
  <r>
    <x v="3"/>
    <x v="0"/>
    <x v="0"/>
    <s v="AUTOMOTOR"/>
    <x v="1"/>
    <x v="1"/>
    <n v="11"/>
    <x v="3"/>
    <n v="1670"/>
    <s v="NARANJA"/>
  </r>
  <r>
    <x v="4"/>
    <x v="0"/>
    <x v="0"/>
    <s v="AUTOMOTOR"/>
    <x v="1"/>
    <x v="1"/>
    <n v="11"/>
    <x v="4"/>
    <n v="1670"/>
    <s v="NARANJA"/>
  </r>
  <r>
    <x v="0"/>
    <x v="0"/>
    <x v="0"/>
    <s v="INMUEBLE"/>
    <x v="2"/>
    <x v="2"/>
    <n v="11"/>
    <x v="0"/>
    <n v="890"/>
    <s v="NARANJA"/>
  </r>
  <r>
    <x v="1"/>
    <x v="0"/>
    <x v="0"/>
    <s v="INMUEBLE"/>
    <x v="2"/>
    <x v="2"/>
    <n v="11"/>
    <x v="1"/>
    <n v="890"/>
    <s v="NARANJA"/>
  </r>
  <r>
    <x v="2"/>
    <x v="0"/>
    <x v="0"/>
    <s v="INMUEBLE"/>
    <x v="2"/>
    <x v="2"/>
    <n v="11"/>
    <x v="2"/>
    <n v="890"/>
    <s v="NARANJA"/>
  </r>
  <r>
    <x v="3"/>
    <x v="0"/>
    <x v="0"/>
    <s v="INMUEBLE"/>
    <x v="2"/>
    <x v="2"/>
    <n v="11"/>
    <x v="3"/>
    <n v="890"/>
    <s v="NARANJA"/>
  </r>
  <r>
    <x v="4"/>
    <x v="0"/>
    <x v="0"/>
    <s v="INMUEBLE"/>
    <x v="2"/>
    <x v="2"/>
    <n v="11"/>
    <x v="4"/>
    <n v="890"/>
    <s v="NARANJA"/>
  </r>
  <r>
    <x v="0"/>
    <x v="0"/>
    <x v="0"/>
    <s v="INMUEBLE"/>
    <x v="3"/>
    <x v="3"/>
    <n v="11"/>
    <x v="0"/>
    <n v="5490"/>
    <s v="NARANJA"/>
  </r>
  <r>
    <x v="1"/>
    <x v="0"/>
    <x v="0"/>
    <s v="INMUEBLE"/>
    <x v="3"/>
    <x v="3"/>
    <n v="11"/>
    <x v="1"/>
    <n v="5490"/>
    <s v="NARANJA"/>
  </r>
  <r>
    <x v="2"/>
    <x v="0"/>
    <x v="0"/>
    <s v="INMUEBLE"/>
    <x v="3"/>
    <x v="3"/>
    <n v="11"/>
    <x v="2"/>
    <n v="5490"/>
    <s v="NARANJA"/>
  </r>
  <r>
    <x v="3"/>
    <x v="0"/>
    <x v="0"/>
    <s v="INMUEBLE"/>
    <x v="3"/>
    <x v="3"/>
    <n v="11"/>
    <x v="3"/>
    <n v="5490"/>
    <s v="NARANJA"/>
  </r>
  <r>
    <x v="4"/>
    <x v="0"/>
    <x v="0"/>
    <s v="INMUEBLE"/>
    <x v="3"/>
    <x v="3"/>
    <n v="11"/>
    <x v="4"/>
    <n v="5490"/>
    <s v="NARANJA"/>
  </r>
  <r>
    <x v="0"/>
    <x v="0"/>
    <x v="0"/>
    <s v="INMUEBLE"/>
    <x v="4"/>
    <x v="4"/>
    <n v="11"/>
    <x v="0"/>
    <n v="1360"/>
    <s v="NARANJA"/>
  </r>
  <r>
    <x v="1"/>
    <x v="0"/>
    <x v="0"/>
    <s v="INMUEBLE"/>
    <x v="4"/>
    <x v="4"/>
    <n v="11"/>
    <x v="1"/>
    <n v="1360"/>
    <s v="NARANJA"/>
  </r>
  <r>
    <x v="2"/>
    <x v="0"/>
    <x v="0"/>
    <s v="INMUEBLE"/>
    <x v="4"/>
    <x v="4"/>
    <n v="11"/>
    <x v="2"/>
    <n v="1360"/>
    <s v="NARANJA"/>
  </r>
  <r>
    <x v="3"/>
    <x v="0"/>
    <x v="0"/>
    <s v="INMUEBLE"/>
    <x v="4"/>
    <x v="4"/>
    <n v="11"/>
    <x v="3"/>
    <n v="1360"/>
    <s v="NARANJA"/>
  </r>
  <r>
    <x v="4"/>
    <x v="0"/>
    <x v="0"/>
    <s v="INMUEBLE"/>
    <x v="4"/>
    <x v="4"/>
    <n v="11"/>
    <x v="4"/>
    <n v="1360"/>
    <s v="NARANJA"/>
  </r>
  <r>
    <x v="5"/>
    <x v="0"/>
    <x v="0"/>
    <s v="INMUEBLE"/>
    <x v="5"/>
    <x v="5"/>
    <n v="11"/>
    <x v="0"/>
    <n v="4028.92"/>
    <s v="NARANJA"/>
  </r>
  <r>
    <x v="1"/>
    <x v="0"/>
    <x v="0"/>
    <s v="INMUEBLE"/>
    <x v="5"/>
    <x v="5"/>
    <n v="11"/>
    <x v="1"/>
    <n v="2740"/>
    <s v="NARANJA"/>
  </r>
  <r>
    <x v="2"/>
    <x v="0"/>
    <x v="0"/>
    <s v="INMUEBLE"/>
    <x v="5"/>
    <x v="5"/>
    <n v="11"/>
    <x v="2"/>
    <n v="2740"/>
    <s v="NARANJA"/>
  </r>
  <r>
    <x v="3"/>
    <x v="0"/>
    <x v="0"/>
    <s v="INMUEBLE"/>
    <x v="5"/>
    <x v="5"/>
    <n v="11"/>
    <x v="3"/>
    <n v="2740"/>
    <s v="NARANJA"/>
  </r>
  <r>
    <x v="4"/>
    <x v="0"/>
    <x v="0"/>
    <s v="INMUEBLE"/>
    <x v="5"/>
    <x v="5"/>
    <n v="11"/>
    <x v="4"/>
    <n v="2740"/>
    <s v="NARANJA"/>
  </r>
  <r>
    <x v="5"/>
    <x v="0"/>
    <x v="1"/>
    <s v="AUTOMOTOR"/>
    <x v="0"/>
    <x v="6"/>
    <n v="12"/>
    <x v="5"/>
    <n v="1715"/>
    <s v="NARANJA"/>
  </r>
  <r>
    <x v="0"/>
    <x v="0"/>
    <x v="1"/>
    <s v="AUTOMOTOR"/>
    <x v="0"/>
    <x v="6"/>
    <n v="12"/>
    <x v="0"/>
    <n v="1715"/>
    <s v="NARANJA"/>
  </r>
  <r>
    <x v="1"/>
    <x v="0"/>
    <x v="1"/>
    <s v="AUTOMOTOR"/>
    <x v="0"/>
    <x v="6"/>
    <n v="12"/>
    <x v="1"/>
    <n v="1715"/>
    <s v="NARANJA"/>
  </r>
  <r>
    <x v="2"/>
    <x v="0"/>
    <x v="1"/>
    <s v="AUTOMOTOR"/>
    <x v="0"/>
    <x v="6"/>
    <n v="12"/>
    <x v="2"/>
    <n v="1715"/>
    <s v="NARANJA"/>
  </r>
  <r>
    <x v="3"/>
    <x v="0"/>
    <x v="1"/>
    <s v="AUTOMOTOR"/>
    <x v="0"/>
    <x v="6"/>
    <n v="12"/>
    <x v="3"/>
    <n v="1715"/>
    <s v="NARANJA"/>
  </r>
  <r>
    <x v="4"/>
    <x v="0"/>
    <x v="1"/>
    <s v="AUTOMOTOR"/>
    <x v="0"/>
    <x v="6"/>
    <n v="12"/>
    <x v="4"/>
    <n v="1715"/>
    <s v="NARANJA"/>
  </r>
  <r>
    <x v="5"/>
    <x v="0"/>
    <x v="1"/>
    <s v="AUTOMOTOR"/>
    <x v="1"/>
    <x v="7"/>
    <n v="12"/>
    <x v="5"/>
    <n v="3067"/>
    <s v="NARANJA"/>
  </r>
  <r>
    <x v="0"/>
    <x v="0"/>
    <x v="1"/>
    <s v="AUTOMOTOR"/>
    <x v="1"/>
    <x v="7"/>
    <n v="12"/>
    <x v="0"/>
    <n v="3067"/>
    <s v="NARANJA"/>
  </r>
  <r>
    <x v="1"/>
    <x v="0"/>
    <x v="1"/>
    <s v="AUTOMOTOR"/>
    <x v="1"/>
    <x v="7"/>
    <n v="12"/>
    <x v="1"/>
    <n v="3067"/>
    <s v="NARANJA"/>
  </r>
  <r>
    <x v="2"/>
    <x v="0"/>
    <x v="1"/>
    <s v="AUTOMOTOR"/>
    <x v="1"/>
    <x v="7"/>
    <n v="12"/>
    <x v="2"/>
    <n v="3067"/>
    <s v="NARANJA"/>
  </r>
  <r>
    <x v="3"/>
    <x v="0"/>
    <x v="1"/>
    <s v="AUTOMOTOR"/>
    <x v="1"/>
    <x v="7"/>
    <n v="12"/>
    <x v="3"/>
    <n v="3067"/>
    <s v="NARANJA"/>
  </r>
  <r>
    <x v="4"/>
    <x v="0"/>
    <x v="1"/>
    <s v="AUTOMOTOR"/>
    <x v="1"/>
    <x v="7"/>
    <n v="12"/>
    <x v="4"/>
    <n v="3067"/>
    <s v="NARANJA"/>
  </r>
  <r>
    <x v="5"/>
    <x v="0"/>
    <x v="1"/>
    <s v="INMUEBLE"/>
    <x v="3"/>
    <x v="8"/>
    <n v="12"/>
    <x v="5"/>
    <n v="5487"/>
    <s v="NARANJA"/>
  </r>
  <r>
    <x v="0"/>
    <x v="0"/>
    <x v="1"/>
    <s v="INMUEBLE"/>
    <x v="3"/>
    <x v="8"/>
    <n v="12"/>
    <x v="0"/>
    <n v="5487"/>
    <s v="NARANJA"/>
  </r>
  <r>
    <x v="1"/>
    <x v="0"/>
    <x v="1"/>
    <s v="INMUEBLE"/>
    <x v="3"/>
    <x v="8"/>
    <n v="12"/>
    <x v="1"/>
    <n v="5487"/>
    <s v="NARANJA"/>
  </r>
  <r>
    <x v="2"/>
    <x v="0"/>
    <x v="1"/>
    <s v="INMUEBLE"/>
    <x v="3"/>
    <x v="8"/>
    <n v="12"/>
    <x v="2"/>
    <n v="5487"/>
    <s v="NARANJA"/>
  </r>
  <r>
    <x v="3"/>
    <x v="0"/>
    <x v="1"/>
    <s v="INMUEBLE"/>
    <x v="3"/>
    <x v="8"/>
    <n v="12"/>
    <x v="3"/>
    <n v="5487"/>
    <s v="NARANJA"/>
  </r>
  <r>
    <x v="4"/>
    <x v="0"/>
    <x v="1"/>
    <s v="INMUEBLE"/>
    <x v="3"/>
    <x v="8"/>
    <n v="12"/>
    <x v="4"/>
    <n v="5487"/>
    <s v="NARANJA"/>
  </r>
  <r>
    <x v="5"/>
    <x v="0"/>
    <x v="1"/>
    <s v="INMUEBLE"/>
    <x v="5"/>
    <x v="9"/>
    <n v="1"/>
    <x v="5"/>
    <n v="16281.6"/>
    <s v="NARANJA"/>
  </r>
  <r>
    <x v="2"/>
    <x v="0"/>
    <x v="2"/>
    <s v="INMUEBLE"/>
    <x v="4"/>
    <x v="10"/>
    <n v="1"/>
    <x v="2"/>
    <n v="26653.200000000001"/>
    <s v="DEBITO"/>
  </r>
  <r>
    <x v="2"/>
    <x v="0"/>
    <x v="2"/>
    <s v="INMUEBLE"/>
    <x v="2"/>
    <x v="11"/>
    <n v="1"/>
    <x v="2"/>
    <n v="26653.200000000001"/>
    <s v="DEBITO"/>
  </r>
  <r>
    <x v="6"/>
    <x v="0"/>
    <x v="0"/>
    <s v="INMUEBLE"/>
    <x v="2"/>
    <x v="2"/>
    <n v="11"/>
    <x v="6"/>
    <n v="890"/>
    <s v="NARANJA"/>
  </r>
  <r>
    <x v="6"/>
    <x v="0"/>
    <x v="0"/>
    <s v="INMUEBLE"/>
    <x v="3"/>
    <x v="3"/>
    <n v="11"/>
    <x v="6"/>
    <n v="5490"/>
    <s v="NARANJA"/>
  </r>
  <r>
    <x v="6"/>
    <x v="0"/>
    <x v="0"/>
    <s v="INMUEBLE"/>
    <x v="4"/>
    <x v="4"/>
    <n v="11"/>
    <x v="6"/>
    <n v="1360"/>
    <s v="NARANJA"/>
  </r>
  <r>
    <x v="6"/>
    <x v="0"/>
    <x v="0"/>
    <s v="INMUEBLE"/>
    <x v="5"/>
    <x v="5"/>
    <n v="11"/>
    <x v="6"/>
    <n v="2740"/>
    <s v="NARANJA"/>
  </r>
  <r>
    <x v="6"/>
    <x v="0"/>
    <x v="0"/>
    <s v="AUTOMOTOR"/>
    <x v="0"/>
    <x v="0"/>
    <n v="11"/>
    <x v="6"/>
    <n v="880"/>
    <s v="NARANJA"/>
  </r>
  <r>
    <x v="6"/>
    <x v="0"/>
    <x v="0"/>
    <s v="AUTOMOTOR"/>
    <x v="1"/>
    <x v="1"/>
    <n v="11"/>
    <x v="6"/>
    <n v="1670"/>
    <s v="NARANJA"/>
  </r>
  <r>
    <x v="6"/>
    <x v="0"/>
    <x v="1"/>
    <s v="AUTOMOTOR"/>
    <x v="0"/>
    <x v="6"/>
    <n v="12"/>
    <x v="6"/>
    <n v="1715"/>
    <s v="NARANJA"/>
  </r>
  <r>
    <x v="6"/>
    <x v="0"/>
    <x v="1"/>
    <s v="AUTOMOTOR"/>
    <x v="1"/>
    <x v="7"/>
    <n v="12"/>
    <x v="6"/>
    <n v="3067"/>
    <s v="NARANJA"/>
  </r>
  <r>
    <x v="6"/>
    <x v="0"/>
    <x v="1"/>
    <s v="INMUEBLE"/>
    <x v="3"/>
    <x v="8"/>
    <n v="12"/>
    <x v="6"/>
    <n v="5487"/>
    <s v="NARANJA"/>
  </r>
  <r>
    <x v="7"/>
    <x v="0"/>
    <x v="0"/>
    <s v="INMUEBLE"/>
    <x v="2"/>
    <x v="2"/>
    <n v="11"/>
    <x v="7"/>
    <n v="890"/>
    <s v="NARANJA"/>
  </r>
  <r>
    <x v="7"/>
    <x v="0"/>
    <x v="0"/>
    <s v="INMUEBLE"/>
    <x v="3"/>
    <x v="3"/>
    <n v="11"/>
    <x v="7"/>
    <n v="5490"/>
    <s v="NARANJA"/>
  </r>
  <r>
    <x v="7"/>
    <x v="0"/>
    <x v="0"/>
    <s v="INMUEBLE"/>
    <x v="4"/>
    <x v="4"/>
    <n v="11"/>
    <x v="7"/>
    <n v="1360"/>
    <s v="NARANJA"/>
  </r>
  <r>
    <x v="7"/>
    <x v="0"/>
    <x v="0"/>
    <s v="INMUEBLE"/>
    <x v="5"/>
    <x v="5"/>
    <n v="11"/>
    <x v="7"/>
    <n v="2740"/>
    <s v="NARANJA"/>
  </r>
  <r>
    <x v="7"/>
    <x v="0"/>
    <x v="0"/>
    <s v="AUTOMOTOR"/>
    <x v="0"/>
    <x v="0"/>
    <n v="11"/>
    <x v="7"/>
    <n v="880"/>
    <s v="NARANJA"/>
  </r>
  <r>
    <x v="7"/>
    <x v="0"/>
    <x v="0"/>
    <s v="AUTOMOTOR"/>
    <x v="1"/>
    <x v="1"/>
    <n v="11"/>
    <x v="7"/>
    <n v="1670"/>
    <s v="NARANJA"/>
  </r>
  <r>
    <x v="7"/>
    <x v="0"/>
    <x v="1"/>
    <s v="AUTOMOTOR"/>
    <x v="0"/>
    <x v="6"/>
    <n v="12"/>
    <x v="7"/>
    <n v="1715"/>
    <s v="NARANJA"/>
  </r>
  <r>
    <x v="7"/>
    <x v="0"/>
    <x v="1"/>
    <s v="AUTOMOTOR"/>
    <x v="1"/>
    <x v="7"/>
    <n v="12"/>
    <x v="7"/>
    <n v="3067"/>
    <s v="NARANJA"/>
  </r>
  <r>
    <x v="7"/>
    <x v="0"/>
    <x v="1"/>
    <s v="INMUEBLE"/>
    <x v="3"/>
    <x v="8"/>
    <n v="12"/>
    <x v="7"/>
    <n v="5487"/>
    <s v="NARANJA"/>
  </r>
  <r>
    <x v="8"/>
    <x v="0"/>
    <x v="0"/>
    <s v="INMUEBLE"/>
    <x v="2"/>
    <x v="2"/>
    <n v="11"/>
    <x v="8"/>
    <n v="890"/>
    <s v="NARANJA"/>
  </r>
  <r>
    <x v="8"/>
    <x v="0"/>
    <x v="0"/>
    <s v="INMUEBLE"/>
    <x v="3"/>
    <x v="3"/>
    <n v="11"/>
    <x v="8"/>
    <n v="5490"/>
    <s v="NARANJA"/>
  </r>
  <r>
    <x v="8"/>
    <x v="0"/>
    <x v="0"/>
    <s v="INMUEBLE"/>
    <x v="4"/>
    <x v="4"/>
    <n v="11"/>
    <x v="8"/>
    <n v="1360"/>
    <s v="NARANJA"/>
  </r>
  <r>
    <x v="8"/>
    <x v="0"/>
    <x v="0"/>
    <s v="INMUEBLE"/>
    <x v="5"/>
    <x v="5"/>
    <n v="11"/>
    <x v="8"/>
    <n v="2740"/>
    <s v="NARANJA"/>
  </r>
  <r>
    <x v="8"/>
    <x v="0"/>
    <x v="0"/>
    <s v="AUTOMOTOR"/>
    <x v="0"/>
    <x v="0"/>
    <n v="11"/>
    <x v="8"/>
    <n v="880"/>
    <s v="NARANJA"/>
  </r>
  <r>
    <x v="8"/>
    <x v="0"/>
    <x v="0"/>
    <s v="AUTOMOTOR"/>
    <x v="1"/>
    <x v="1"/>
    <n v="11"/>
    <x v="8"/>
    <n v="1670"/>
    <s v="NARANJA"/>
  </r>
  <r>
    <x v="8"/>
    <x v="0"/>
    <x v="1"/>
    <s v="AUTOMOTOR"/>
    <x v="0"/>
    <x v="6"/>
    <n v="12"/>
    <x v="8"/>
    <n v="1715"/>
    <s v="NARANJA"/>
  </r>
  <r>
    <x v="8"/>
    <x v="0"/>
    <x v="1"/>
    <s v="AUTOMOTOR"/>
    <x v="1"/>
    <x v="7"/>
    <n v="12"/>
    <x v="8"/>
    <n v="3067"/>
    <s v="NARANJA"/>
  </r>
  <r>
    <x v="8"/>
    <x v="0"/>
    <x v="1"/>
    <s v="INMUEBLE"/>
    <x v="3"/>
    <x v="8"/>
    <n v="12"/>
    <x v="8"/>
    <n v="5487"/>
    <s v="NARANJA"/>
  </r>
  <r>
    <x v="9"/>
    <x v="0"/>
    <x v="0"/>
    <s v="INMUEBLE"/>
    <x v="2"/>
    <x v="2"/>
    <n v="11"/>
    <x v="9"/>
    <n v="890"/>
    <s v="NARANJA"/>
  </r>
  <r>
    <x v="9"/>
    <x v="0"/>
    <x v="0"/>
    <s v="INMUEBLE"/>
    <x v="3"/>
    <x v="3"/>
    <n v="11"/>
    <x v="9"/>
    <n v="5490"/>
    <s v="NARANJA"/>
  </r>
  <r>
    <x v="9"/>
    <x v="0"/>
    <x v="0"/>
    <s v="INMUEBLE"/>
    <x v="4"/>
    <x v="4"/>
    <n v="11"/>
    <x v="9"/>
    <n v="1360"/>
    <s v="NARANJA"/>
  </r>
  <r>
    <x v="9"/>
    <x v="0"/>
    <x v="0"/>
    <s v="INMUEBLE"/>
    <x v="5"/>
    <x v="5"/>
    <n v="11"/>
    <x v="9"/>
    <n v="2740"/>
    <s v="NARANJA"/>
  </r>
  <r>
    <x v="9"/>
    <x v="0"/>
    <x v="0"/>
    <s v="AUTOMOTOR"/>
    <x v="0"/>
    <x v="0"/>
    <n v="11"/>
    <x v="9"/>
    <n v="880"/>
    <s v="NARANJA"/>
  </r>
  <r>
    <x v="9"/>
    <x v="0"/>
    <x v="0"/>
    <s v="AUTOMOTOR"/>
    <x v="1"/>
    <x v="1"/>
    <n v="11"/>
    <x v="9"/>
    <n v="1670"/>
    <s v="NARANJA"/>
  </r>
  <r>
    <x v="9"/>
    <x v="0"/>
    <x v="1"/>
    <s v="AUTOMOTOR"/>
    <x v="0"/>
    <x v="6"/>
    <n v="12"/>
    <x v="9"/>
    <n v="1715"/>
    <s v="NARANJA"/>
  </r>
  <r>
    <x v="9"/>
    <x v="0"/>
    <x v="1"/>
    <s v="AUTOMOTOR"/>
    <x v="1"/>
    <x v="7"/>
    <n v="12"/>
    <x v="9"/>
    <n v="3067"/>
    <s v="NARANJA"/>
  </r>
  <r>
    <x v="9"/>
    <x v="0"/>
    <x v="1"/>
    <s v="INMUEBLE"/>
    <x v="3"/>
    <x v="8"/>
    <n v="12"/>
    <x v="9"/>
    <n v="5487"/>
    <s v="NARANJ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5CD905-4AC8-44E2-9323-591859228AF1}" name="TablaDinámica1" cacheId="2" applyNumberFormats="0" applyBorderFormats="0" applyFontFormats="0" applyPatternFormats="0" applyAlignmentFormats="0" applyWidthHeightFormats="1" dataCaption="Valores" grandTotalCaption="Total Adm" updatedVersion="8" minRefreshableVersion="3" useAutoFormatting="1" itemPrintTitles="1" createdVersion="8" indent="0" outline="1" outlineData="1" multipleFieldFilters="0">
  <location ref="A42:L60" firstHeaderRow="1" firstDataRow="2" firstDataCol="1"/>
  <pivotFields count="12">
    <pivotField numFmtId="14" showAll="0">
      <items count="11">
        <item sd="0" x="5"/>
        <item sd="0" x="0"/>
        <item x="1"/>
        <item x="2"/>
        <item x="3"/>
        <item x="4"/>
        <item x="6"/>
        <item x="7"/>
        <item x="8"/>
        <item x="9"/>
        <item t="default"/>
      </items>
    </pivotField>
    <pivotField axis="axisRow" showAll="0">
      <items count="3">
        <item m="1" x="1"/>
        <item x="0"/>
        <item t="default"/>
      </items>
    </pivotField>
    <pivotField axis="axisRow" showAll="0">
      <items count="4">
        <item x="2"/>
        <item x="1"/>
        <item x="0"/>
        <item t="default"/>
      </items>
    </pivotField>
    <pivotField showAll="0"/>
    <pivotField axis="axisRow" showAll="0">
      <items count="7">
        <item sd="0" x="5"/>
        <item sd="0" x="3"/>
        <item sd="0" x="2"/>
        <item sd="0" x="4"/>
        <item sd="0" x="1"/>
        <item sd="0" x="0"/>
        <item t="default"/>
      </items>
    </pivotField>
    <pivotField axis="axisRow" showAll="0">
      <items count="13">
        <item x="8"/>
        <item x="9"/>
        <item x="3"/>
        <item x="5"/>
        <item x="2"/>
        <item x="4"/>
        <item x="0"/>
        <item x="6"/>
        <item x="1"/>
        <item sd="0" x="7"/>
        <item x="11"/>
        <item x="10"/>
        <item t="default"/>
      </items>
    </pivotField>
    <pivotField showAll="0"/>
    <pivotField axis="axisCol" showAll="0" sortType="ascending">
      <items count="11">
        <item x="5"/>
        <item x="0"/>
        <item x="1"/>
        <item x="2"/>
        <item x="3"/>
        <item x="4"/>
        <item x="6"/>
        <item x="7"/>
        <item x="8"/>
        <item x="9"/>
        <item t="default"/>
      </items>
    </pivotField>
    <pivotField dataField="1" numFmtId="2"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"/>
    <field x="2"/>
    <field x="4"/>
    <field x="5"/>
  </rowFields>
  <rowItems count="17">
    <i>
      <x v="1"/>
    </i>
    <i r="1">
      <x/>
    </i>
    <i r="2">
      <x v="2"/>
    </i>
    <i r="2">
      <x v="3"/>
    </i>
    <i r="1">
      <x v="1"/>
    </i>
    <i r="2">
      <x/>
    </i>
    <i r="2">
      <x v="1"/>
    </i>
    <i r="2">
      <x v="4"/>
    </i>
    <i r="2">
      <x v="5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t="grand">
      <x/>
    </i>
  </rowItems>
  <colFields count="1">
    <field x="7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a de MONTO" fld="8" baseField="0" baseItem="0" numFmtId="165"/>
  </dataFields>
  <formats count="27">
    <format dxfId="363">
      <pivotArea outline="0" collapsedLevelsAreSubtotals="1" fieldPosition="0"/>
    </format>
    <format dxfId="362">
      <pivotArea field="7" type="button" dataOnly="0" labelOnly="1" outline="0" axis="axisCol" fieldPosition="0"/>
    </format>
    <format dxfId="361">
      <pivotArea type="topRight" dataOnly="0" labelOnly="1" outline="0" fieldPosition="0"/>
    </format>
    <format dxfId="360">
      <pivotArea dataOnly="0" labelOnly="1" fieldPosition="0">
        <references count="1">
          <reference field="7" count="0"/>
        </references>
      </pivotArea>
    </format>
    <format dxfId="359">
      <pivotArea dataOnly="0" labelOnly="1" grandCol="1" outline="0" fieldPosition="0"/>
    </format>
    <format dxfId="358">
      <pivotArea outline="0" collapsedLevelsAreSubtotals="1" fieldPosition="0"/>
    </format>
    <format dxfId="357">
      <pivotArea field="7" type="button" dataOnly="0" labelOnly="1" outline="0" axis="axisCol" fieldPosition="0"/>
    </format>
    <format dxfId="356">
      <pivotArea type="topRight" dataOnly="0" labelOnly="1" outline="0" fieldPosition="0"/>
    </format>
    <format dxfId="355">
      <pivotArea dataOnly="0" labelOnly="1" fieldPosition="0">
        <references count="1">
          <reference field="7" count="0"/>
        </references>
      </pivotArea>
    </format>
    <format dxfId="354">
      <pivotArea dataOnly="0" labelOnly="1" grandCol="1" outline="0" fieldPosition="0"/>
    </format>
    <format dxfId="353">
      <pivotArea type="all" dataOnly="0" outline="0" fieldPosition="0"/>
    </format>
    <format dxfId="352">
      <pivotArea outline="0" collapsedLevelsAreSubtotals="1" fieldPosition="0"/>
    </format>
    <format dxfId="351">
      <pivotArea type="origin" dataOnly="0" labelOnly="1" outline="0" fieldPosition="0"/>
    </format>
    <format dxfId="350">
      <pivotArea field="7" type="button" dataOnly="0" labelOnly="1" outline="0" axis="axisCol" fieldPosition="0"/>
    </format>
    <format dxfId="349">
      <pivotArea type="topRight" dataOnly="0" labelOnly="1" outline="0" fieldPosition="0"/>
    </format>
    <format dxfId="348">
      <pivotArea field="2" type="button" dataOnly="0" labelOnly="1" outline="0" axis="axisRow" fieldPosition="1"/>
    </format>
    <format dxfId="347">
      <pivotArea dataOnly="0" labelOnly="1" fieldPosition="0">
        <references count="1">
          <reference field="2" count="0"/>
        </references>
      </pivotArea>
    </format>
    <format dxfId="346">
      <pivotArea dataOnly="0" labelOnly="1" grandRow="1" outline="0" fieldPosition="0"/>
    </format>
    <format dxfId="345">
      <pivotArea dataOnly="0" labelOnly="1" fieldPosition="0">
        <references count="1">
          <reference field="7" count="0"/>
        </references>
      </pivotArea>
    </format>
    <format dxfId="344">
      <pivotArea dataOnly="0" labelOnly="1" grandCol="1" outline="0" fieldPosition="0"/>
    </format>
    <format dxfId="343">
      <pivotArea collapsedLevelsAreSubtotals="1" fieldPosition="0">
        <references count="1">
          <reference field="2" count="1">
            <x v="0"/>
          </reference>
        </references>
      </pivotArea>
    </format>
    <format dxfId="342">
      <pivotArea dataOnly="0" labelOnly="1" fieldPosition="0">
        <references count="1">
          <reference field="2" count="1">
            <x v="0"/>
          </reference>
        </references>
      </pivotArea>
    </format>
    <format dxfId="341">
      <pivotArea collapsedLevelsAreSubtotals="1" fieldPosition="0">
        <references count="1">
          <reference field="2" count="1">
            <x v="1"/>
          </reference>
        </references>
      </pivotArea>
    </format>
    <format dxfId="340">
      <pivotArea dataOnly="0" labelOnly="1" fieldPosition="0">
        <references count="1">
          <reference field="2" count="1">
            <x v="1"/>
          </reference>
        </references>
      </pivotArea>
    </format>
    <format dxfId="339">
      <pivotArea collapsedLevelsAreSubtotals="1" fieldPosition="0">
        <references count="1">
          <reference field="2" count="1">
            <x v="2"/>
          </reference>
        </references>
      </pivotArea>
    </format>
    <format dxfId="338">
      <pivotArea dataOnly="0" labelOnly="1" fieldPosition="0">
        <references count="1">
          <reference field="2" count="1">
            <x v="2"/>
          </reference>
        </references>
      </pivotArea>
    </format>
    <format dxfId="337">
      <pivotArea outline="0" collapsedLevelsAreSubtotals="1" fieldPosition="0"/>
    </format>
  </formats>
  <pivotTableStyleInfo name="PivotStyleDark1" showRowHeaders="1" showColHeaders="0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C015BA-F2C3-4191-8850-083A43B93677}" name="TablaDinámica2" cacheId="2" applyNumberFormats="0" applyBorderFormats="0" applyFontFormats="0" applyPatternFormats="0" applyAlignmentFormats="0" applyWidthHeightFormats="1" dataCaption="Valores" grandTotalCaption="Total Inmueble" updatedVersion="8" minRefreshableVersion="3" useAutoFormatting="1" itemPrintTitles="1" createdVersion="8" indent="0" outline="1" outlineData="1" multipleFieldFilters="0">
  <location ref="A2:L23" firstHeaderRow="1" firstDataRow="2" firstDataCol="1"/>
  <pivotFields count="12">
    <pivotField numFmtId="14" showAll="0">
      <items count="11">
        <item x="5"/>
        <item x="0"/>
        <item x="1"/>
        <item x="2"/>
        <item x="3"/>
        <item x="4"/>
        <item x="6"/>
        <item x="7"/>
        <item x="8"/>
        <item x="9"/>
        <item t="default"/>
      </items>
    </pivotField>
    <pivotField axis="axisRow" showAll="0">
      <items count="3">
        <item m="1" x="1"/>
        <item x="0"/>
        <item t="default"/>
      </items>
    </pivotField>
    <pivotField axis="axisRow" showAll="0">
      <items count="4">
        <item sd="0" x="2"/>
        <item sd="0" x="1"/>
        <item sd="0" x="0"/>
        <item t="default"/>
      </items>
    </pivotField>
    <pivotField showAll="0"/>
    <pivotField axis="axisRow" showAll="0">
      <items count="7">
        <item x="5"/>
        <item x="3"/>
        <item x="2"/>
        <item x="4"/>
        <item x="1"/>
        <item x="0"/>
        <item t="default"/>
      </items>
    </pivotField>
    <pivotField axis="axisRow" showAll="0">
      <items count="13">
        <item x="8"/>
        <item x="9"/>
        <item x="3"/>
        <item x="5"/>
        <item x="2"/>
        <item x="4"/>
        <item x="0"/>
        <item x="6"/>
        <item x="1"/>
        <item x="7"/>
        <item x="11"/>
        <item x="10"/>
        <item t="default"/>
      </items>
    </pivotField>
    <pivotField showAll="0"/>
    <pivotField axis="axisCol" showAll="0" sortType="ascending">
      <items count="11">
        <item x="5"/>
        <item x="0"/>
        <item x="1"/>
        <item x="2"/>
        <item x="3"/>
        <item x="4"/>
        <item x="6"/>
        <item x="7"/>
        <item x="8"/>
        <item x="9"/>
        <item t="default"/>
      </items>
    </pivotField>
    <pivotField dataField="1" numFmtId="2"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4">
    <field x="1"/>
    <field x="4"/>
    <field x="2"/>
    <field x="5"/>
  </rowFields>
  <rowItems count="20">
    <i>
      <x v="1"/>
    </i>
    <i r="1">
      <x/>
    </i>
    <i r="2">
      <x v="1"/>
    </i>
    <i r="2">
      <x v="2"/>
    </i>
    <i r="1">
      <x v="1"/>
    </i>
    <i r="2">
      <x v="1"/>
    </i>
    <i r="2">
      <x v="2"/>
    </i>
    <i r="1">
      <x v="2"/>
    </i>
    <i r="2">
      <x/>
    </i>
    <i r="2">
      <x v="2"/>
    </i>
    <i r="1">
      <x v="3"/>
    </i>
    <i r="2">
      <x/>
    </i>
    <i r="2">
      <x v="2"/>
    </i>
    <i r="1">
      <x v="4"/>
    </i>
    <i r="2">
      <x v="1"/>
    </i>
    <i r="2">
      <x v="2"/>
    </i>
    <i r="1">
      <x v="5"/>
    </i>
    <i r="2">
      <x v="1"/>
    </i>
    <i r="2">
      <x v="2"/>
    </i>
    <i t="grand">
      <x/>
    </i>
  </rowItems>
  <colFields count="1">
    <field x="7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a de MONTO" fld="8" baseField="0" baseItem="0" numFmtId="165"/>
  </dataFields>
  <formats count="41">
    <format dxfId="404">
      <pivotArea outline="0" collapsedLevelsAreSubtotals="1" fieldPosition="0"/>
    </format>
    <format dxfId="403">
      <pivotArea type="all" dataOnly="0" outline="0" fieldPosition="0"/>
    </format>
    <format dxfId="402">
      <pivotArea outline="0" collapsedLevelsAreSubtotals="1" fieldPosition="0"/>
    </format>
    <format dxfId="401">
      <pivotArea type="origin" dataOnly="0" labelOnly="1" outline="0" fieldPosition="0"/>
    </format>
    <format dxfId="400">
      <pivotArea field="7" type="button" dataOnly="0" labelOnly="1" outline="0" axis="axisCol" fieldPosition="0"/>
    </format>
    <format dxfId="399">
      <pivotArea type="topRight" dataOnly="0" labelOnly="1" outline="0" fieldPosition="0"/>
    </format>
    <format dxfId="398">
      <pivotArea field="4" type="button" dataOnly="0" labelOnly="1" outline="0" axis="axisRow" fieldPosition="1"/>
    </format>
    <format dxfId="397">
      <pivotArea dataOnly="0" labelOnly="1" fieldPosition="0">
        <references count="1">
          <reference field="4" count="0"/>
        </references>
      </pivotArea>
    </format>
    <format dxfId="396">
      <pivotArea dataOnly="0" labelOnly="1" grandRow="1" outline="0" fieldPosition="0"/>
    </format>
    <format dxfId="395">
      <pivotArea dataOnly="0" labelOnly="1" fieldPosition="0">
        <references count="2">
          <reference field="2" count="2">
            <x v="1"/>
            <x v="2"/>
          </reference>
          <reference field="4" count="1" selected="0">
            <x v="0"/>
          </reference>
        </references>
      </pivotArea>
    </format>
    <format dxfId="394">
      <pivotArea dataOnly="0" labelOnly="1" fieldPosition="0">
        <references count="1">
          <reference field="7" count="0"/>
        </references>
      </pivotArea>
    </format>
    <format dxfId="393">
      <pivotArea dataOnly="0" labelOnly="1" grandCol="1" outline="0" fieldPosition="0"/>
    </format>
    <format dxfId="392">
      <pivotArea type="origin" dataOnly="0" labelOnly="1" outline="0" fieldPosition="0"/>
    </format>
    <format dxfId="391">
      <pivotArea field="7" type="button" dataOnly="0" labelOnly="1" outline="0" axis="axisCol" fieldPosition="0"/>
    </format>
    <format dxfId="390">
      <pivotArea type="topRight" dataOnly="0" labelOnly="1" outline="0" fieldPosition="0"/>
    </format>
    <format dxfId="389">
      <pivotArea field="4" type="button" dataOnly="0" labelOnly="1" outline="0" axis="axisRow" fieldPosition="1"/>
    </format>
    <format dxfId="388">
      <pivotArea dataOnly="0" labelOnly="1" fieldPosition="0">
        <references count="1">
          <reference field="7" count="0"/>
        </references>
      </pivotArea>
    </format>
    <format dxfId="387">
      <pivotArea dataOnly="0" labelOnly="1" grandCol="1" outline="0" fieldPosition="0"/>
    </format>
    <format dxfId="386">
      <pivotArea collapsedLevelsAreSubtotals="1" fieldPosition="0">
        <references count="1">
          <reference field="4" count="1">
            <x v="1"/>
          </reference>
        </references>
      </pivotArea>
    </format>
    <format dxfId="385">
      <pivotArea dataOnly="0" labelOnly="1" fieldPosition="0">
        <references count="1">
          <reference field="4" count="1">
            <x v="1"/>
          </reference>
        </references>
      </pivotArea>
    </format>
    <format dxfId="384">
      <pivotArea collapsedLevelsAreSubtotals="1" fieldPosition="0">
        <references count="1">
          <reference field="4" count="1">
            <x v="2"/>
          </reference>
        </references>
      </pivotArea>
    </format>
    <format dxfId="383">
      <pivotArea dataOnly="0" labelOnly="1" fieldPosition="0">
        <references count="1">
          <reference field="4" count="1">
            <x v="2"/>
          </reference>
        </references>
      </pivotArea>
    </format>
    <format dxfId="382">
      <pivotArea collapsedLevelsAreSubtotals="1" fieldPosition="0">
        <references count="1">
          <reference field="4" count="1">
            <x v="3"/>
          </reference>
        </references>
      </pivotArea>
    </format>
    <format dxfId="381">
      <pivotArea dataOnly="0" labelOnly="1" fieldPosition="0">
        <references count="1">
          <reference field="4" count="1">
            <x v="3"/>
          </reference>
        </references>
      </pivotArea>
    </format>
    <format dxfId="380">
      <pivotArea collapsedLevelsAreSubtotals="1" fieldPosition="0">
        <references count="1">
          <reference field="4" count="1">
            <x v="4"/>
          </reference>
        </references>
      </pivotArea>
    </format>
    <format dxfId="379">
      <pivotArea dataOnly="0" labelOnly="1" fieldPosition="0">
        <references count="1">
          <reference field="4" count="1">
            <x v="4"/>
          </reference>
        </references>
      </pivotArea>
    </format>
    <format dxfId="378">
      <pivotArea collapsedLevelsAreSubtotals="1" fieldPosition="0">
        <references count="1">
          <reference field="4" count="1">
            <x v="5"/>
          </reference>
        </references>
      </pivotArea>
    </format>
    <format dxfId="377">
      <pivotArea dataOnly="0" labelOnly="1" fieldPosition="0">
        <references count="1">
          <reference field="4" count="1">
            <x v="5"/>
          </reference>
        </references>
      </pivotArea>
    </format>
    <format dxfId="376">
      <pivotArea dataOnly="0" labelOnly="1" grandCol="1" outline="0" fieldPosition="0"/>
    </format>
    <format dxfId="375">
      <pivotArea dataOnly="0" labelOnly="1" fieldPosition="0">
        <references count="1">
          <reference field="7" count="1">
            <x v="1"/>
          </reference>
        </references>
      </pivotArea>
    </format>
    <format dxfId="374">
      <pivotArea dataOnly="0" labelOnly="1" fieldPosition="0">
        <references count="1">
          <reference field="7" count="1">
            <x v="1"/>
          </reference>
        </references>
      </pivotArea>
    </format>
    <format dxfId="373">
      <pivotArea dataOnly="0" labelOnly="1" fieldPosition="0">
        <references count="1">
          <reference field="7" count="1">
            <x v="0"/>
          </reference>
        </references>
      </pivotArea>
    </format>
    <format dxfId="372">
      <pivotArea collapsedLevelsAreSubtotals="1" fieldPosition="0">
        <references count="2">
          <reference field="1" count="0" selected="0"/>
          <reference field="4" count="1">
            <x v="0"/>
          </reference>
        </references>
      </pivotArea>
    </format>
    <format dxfId="371">
      <pivotArea collapsedLevelsAreSubtotals="1" fieldPosition="0">
        <references count="3">
          <reference field="1" count="0" selected="0"/>
          <reference field="2" count="1">
            <x v="1"/>
          </reference>
          <reference field="4" count="1" selected="0">
            <x v="0"/>
          </reference>
        </references>
      </pivotArea>
    </format>
    <format dxfId="370">
      <pivotArea collapsedLevelsAreSubtotals="1" fieldPosition="0">
        <references count="3">
          <reference field="1" count="0" selected="0"/>
          <reference field="2" count="1">
            <x v="2"/>
          </reference>
          <reference field="4" count="1" selected="0">
            <x v="0"/>
          </reference>
        </references>
      </pivotArea>
    </format>
    <format dxfId="369">
      <pivotArea collapsedLevelsAreSubtotals="1" fieldPosition="0">
        <references count="2">
          <reference field="1" count="0" selected="0"/>
          <reference field="4" count="1">
            <x v="2"/>
          </reference>
        </references>
      </pivotArea>
    </format>
    <format dxfId="368">
      <pivotArea collapsedLevelsAreSubtotals="1" fieldPosition="0">
        <references count="3">
          <reference field="1" count="0" selected="0"/>
          <reference field="2" count="1">
            <x v="0"/>
          </reference>
          <reference field="4" count="1" selected="0">
            <x v="2"/>
          </reference>
        </references>
      </pivotArea>
    </format>
    <format dxfId="367">
      <pivotArea collapsedLevelsAreSubtotals="1" fieldPosition="0">
        <references count="3">
          <reference field="1" count="0" selected="0"/>
          <reference field="2" count="1">
            <x v="2"/>
          </reference>
          <reference field="4" count="1" selected="0">
            <x v="2"/>
          </reference>
        </references>
      </pivotArea>
    </format>
    <format dxfId="366">
      <pivotArea collapsedLevelsAreSubtotals="1" fieldPosition="0">
        <references count="2">
          <reference field="1" count="0" selected="0"/>
          <reference field="4" count="1">
            <x v="4"/>
          </reference>
        </references>
      </pivotArea>
    </format>
    <format dxfId="365">
      <pivotArea collapsedLevelsAreSubtotals="1" fieldPosition="0">
        <references count="3">
          <reference field="1" count="0" selected="0"/>
          <reference field="2" count="1">
            <x v="1"/>
          </reference>
          <reference field="4" count="1" selected="0">
            <x v="4"/>
          </reference>
        </references>
      </pivotArea>
    </format>
    <format dxfId="364">
      <pivotArea collapsedLevelsAreSubtotals="1" fieldPosition="0">
        <references count="3">
          <reference field="1" count="0" selected="0"/>
          <reference field="2" count="1">
            <x v="2"/>
          </reference>
          <reference field="4" count="1" selected="0">
            <x v="4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Gasto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A3:M8" firstHeaderRow="1" firstDataRow="2" firstDataCol="1"/>
  <pivotFields count="10">
    <pivotField axis="axisCol" compact="0" numFmtId="14" outline="0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compact="0" numFmtId="16" outline="0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compact="0" outline="0" showAll="0">
      <items count="4">
        <item sd="0" x="1"/>
        <item sd="0" x="0"/>
        <item sd="0" x="2"/>
        <item t="default"/>
      </items>
    </pivotField>
    <pivotField dataField="1" compact="0" numFmtId="1" outline="0" showAll="0"/>
    <pivotField compact="0" outline="0" showAll="0"/>
    <pivotField compact="0" outline="0" showAll="0"/>
    <pivotField compact="0" outline="0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compact="0" outline="0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dataFields count="1">
    <dataField name="Suma de Monto" fld="3" baseField="0" baseItem="0" numFmtId="165"/>
  </dataFields>
  <formats count="70">
    <format dxfId="315">
      <pivotArea dataOnly="0" labelOnly="1" grandCol="1" outline="0" fieldPosition="0"/>
    </format>
    <format dxfId="314">
      <pivotArea dataOnly="0" labelOnly="1" grandCol="1" outline="0" fieldPosition="0"/>
    </format>
    <format dxfId="313">
      <pivotArea dataOnly="0" labelOnly="1" grandCol="1" outline="0" fieldPosition="0"/>
    </format>
    <format dxfId="312">
      <pivotArea dataOnly="0" labelOnly="1" grandCol="1" outline="0" fieldPosition="0"/>
    </format>
    <format dxfId="311">
      <pivotArea dataOnly="0" labelOnly="1" grandCol="1" outline="0" fieldPosition="0"/>
    </format>
    <format dxfId="310">
      <pivotArea outline="0" collapsedLevelsAreSubtotals="1" fieldPosition="0"/>
    </format>
    <format dxfId="309">
      <pivotArea dataOnly="0" labelOnly="1" grandCol="1" outline="0" fieldPosition="0"/>
    </format>
    <format dxfId="308">
      <pivotArea dataOnly="0" labelOnly="1" grandCol="1" outline="0" fieldPosition="0"/>
    </format>
    <format dxfId="307">
      <pivotArea dataOnly="0" labelOnly="1" grandCol="1" outline="0" fieldPosition="0"/>
    </format>
    <format dxfId="306">
      <pivotArea field="2" type="button" dataOnly="0" labelOnly="1" outline="0" axis="axisRow" fieldPosition="0"/>
    </format>
    <format dxfId="305">
      <pivotArea dataOnly="0" labelOnly="1" fieldPosition="0">
        <references count="1">
          <reference field="0" count="0"/>
        </references>
      </pivotArea>
    </format>
    <format dxfId="304">
      <pivotArea field="2" type="button" dataOnly="0" labelOnly="1" outline="0" axis="axisRow" fieldPosition="0"/>
    </format>
    <format dxfId="303">
      <pivotArea dataOnly="0" labelOnly="1" fieldPosition="0">
        <references count="1">
          <reference field="0" count="0"/>
        </references>
      </pivotArea>
    </format>
    <format dxfId="302">
      <pivotArea field="2" type="button" dataOnly="0" labelOnly="1" outline="0" axis="axisRow" fieldPosition="0"/>
    </format>
    <format dxfId="301">
      <pivotArea dataOnly="0" labelOnly="1" fieldPosition="0">
        <references count="1">
          <reference field="0" count="0"/>
        </references>
      </pivotArea>
    </format>
    <format dxfId="300">
      <pivotArea field="2" type="button" dataOnly="0" labelOnly="1" outline="0" axis="axisRow" fieldPosition="0"/>
    </format>
    <format dxfId="299">
      <pivotArea dataOnly="0" labelOnly="1" fieldPosition="0">
        <references count="1">
          <reference field="0" count="0"/>
        </references>
      </pivotArea>
    </format>
    <format dxfId="298">
      <pivotArea dataOnly="0" labelOnly="1" fieldPosition="0">
        <references count="1">
          <reference field="0" count="0"/>
        </references>
      </pivotArea>
    </format>
    <format dxfId="297">
      <pivotArea outline="0" collapsedLevelsAreSubtotals="1" fieldPosition="0"/>
    </format>
    <format dxfId="296">
      <pivotArea field="2" type="button" dataOnly="0" labelOnly="1" outline="0" axis="axisRow" fieldPosition="0"/>
    </format>
    <format dxfId="295">
      <pivotArea dataOnly="0" labelOnly="1" outline="0" fieldPosition="0">
        <references count="1">
          <reference field="0" count="0"/>
        </references>
      </pivotArea>
    </format>
    <format dxfId="294">
      <pivotArea dataOnly="0" labelOnly="1" grandCol="1" outline="0" fieldPosition="0"/>
    </format>
    <format dxfId="293">
      <pivotArea field="2" type="button" dataOnly="0" labelOnly="1" outline="0" axis="axisRow" fieldPosition="0"/>
    </format>
    <format dxfId="292">
      <pivotArea dataOnly="0" labelOnly="1" outline="0" fieldPosition="0">
        <references count="1">
          <reference field="0" count="0"/>
        </references>
      </pivotArea>
    </format>
    <format dxfId="291">
      <pivotArea dataOnly="0" labelOnly="1" grandCol="1" outline="0" fieldPosition="0"/>
    </format>
    <format dxfId="290">
      <pivotArea grandRow="1" outline="0" collapsedLevelsAreSubtotals="1" fieldPosition="0"/>
    </format>
    <format dxfId="289">
      <pivotArea outline="0" fieldPosition="0">
        <references count="1">
          <reference field="2" count="0" selected="0"/>
        </references>
      </pivotArea>
    </format>
    <format dxfId="288">
      <pivotArea outline="0" fieldPosition="0">
        <references count="1">
          <reference field="2" count="0" selected="0"/>
        </references>
      </pivotArea>
    </format>
    <format dxfId="287">
      <pivotArea dataOnly="0" labelOnly="1" outline="0" fieldPosition="0">
        <references count="1">
          <reference field="2" count="0"/>
        </references>
      </pivotArea>
    </format>
    <format dxfId="286">
      <pivotArea outline="0" fieldPosition="0">
        <references count="1">
          <reference field="2" count="1" selected="0">
            <x v="1"/>
          </reference>
        </references>
      </pivotArea>
    </format>
    <format dxfId="285">
      <pivotArea dataOnly="0" labelOnly="1" outline="0" fieldPosition="0">
        <references count="1">
          <reference field="2" count="1">
            <x v="1"/>
          </reference>
        </references>
      </pivotArea>
    </format>
    <format dxfId="284">
      <pivotArea type="origin" dataOnly="0" labelOnly="1" outline="0" fieldPosition="0"/>
    </format>
    <format dxfId="283">
      <pivotArea field="0" type="button" dataOnly="0" labelOnly="1" outline="0" axis="axisCol" fieldPosition="0"/>
    </format>
    <format dxfId="282">
      <pivotArea type="topRight" dataOnly="0" labelOnly="1" outline="0" fieldPosition="0"/>
    </format>
    <format dxfId="281">
      <pivotArea type="origin" dataOnly="0" labelOnly="1" outline="0" fieldPosition="0"/>
    </format>
    <format dxfId="280">
      <pivotArea field="0" type="button" dataOnly="0" labelOnly="1" outline="0" axis="axisCol" fieldPosition="0"/>
    </format>
    <format dxfId="279">
      <pivotArea type="topRight" dataOnly="0" labelOnly="1" outline="0" fieldPosition="0"/>
    </format>
    <format dxfId="278">
      <pivotArea dataOnly="0" labelOnly="1" outline="0" fieldPosition="0">
        <references count="1">
          <reference field="2" count="0"/>
        </references>
      </pivotArea>
    </format>
    <format dxfId="277">
      <pivotArea outline="0" collapsedLevelsAreSubtotals="1" fieldPosition="0"/>
    </format>
    <format dxfId="276">
      <pivotArea outline="0" collapsedLevelsAreSubtotals="1" fieldPosition="0"/>
    </format>
    <format dxfId="275">
      <pivotArea dataOnly="0" labelOnly="1" outline="0" fieldPosition="0">
        <references count="1">
          <reference field="2" count="0"/>
        </references>
      </pivotArea>
    </format>
    <format dxfId="274">
      <pivotArea dataOnly="0" labelOnly="1" grandRow="1" outline="0" fieldPosition="0"/>
    </format>
    <format dxfId="273">
      <pivotArea dataOnly="0" labelOnly="1" outline="0" fieldPosition="0">
        <references count="1">
          <reference field="2" count="0"/>
        </references>
      </pivotArea>
    </format>
    <format dxfId="272">
      <pivotArea dataOnly="0" labelOnly="1" grandRow="1" outline="0" fieldPosition="0"/>
    </format>
    <format dxfId="271">
      <pivotArea field="2" type="button" dataOnly="0" labelOnly="1" outline="0" axis="axisRow" fieldPosition="0"/>
    </format>
    <format dxfId="270">
      <pivotArea dataOnly="0" labelOnly="1" outline="0" fieldPosition="0">
        <references count="1">
          <reference field="0" count="0"/>
        </references>
      </pivotArea>
    </format>
    <format dxfId="269">
      <pivotArea dataOnly="0" labelOnly="1" grandCol="1" outline="0" fieldPosition="0"/>
    </format>
    <format dxfId="268">
      <pivotArea field="2" type="button" dataOnly="0" labelOnly="1" outline="0" axis="axisRow" fieldPosition="0"/>
    </format>
    <format dxfId="267">
      <pivotArea dataOnly="0" labelOnly="1" outline="0" fieldPosition="0">
        <references count="1">
          <reference field="0" count="0"/>
        </references>
      </pivotArea>
    </format>
    <format dxfId="266">
      <pivotArea dataOnly="0" labelOnly="1" grandCol="1" outline="0" fieldPosition="0"/>
    </format>
    <format dxfId="265">
      <pivotArea type="all" dataOnly="0" outline="0" fieldPosition="0"/>
    </format>
    <format dxfId="264">
      <pivotArea outline="0" collapsedLevelsAreSubtotals="1" fieldPosition="0"/>
    </format>
    <format dxfId="263">
      <pivotArea type="origin" dataOnly="0" labelOnly="1" outline="0" fieldPosition="0"/>
    </format>
    <format dxfId="262">
      <pivotArea field="0" type="button" dataOnly="0" labelOnly="1" outline="0" axis="axisCol" fieldPosition="0"/>
    </format>
    <format dxfId="261">
      <pivotArea type="topRight" dataOnly="0" labelOnly="1" outline="0" fieldPosition="0"/>
    </format>
    <format dxfId="260">
      <pivotArea field="2" type="button" dataOnly="0" labelOnly="1" outline="0" axis="axisRow" fieldPosition="0"/>
    </format>
    <format dxfId="259">
      <pivotArea dataOnly="0" labelOnly="1" outline="0" fieldPosition="0">
        <references count="1">
          <reference field="2" count="0"/>
        </references>
      </pivotArea>
    </format>
    <format dxfId="258">
      <pivotArea dataOnly="0" labelOnly="1" grandRow="1" outline="0" fieldPosition="0"/>
    </format>
    <format dxfId="257">
      <pivotArea dataOnly="0" labelOnly="1" outline="0" fieldPosition="0">
        <references count="1">
          <reference field="0" count="0"/>
        </references>
      </pivotArea>
    </format>
    <format dxfId="256">
      <pivotArea dataOnly="0" labelOnly="1" grandCol="1" outline="0" fieldPosition="0"/>
    </format>
    <format dxfId="255">
      <pivotArea type="all" dataOnly="0" outline="0" fieldPosition="0"/>
    </format>
    <format dxfId="254">
      <pivotArea outline="0" collapsedLevelsAreSubtotals="1" fieldPosition="0"/>
    </format>
    <format dxfId="253">
      <pivotArea type="origin" dataOnly="0" labelOnly="1" outline="0" fieldPosition="0"/>
    </format>
    <format dxfId="252">
      <pivotArea field="0" type="button" dataOnly="0" labelOnly="1" outline="0" axis="axisCol" fieldPosition="0"/>
    </format>
    <format dxfId="251">
      <pivotArea type="topRight" dataOnly="0" labelOnly="1" outline="0" fieldPosition="0"/>
    </format>
    <format dxfId="250">
      <pivotArea field="2" type="button" dataOnly="0" labelOnly="1" outline="0" axis="axisRow" fieldPosition="0"/>
    </format>
    <format dxfId="249">
      <pivotArea dataOnly="0" labelOnly="1" outline="0" fieldPosition="0">
        <references count="1">
          <reference field="2" count="0"/>
        </references>
      </pivotArea>
    </format>
    <format dxfId="248">
      <pivotArea dataOnly="0" labelOnly="1" grandRow="1" outline="0" fieldPosition="0"/>
    </format>
    <format dxfId="247">
      <pivotArea dataOnly="0" labelOnly="1" outline="0" fieldPosition="0">
        <references count="1">
          <reference field="0" count="0"/>
        </references>
      </pivotArea>
    </format>
    <format dxfId="246">
      <pivotArea dataOnly="0" labelOnly="1" grandCol="1" outline="0" fieldPosition="0"/>
    </format>
  </formats>
  <pivotTableStyleInfo name="PivotStyleDark1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Ingresos" cacheId="1" applyNumberFormats="0" applyBorderFormats="0" applyFontFormats="0" applyPatternFormats="0" applyAlignmentFormats="0" applyWidthHeightFormats="1" dataCaption="Valores" grandTotalCaption="Total" updatedVersion="8" minRefreshableVersion="3" useAutoFormatting="1" itemPrintTitles="1" createdVersion="8" indent="0" outline="1" outlineData="1" multipleFieldFilters="0">
  <location ref="A3:M7" firstHeaderRow="1" firstDataRow="2" firstDataCol="1"/>
  <pivotFields count="8">
    <pivotField numFmtId="14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numFmtId="16" showAll="0"/>
    <pivotField axis="axisRow" multipleItemSelectionAllowed="1" showAll="0">
      <items count="5">
        <item h="1" x="2"/>
        <item x="1"/>
        <item x="0"/>
        <item h="1" x="3"/>
        <item t="default"/>
      </items>
    </pivotField>
    <pivotField dataField="1" numFmtId="3"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Col" showAll="0">
      <items count="15">
        <item sd="0" x="0"/>
        <item sd="0" x="1"/>
        <item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3">
    <i>
      <x v="1"/>
    </i>
    <i>
      <x v="2"/>
    </i>
    <i t="grand">
      <x/>
    </i>
  </rowItems>
  <colFields count="1">
    <field x="7"/>
  </colFields>
  <col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a de Monto" fld="3" baseField="0" baseItem="0" numFmtId="1"/>
  </dataFields>
  <formats count="53">
    <format dxfId="180">
      <pivotArea outline="0" collapsedLevelsAreSubtotals="1" fieldPosition="0"/>
    </format>
    <format dxfId="179">
      <pivotArea dataOnly="0" labelOnly="1" fieldPosition="0">
        <references count="1">
          <reference field="7" count="8"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178">
      <pivotArea dataOnly="0" labelOnly="1" grandCol="1" outline="0" fieldPosition="0"/>
    </format>
    <format dxfId="177">
      <pivotArea dataOnly="0" labelOnly="1" fieldPosition="0">
        <references count="1">
          <reference field="7" count="8"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176">
      <pivotArea dataOnly="0" labelOnly="1" grandCol="1" outline="0" fieldPosition="0"/>
    </format>
    <format dxfId="175">
      <pivotArea type="all" dataOnly="0" outline="0" fieldPosition="0"/>
    </format>
    <format dxfId="174">
      <pivotArea outline="0" collapsedLevelsAreSubtotals="1" fieldPosition="0"/>
    </format>
    <format dxfId="173">
      <pivotArea type="origin" dataOnly="0" labelOnly="1" outline="0" fieldPosition="0"/>
    </format>
    <format dxfId="172">
      <pivotArea field="7" type="button" dataOnly="0" labelOnly="1" outline="0" axis="axisCol" fieldPosition="0"/>
    </format>
    <format dxfId="171">
      <pivotArea type="topRight" dataOnly="0" labelOnly="1" outline="0" fieldPosition="0"/>
    </format>
    <format dxfId="170">
      <pivotArea field="2" type="button" dataOnly="0" labelOnly="1" outline="0" axis="axisRow" fieldPosition="0"/>
    </format>
    <format dxfId="169">
      <pivotArea dataOnly="0" labelOnly="1" fieldPosition="0">
        <references count="1">
          <reference field="2" count="0"/>
        </references>
      </pivotArea>
    </format>
    <format dxfId="168">
      <pivotArea dataOnly="0" labelOnly="1" grandRow="1" outline="0" fieldPosition="0"/>
    </format>
    <format dxfId="167">
      <pivotArea dataOnly="0" labelOnly="1" fieldPosition="0">
        <references count="1">
          <reference field="7" count="8"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166">
      <pivotArea dataOnly="0" labelOnly="1" grandCol="1" outline="0" fieldPosition="0"/>
    </format>
    <format dxfId="165">
      <pivotArea type="all" dataOnly="0" outline="0" fieldPosition="0"/>
    </format>
    <format dxfId="164">
      <pivotArea outline="0" collapsedLevelsAreSubtotals="1" fieldPosition="0"/>
    </format>
    <format dxfId="163">
      <pivotArea type="origin" dataOnly="0" labelOnly="1" outline="0" fieldPosition="0"/>
    </format>
    <format dxfId="162">
      <pivotArea field="7" type="button" dataOnly="0" labelOnly="1" outline="0" axis="axisCol" fieldPosition="0"/>
    </format>
    <format dxfId="161">
      <pivotArea type="topRight" dataOnly="0" labelOnly="1" outline="0" fieldPosition="0"/>
    </format>
    <format dxfId="160">
      <pivotArea field="2" type="button" dataOnly="0" labelOnly="1" outline="0" axis="axisRow" fieldPosition="0"/>
    </format>
    <format dxfId="159">
      <pivotArea dataOnly="0" labelOnly="1" fieldPosition="0">
        <references count="1">
          <reference field="2" count="0"/>
        </references>
      </pivotArea>
    </format>
    <format dxfId="158">
      <pivotArea dataOnly="0" labelOnly="1" grandRow="1" outline="0" fieldPosition="0"/>
    </format>
    <format dxfId="157">
      <pivotArea dataOnly="0" labelOnly="1" fieldPosition="0">
        <references count="1">
          <reference field="7" count="8"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156">
      <pivotArea dataOnly="0" labelOnly="1" grandCol="1" outline="0" fieldPosition="0"/>
    </format>
    <format dxfId="155">
      <pivotArea type="all" dataOnly="0" outline="0" fieldPosition="0"/>
    </format>
    <format dxfId="154">
      <pivotArea grandRow="1" outline="0" collapsedLevelsAreSubtotals="1" fieldPosition="0"/>
    </format>
    <format dxfId="153">
      <pivotArea dataOnly="0" labelOnly="1" grandRow="1" outline="0" fieldPosition="0"/>
    </format>
    <format dxfId="152">
      <pivotArea outline="0" collapsedLevelsAreSubtotals="1" fieldPosition="0"/>
    </format>
    <format dxfId="151">
      <pivotArea type="origin" dataOnly="0" labelOnly="1" outline="0" fieldPosition="0"/>
    </format>
    <format dxfId="150">
      <pivotArea field="7" type="button" dataOnly="0" labelOnly="1" outline="0" axis="axisCol" fieldPosition="0"/>
    </format>
    <format dxfId="149">
      <pivotArea type="topRight" dataOnly="0" labelOnly="1" outline="0" fieldPosition="0"/>
    </format>
    <format dxfId="148">
      <pivotArea field="2" type="button" dataOnly="0" labelOnly="1" outline="0" axis="axisRow" fieldPosition="0"/>
    </format>
    <format dxfId="147">
      <pivotArea dataOnly="0" labelOnly="1" fieldPosition="0">
        <references count="1">
          <reference field="7" count="8"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146">
      <pivotArea dataOnly="0" labelOnly="1" grandCol="1" outline="0" fieldPosition="0"/>
    </format>
    <format dxfId="145">
      <pivotArea type="origin" dataOnly="0" labelOnly="1" outline="0" fieldPosition="0"/>
    </format>
    <format dxfId="144">
      <pivotArea field="7" type="button" dataOnly="0" labelOnly="1" outline="0" axis="axisCol" fieldPosition="0"/>
    </format>
    <format dxfId="143">
      <pivotArea type="topRight" dataOnly="0" labelOnly="1" outline="0" fieldPosition="0"/>
    </format>
    <format dxfId="142">
      <pivotArea field="2" type="button" dataOnly="0" labelOnly="1" outline="0" axis="axisRow" fieldPosition="0"/>
    </format>
    <format dxfId="141">
      <pivotArea dataOnly="0" labelOnly="1" fieldPosition="0">
        <references count="1">
          <reference field="7" count="8"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140">
      <pivotArea dataOnly="0" labelOnly="1" grandCol="1" outline="0" fieldPosition="0"/>
    </format>
    <format dxfId="139">
      <pivotArea dataOnly="0" labelOnly="1" fieldPosition="0">
        <references count="1">
          <reference field="2" count="0"/>
        </references>
      </pivotArea>
    </format>
    <format dxfId="138">
      <pivotArea dataOnly="0" labelOnly="1" grandRow="1" outline="0" fieldPosition="0"/>
    </format>
    <format dxfId="137">
      <pivotArea dataOnly="0" labelOnly="1" fieldPosition="0">
        <references count="1">
          <reference field="2" count="0"/>
        </references>
      </pivotArea>
    </format>
    <format dxfId="136">
      <pivotArea dataOnly="0" labelOnly="1" grandRow="1" outline="0" fieldPosition="0"/>
    </format>
    <format dxfId="135">
      <pivotArea field="2" type="button" dataOnly="0" labelOnly="1" outline="0" axis="axisRow" fieldPosition="0"/>
    </format>
    <format dxfId="134">
      <pivotArea dataOnly="0" labelOnly="1" fieldPosition="0">
        <references count="1">
          <reference field="7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133">
      <pivotArea dataOnly="0" labelOnly="1" grandCol="1" outline="0" fieldPosition="0"/>
    </format>
    <format dxfId="132">
      <pivotArea field="2" type="button" dataOnly="0" labelOnly="1" outline="0" axis="axisRow" fieldPosition="0"/>
    </format>
    <format dxfId="131">
      <pivotArea dataOnly="0" labelOnly="1" fieldPosition="0">
        <references count="1">
          <reference field="7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130">
      <pivotArea dataOnly="0" labelOnly="1" grandCol="1" outline="0" fieldPosition="0"/>
    </format>
    <format dxfId="129">
      <pivotArea dataOnly="0" labelOnly="1" fieldPosition="0">
        <references count="1">
          <reference field="7" count="1">
            <x v="10"/>
          </reference>
        </references>
      </pivotArea>
    </format>
    <format dxfId="65">
      <pivotArea outline="0" collapsedLevelsAreSubtotals="1" fieldPosition="0"/>
    </format>
  </formats>
  <pivotTableStyleInfo name="PivotStyleMedium2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Egresos" cacheId="1" applyNumberFormats="0" applyBorderFormats="0" applyFontFormats="0" applyPatternFormats="0" applyAlignmentFormats="0" applyWidthHeightFormats="1" dataCaption="Valores" grandTotalCaption="Total" updatedVersion="8" minRefreshableVersion="3" useAutoFormatting="1" itemPrintTitles="1" createdVersion="8" indent="0" outline="1" outlineData="1" multipleFieldFilters="0">
  <location ref="A8:M12" firstHeaderRow="1" firstDataRow="2" firstDataCol="1"/>
  <pivotFields count="8">
    <pivotField numFmtId="14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numFmtId="16" showAll="0"/>
    <pivotField axis="axisRow" showAll="0">
      <items count="5">
        <item sd="0" x="2"/>
        <item h="1" sd="0" x="1"/>
        <item h="1" sd="0" x="0"/>
        <item sd="0" x="3"/>
        <item t="default"/>
      </items>
    </pivotField>
    <pivotField dataField="1" numFmtId="3"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3">
    <i>
      <x/>
    </i>
    <i>
      <x v="3"/>
    </i>
    <i t="grand">
      <x/>
    </i>
  </rowItems>
  <colFields count="1">
    <field x="7"/>
  </colFields>
  <col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a de Monto" fld="3" baseField="0" baseItem="0" numFmtId="1"/>
  </dataFields>
  <formats count="65">
    <format dxfId="240">
      <pivotArea outline="0" collapsedLevelsAreSubtotals="1" fieldPosition="0"/>
    </format>
    <format dxfId="239">
      <pivotArea dataOnly="0" labelOnly="1" fieldPosition="0">
        <references count="1">
          <reference field="7" count="8"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238">
      <pivotArea dataOnly="0" labelOnly="1" grandCol="1" outline="0" fieldPosition="0"/>
    </format>
    <format dxfId="237">
      <pivotArea dataOnly="0" labelOnly="1" fieldPosition="0">
        <references count="1">
          <reference field="7" count="8"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236">
      <pivotArea dataOnly="0" labelOnly="1" grandCol="1" outline="0" fieldPosition="0"/>
    </format>
    <format dxfId="235">
      <pivotArea type="all" dataOnly="0" outline="0" fieldPosition="0"/>
    </format>
    <format dxfId="234">
      <pivotArea outline="0" collapsedLevelsAreSubtotals="1" fieldPosition="0"/>
    </format>
    <format dxfId="233">
      <pivotArea type="origin" dataOnly="0" labelOnly="1" outline="0" fieldPosition="0"/>
    </format>
    <format dxfId="232">
      <pivotArea field="7" type="button" dataOnly="0" labelOnly="1" outline="0" axis="axisCol" fieldPosition="0"/>
    </format>
    <format dxfId="231">
      <pivotArea type="topRight" dataOnly="0" labelOnly="1" outline="0" fieldPosition="0"/>
    </format>
    <format dxfId="230">
      <pivotArea field="2" type="button" dataOnly="0" labelOnly="1" outline="0" axis="axisRow" fieldPosition="0"/>
    </format>
    <format dxfId="229">
      <pivotArea dataOnly="0" labelOnly="1" fieldPosition="0">
        <references count="1">
          <reference field="2" count="0"/>
        </references>
      </pivotArea>
    </format>
    <format dxfId="228">
      <pivotArea dataOnly="0" labelOnly="1" grandRow="1" outline="0" fieldPosition="0"/>
    </format>
    <format dxfId="227">
      <pivotArea dataOnly="0" labelOnly="1" fieldPosition="0">
        <references count="1">
          <reference field="7" count="8"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226">
      <pivotArea dataOnly="0" labelOnly="1" grandCol="1" outline="0" fieldPosition="0"/>
    </format>
    <format dxfId="225">
      <pivotArea type="all" dataOnly="0" outline="0" fieldPosition="0"/>
    </format>
    <format dxfId="224">
      <pivotArea outline="0" collapsedLevelsAreSubtotals="1" fieldPosition="0"/>
    </format>
    <format dxfId="223">
      <pivotArea type="origin" dataOnly="0" labelOnly="1" outline="0" fieldPosition="0"/>
    </format>
    <format dxfId="222">
      <pivotArea field="7" type="button" dataOnly="0" labelOnly="1" outline="0" axis="axisCol" fieldPosition="0"/>
    </format>
    <format dxfId="221">
      <pivotArea type="topRight" dataOnly="0" labelOnly="1" outline="0" fieldPosition="0"/>
    </format>
    <format dxfId="220">
      <pivotArea field="2" type="button" dataOnly="0" labelOnly="1" outline="0" axis="axisRow" fieldPosition="0"/>
    </format>
    <format dxfId="219">
      <pivotArea dataOnly="0" labelOnly="1" fieldPosition="0">
        <references count="1">
          <reference field="2" count="0"/>
        </references>
      </pivotArea>
    </format>
    <format dxfId="218">
      <pivotArea dataOnly="0" labelOnly="1" grandRow="1" outline="0" fieldPosition="0"/>
    </format>
    <format dxfId="217">
      <pivotArea dataOnly="0" labelOnly="1" fieldPosition="0">
        <references count="1">
          <reference field="7" count="8"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216">
      <pivotArea dataOnly="0" labelOnly="1" grandCol="1" outline="0" fieldPosition="0"/>
    </format>
    <format dxfId="215">
      <pivotArea type="all" dataOnly="0" outline="0" fieldPosition="0"/>
    </format>
    <format dxfId="214">
      <pivotArea outline="0" collapsedLevelsAreSubtotals="1" fieldPosition="0"/>
    </format>
    <format dxfId="213">
      <pivotArea type="origin" dataOnly="0" labelOnly="1" outline="0" fieldPosition="0"/>
    </format>
    <format dxfId="212">
      <pivotArea field="7" type="button" dataOnly="0" labelOnly="1" outline="0" axis="axisCol" fieldPosition="0"/>
    </format>
    <format dxfId="211">
      <pivotArea type="topRight" dataOnly="0" labelOnly="1" outline="0" fieldPosition="0"/>
    </format>
    <format dxfId="210">
      <pivotArea field="2" type="button" dataOnly="0" labelOnly="1" outline="0" axis="axisRow" fieldPosition="0"/>
    </format>
    <format dxfId="209">
      <pivotArea dataOnly="0" labelOnly="1" fieldPosition="0">
        <references count="1">
          <reference field="2" count="0"/>
        </references>
      </pivotArea>
    </format>
    <format dxfId="208">
      <pivotArea dataOnly="0" labelOnly="1" grandRow="1" outline="0" fieldPosition="0"/>
    </format>
    <format dxfId="207">
      <pivotArea dataOnly="0" labelOnly="1" fieldPosition="0">
        <references count="1">
          <reference field="7" count="8"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206">
      <pivotArea dataOnly="0" labelOnly="1" grandCol="1" outline="0" fieldPosition="0"/>
    </format>
    <format dxfId="205">
      <pivotArea dataOnly="0" grandRow="1" fieldPosition="0"/>
    </format>
    <format dxfId="204">
      <pivotArea outline="0" collapsedLevelsAreSubtotals="1" fieldPosition="0"/>
    </format>
    <format dxfId="203">
      <pivotArea type="origin" dataOnly="0" labelOnly="1" outline="0" fieldPosition="0"/>
    </format>
    <format dxfId="202">
      <pivotArea field="7" type="button" dataOnly="0" labelOnly="1" outline="0" axis="axisCol" fieldPosition="0"/>
    </format>
    <format dxfId="201">
      <pivotArea type="topRight" dataOnly="0" labelOnly="1" outline="0" fieldPosition="0"/>
    </format>
    <format dxfId="200">
      <pivotArea field="2" type="button" dataOnly="0" labelOnly="1" outline="0" axis="axisRow" fieldPosition="0"/>
    </format>
    <format dxfId="199">
      <pivotArea dataOnly="0" labelOnly="1" fieldPosition="0">
        <references count="1">
          <reference field="7" count="8"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198">
      <pivotArea dataOnly="0" labelOnly="1" grandCol="1" outline="0" fieldPosition="0"/>
    </format>
    <format dxfId="197">
      <pivotArea dataOnly="0" labelOnly="1" fieldPosition="0">
        <references count="1">
          <reference field="2" count="0"/>
        </references>
      </pivotArea>
    </format>
    <format dxfId="196">
      <pivotArea dataOnly="0" labelOnly="1" grandRow="1" outline="0" fieldPosition="0"/>
    </format>
    <format dxfId="195">
      <pivotArea dataOnly="0" labelOnly="1" fieldPosition="0">
        <references count="1">
          <reference field="2" count="0"/>
        </references>
      </pivotArea>
    </format>
    <format dxfId="194">
      <pivotArea dataOnly="0" labelOnly="1" grandRow="1" outline="0" fieldPosition="0"/>
    </format>
    <format dxfId="193">
      <pivotArea type="origin" dataOnly="0" labelOnly="1" outline="0" fieldPosition="0"/>
    </format>
    <format dxfId="192">
      <pivotArea field="7" type="button" dataOnly="0" labelOnly="1" outline="0" axis="axisCol" fieldPosition="0"/>
    </format>
    <format dxfId="191">
      <pivotArea type="topRight" dataOnly="0" labelOnly="1" outline="0" fieldPosition="0"/>
    </format>
    <format dxfId="190">
      <pivotArea field="2" type="button" dataOnly="0" labelOnly="1" outline="0" axis="axisRow" fieldPosition="0"/>
    </format>
    <format dxfId="189">
      <pivotArea dataOnly="0" labelOnly="1" fieldPosition="0">
        <references count="1">
          <reference field="7" count="8"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188">
      <pivotArea dataOnly="0" labelOnly="1" grandCol="1" outline="0" fieldPosition="0"/>
    </format>
    <format dxfId="187">
      <pivotArea field="2" type="button" dataOnly="0" labelOnly="1" outline="0" axis="axisRow" fieldPosition="0"/>
    </format>
    <format dxfId="186">
      <pivotArea dataOnly="0" labelOnly="1" fieldPosition="0">
        <references count="1">
          <reference field="7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185">
      <pivotArea dataOnly="0" labelOnly="1" grandCol="1" outline="0" fieldPosition="0"/>
    </format>
    <format dxfId="184">
      <pivotArea field="2" type="button" dataOnly="0" labelOnly="1" outline="0" axis="axisRow" fieldPosition="0"/>
    </format>
    <format dxfId="183">
      <pivotArea dataOnly="0" labelOnly="1" fieldPosition="0">
        <references count="1">
          <reference field="7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182">
      <pivotArea dataOnly="0" labelOnly="1" grandCol="1" outline="0" fieldPosition="0"/>
    </format>
    <format dxfId="181">
      <pivotArea dataOnly="0" labelOnly="1" fieldPosition="0">
        <references count="1">
          <reference field="7" count="1">
            <x v="10"/>
          </reference>
        </references>
      </pivotArea>
    </format>
    <format dxfId="4">
      <pivotArea outline="0" collapsedLevelsAreSubtotals="1" fieldPosition="0"/>
    </format>
    <format dxfId="3">
      <pivotArea field="7" type="button" dataOnly="0" labelOnly="1" outline="0" axis="axisCol" fieldPosition="0"/>
    </format>
    <format dxfId="2">
      <pivotArea type="topRight" dataOnly="0" labelOnly="1" outline="0" fieldPosition="0"/>
    </format>
    <format dxfId="1">
      <pivotArea dataOnly="0" labelOnly="1" fieldPosition="0">
        <references count="1">
          <reference field="7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0">
      <pivotArea dataOnly="0" labelOnly="1" grandCol="1" outline="0" fieldPosition="0"/>
    </format>
  </formats>
  <pivotTableStyleInfo name="PivotStyleMedium28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0000000-0016-0000-0400-000000000000}" autoFormatId="16" applyNumberFormats="0" applyBorderFormats="0" applyFontFormats="0" applyPatternFormats="0" applyAlignmentFormats="0" applyWidthHeightFormats="0">
  <queryTableRefresh nextId="9">
    <queryTableFields count="8">
      <queryTableField id="1" name="Fecha" tableColumnId="1"/>
      <queryTableField id="2" name="Concepto" tableColumnId="2"/>
      <queryTableField id="3" name="Descripcion" tableColumnId="3"/>
      <queryTableField id="4" name="Monto" tableColumnId="4"/>
      <queryTableField id="5" name="Categoria" tableColumnId="5"/>
      <queryTableField id="6" name="Tipo" tableColumnId="6"/>
      <queryTableField id="7" name="Detalles" tableColumnId="7"/>
      <queryTableField id="8" name="Medio de Pago" tableColumnId="8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0000000}" name="Meses" displayName="Meses" ref="A1:F810">
  <autoFilter ref="A1:F810" xr:uid="{00000000-0009-0000-0100-000015000000}">
    <filterColumn colId="1">
      <filters>
        <dateGroupItem year="2023" month="11" dateTimeGrouping="month"/>
      </filters>
    </filterColumn>
  </autoFilter>
  <sortState xmlns:xlrd2="http://schemas.microsoft.com/office/spreadsheetml/2017/richdata2" ref="A438:F518">
    <sortCondition ref="B1:B518"/>
  </sortState>
  <tableColumns count="6">
    <tableColumn id="1" xr3:uid="{00000000-0010-0000-0000-000001000000}" name="Columna1" totalsRowLabel="Total" totalsRowDxfId="507"/>
    <tableColumn id="2" xr3:uid="{00000000-0010-0000-0000-000002000000}" name="Fecha" dataDxfId="506" totalsRowDxfId="505"/>
    <tableColumn id="3" xr3:uid="{00000000-0010-0000-0000-000003000000}" name="Concepto" totalsRowDxfId="504"/>
    <tableColumn id="4" xr3:uid="{00000000-0010-0000-0000-000004000000}" name="Descripcion" totalsRowDxfId="503"/>
    <tableColumn id="5" xr3:uid="{00000000-0010-0000-0000-000005000000}" name="Monto" totalsRowFunction="sum" dataDxfId="502" totalsRowDxfId="501"/>
    <tableColumn id="6" xr3:uid="{00000000-0010-0000-0000-000006000000}" name="NroComprobante" totalsRowFunction="count" totalsRowDxfId="500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Debitos" displayName="Debitos" ref="A1:J665" headerRowDxfId="499">
  <autoFilter ref="A1:J665" xr:uid="{00000000-0009-0000-0100-000005000000}">
    <filterColumn colId="1">
      <filters>
        <dateGroupItem year="2023" month="11" dateTimeGrouping="month"/>
      </filters>
    </filterColumn>
  </autoFilter>
  <tableColumns count="10">
    <tableColumn id="1" xr3:uid="{00000000-0010-0000-0100-000001000000}" name="Columna1" totalsRowLabel="Total"/>
    <tableColumn id="2" xr3:uid="{00000000-0010-0000-0100-000002000000}" name="Fecha" dataDxfId="498"/>
    <tableColumn id="3" xr3:uid="{00000000-0010-0000-0100-000003000000}" name="Concepto" totalsRowFunction="count"/>
    <tableColumn id="4" xr3:uid="{00000000-0010-0000-0100-000004000000}" name="Descripcion"/>
    <tableColumn id="5" xr3:uid="{00000000-0010-0000-0100-000005000000}" name="Gastos" totalsRowFunction="sum" dataDxfId="497" totalsRowDxfId="496"/>
    <tableColumn id="6" xr3:uid="{00000000-0010-0000-0100-000006000000}" name="Tarjetas" totalsRowFunction="sum" dataDxfId="495" totalsRowDxfId="494"/>
    <tableColumn id="7" xr3:uid="{00000000-0010-0000-0100-000007000000}" name="Impuestos" totalsRowFunction="sum" dataDxfId="493" totalsRowDxfId="492"/>
    <tableColumn id="8" xr3:uid="{00000000-0010-0000-0100-000008000000}" name="Inversiones" totalsRowFunction="sum" dataDxfId="491" totalsRowDxfId="490"/>
    <tableColumn id="9" xr3:uid="{00000000-0010-0000-0100-000009000000}" name="Extracciones" totalsRowFunction="sum" dataDxfId="489" totalsRowDxfId="488"/>
    <tableColumn id="10" xr3:uid="{00000000-0010-0000-0100-00000A000000}" name="Comentarios" totalsRowFunction="count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02000000}" name="Creditos" displayName="Creditos" ref="A1:H173" headerRowDxfId="487">
  <autoFilter ref="A1:H173" xr:uid="{00000000-0009-0000-0100-000017000000}">
    <filterColumn colId="1">
      <filters>
        <dateGroupItem year="2023" month="11" dateTimeGrouping="month"/>
      </filters>
    </filterColumn>
  </autoFilter>
  <tableColumns count="8">
    <tableColumn id="1" xr3:uid="{00000000-0010-0000-0200-000001000000}" name="Columna1" totalsRowLabel="Total"/>
    <tableColumn id="2" xr3:uid="{00000000-0010-0000-0200-000002000000}" name="Fecha" dataDxfId="486"/>
    <tableColumn id="3" xr3:uid="{00000000-0010-0000-0200-000003000000}" name="Concepto" totalsRowFunction="count"/>
    <tableColumn id="4" xr3:uid="{00000000-0010-0000-0200-000004000000}" name="Descripcion"/>
    <tableColumn id="5" xr3:uid="{00000000-0010-0000-0200-000005000000}" name="Haberes" totalsRowFunction="sum" dataDxfId="485" totalsRowDxfId="484"/>
    <tableColumn id="6" xr3:uid="{00000000-0010-0000-0200-000006000000}" name="Extras" totalsRowFunction="sum" dataDxfId="483" totalsRowDxfId="482"/>
    <tableColumn id="7" xr3:uid="{00000000-0010-0000-0200-000007000000}" name="Inversiones" totalsRowFunction="sum" dataDxfId="481" totalsRowDxfId="480"/>
    <tableColumn id="8" xr3:uid="{00000000-0010-0000-0200-000008000000}" name="Comentarios" totalsRowFunction="count"/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C626A9B-605C-46C2-A1A2-1679B89AFB27}" name="Naranja" displayName="Naranja" ref="A1:I215">
  <autoFilter ref="A1:I215" xr:uid="{7C626A9B-605C-46C2-A1A2-1679B89AFB27}">
    <filterColumn colId="1">
      <filters>
        <dateGroupItem year="2023" month="11" dateTimeGrouping="month"/>
      </filters>
    </filterColumn>
  </autoFilter>
  <tableColumns count="9">
    <tableColumn id="1" xr3:uid="{D93EC303-A579-4D66-BE86-4EA267AF9CBA}" name="FECHA" totalsRowLabel="Total" dataDxfId="479"/>
    <tableColumn id="2" xr3:uid="{5176DB7D-A5B2-4C08-AE3E-909F5F431705}" name="PERIODO" dataDxfId="478"/>
    <tableColumn id="3" xr3:uid="{9871344E-E69E-4D37-91B5-BB6BC21BC6BE}" name="TARJETA"/>
    <tableColumn id="4" xr3:uid="{D4E6CC92-27AE-4421-B153-87A86AC5E2A0}" name="CUPON"/>
    <tableColumn id="5" xr3:uid="{73127ED5-7F5E-4908-8392-305AA5FBE3CC}" name="DETALLE"/>
    <tableColumn id="6" xr3:uid="{64121A45-06E1-4E80-BC22-5AFE268247D7}" name="CUOTA_PLAN" dataDxfId="477"/>
    <tableColumn id="7" xr3:uid="{27BF110E-6241-428C-A155-1E1E9E38DFEC}" name="PESOS" totalsRowFunction="sum" dataDxfId="476" totalsRowDxfId="475"/>
    <tableColumn id="8" xr3:uid="{C7437699-F281-482F-BEF2-1A3A6B1E5FCD}" name="DOLARES" dataDxfId="474"/>
    <tableColumn id="9" xr3:uid="{13DAD620-C64C-4A97-9615-8C3CD8BAD77E}" name="COMENTARIO" totalsRowFunction="count" dataDxfId="473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Respuestas_de_formulario_1" displayName="Respuestas_de_formulario_1" ref="A1:H139" tableType="queryTable">
  <autoFilter ref="A1:H139" xr:uid="{00000000-0009-0000-0100-000002000000}">
    <filterColumn colId="0">
      <filters>
        <dateGroupItem year="2023" month="11" dateTimeGrouping="month"/>
      </filters>
    </filterColumn>
    <filterColumn colId="7">
      <filters>
        <filter val="Efectivo"/>
      </filters>
    </filterColumn>
  </autoFilter>
  <tableColumns count="8">
    <tableColumn id="1" xr3:uid="{00000000-0010-0000-0300-000001000000}" uniqueName="1" name="Fecha" totalsRowLabel="Total" queryTableFieldId="1" dataDxfId="472"/>
    <tableColumn id="2" xr3:uid="{00000000-0010-0000-0300-000002000000}" uniqueName="2" name="Concepto" queryTableFieldId="2" dataDxfId="471"/>
    <tableColumn id="3" xr3:uid="{00000000-0010-0000-0300-000003000000}" uniqueName="3" name="Descripcion" queryTableFieldId="3" dataDxfId="470"/>
    <tableColumn id="4" xr3:uid="{00000000-0010-0000-0300-000004000000}" uniqueName="4" name="Monto" totalsRowFunction="sum" queryTableFieldId="4"/>
    <tableColumn id="5" xr3:uid="{00000000-0010-0000-0300-000005000000}" uniqueName="5" name="Categoria" queryTableFieldId="5" dataDxfId="469"/>
    <tableColumn id="6" xr3:uid="{00000000-0010-0000-0300-000006000000}" uniqueName="6" name="Tipo" queryTableFieldId="6" dataDxfId="468"/>
    <tableColumn id="7" xr3:uid="{00000000-0010-0000-0300-000007000000}" uniqueName="7" name="Detalles" queryTableFieldId="7" dataDxfId="467"/>
    <tableColumn id="8" xr3:uid="{00000000-0010-0000-0300-000008000000}" uniqueName="8" name="Medio de Pago" totalsRowFunction="count" queryTableFieldId="8" dataDxfId="466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Impuestos_2022" displayName="Impuestos_2022" ref="A3:Q17" totalsRowCount="1" headerRowDxfId="465" dataDxfId="463" totalsRowDxfId="461" headerRowBorderDxfId="464" tableBorderDxfId="462" totalsRowBorderDxfId="460" headerRowCellStyle="Normal 5">
  <autoFilter ref="A3:Q16" xr:uid="{00000000-0009-0000-0100-000001000000}"/>
  <sortState xmlns:xlrd2="http://schemas.microsoft.com/office/spreadsheetml/2017/richdata2" ref="A4:Q16">
    <sortCondition descending="1" ref="A3:A16"/>
  </sortState>
  <tableColumns count="17">
    <tableColumn id="1" xr3:uid="{00000000-0010-0000-0400-000001000000}" name="ADMINISTRACION" dataDxfId="459" totalsRowDxfId="458"/>
    <tableColumn id="2" xr3:uid="{00000000-0010-0000-0400-000002000000}" name="TIPO" dataDxfId="457" totalsRowDxfId="456"/>
    <tableColumn id="3" xr3:uid="{00000000-0010-0000-0400-000003000000}" name="DESCRIPCION" dataDxfId="455" totalsRowDxfId="454"/>
    <tableColumn id="4" xr3:uid="{00000000-0010-0000-0400-000004000000}" name="CUENTA" dataDxfId="453" totalsRowDxfId="452"/>
    <tableColumn id="5" xr3:uid="{00000000-0010-0000-0400-000005000000}" name="PLAN" dataDxfId="451" totalsRowDxfId="450"/>
    <tableColumn id="6" xr3:uid="{00000000-0010-0000-0400-000006000000}" name="FEB" totalsRowFunction="sum" dataDxfId="449" totalsRowDxfId="448"/>
    <tableColumn id="7" xr3:uid="{00000000-0010-0000-0400-000007000000}" name="MAR" totalsRowFunction="sum" dataDxfId="447" totalsRowDxfId="446"/>
    <tableColumn id="8" xr3:uid="{00000000-0010-0000-0400-000008000000}" name="ABR" totalsRowFunction="sum" dataDxfId="445" totalsRowDxfId="444"/>
    <tableColumn id="9" xr3:uid="{00000000-0010-0000-0400-000009000000}" name="MAY" totalsRowFunction="sum" dataDxfId="443" totalsRowDxfId="442"/>
    <tableColumn id="10" xr3:uid="{00000000-0010-0000-0400-00000A000000}" name="JUN" totalsRowFunction="sum" dataDxfId="441" totalsRowDxfId="440"/>
    <tableColumn id="11" xr3:uid="{00000000-0010-0000-0400-00000B000000}" name="JUL" totalsRowFunction="sum" dataDxfId="439" totalsRowDxfId="438"/>
    <tableColumn id="12" xr3:uid="{00000000-0010-0000-0400-00000C000000}" name="AGO" totalsRowFunction="sum" dataDxfId="437" totalsRowDxfId="436"/>
    <tableColumn id="13" xr3:uid="{00000000-0010-0000-0400-00000D000000}" name="SEP" totalsRowFunction="sum" dataDxfId="435" totalsRowDxfId="434"/>
    <tableColumn id="14" xr3:uid="{00000000-0010-0000-0400-00000E000000}" name="OCT" totalsRowFunction="sum" dataDxfId="433" totalsRowDxfId="432"/>
    <tableColumn id="15" xr3:uid="{00000000-0010-0000-0400-00000F000000}" name="NOV" totalsRowFunction="sum" dataDxfId="431" totalsRowDxfId="430"/>
    <tableColumn id="16" xr3:uid="{00000000-0010-0000-0400-000010000000}" name="DIC" totalsRowFunction="sum" dataDxfId="429" totalsRowDxfId="428"/>
    <tableColumn id="17" xr3:uid="{00000000-0010-0000-0400-000011000000}" name="ENE" totalsRowFunction="sum" dataDxfId="427" totalsRowDxfId="426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5000000}" name="Impuestos" displayName="Impuestos" ref="A1:J88" dataDxfId="425" dataCellStyle="Normal 5">
  <autoFilter ref="A1:J88" xr:uid="{00000000-0009-0000-0100-00001B000000}">
    <filterColumn colId="0">
      <filters>
        <dateGroupItem year="2023" month="11" dateTimeGrouping="month"/>
      </filters>
    </filterColumn>
  </autoFilter>
  <sortState xmlns:xlrd2="http://schemas.microsoft.com/office/spreadsheetml/2017/richdata2" ref="A2:J45">
    <sortCondition ref="H1:H61"/>
  </sortState>
  <tableColumns count="10">
    <tableColumn id="1" xr3:uid="{00000000-0010-0000-0500-000001000000}" name="FECHA" totalsRowLabel="Total" dataDxfId="424" totalsRowDxfId="423"/>
    <tableColumn id="2" xr3:uid="{00000000-0010-0000-0500-000002000000}" name="AÑO" dataDxfId="422" totalsRowDxfId="421"/>
    <tableColumn id="3" xr3:uid="{00000000-0010-0000-0500-000003000000}" name="ADMINISTRACION" dataDxfId="420" totalsRowDxfId="419" dataCellStyle="Normal 5"/>
    <tableColumn id="4" xr3:uid="{00000000-0010-0000-0500-000004000000}" name="TIPO" dataDxfId="418" totalsRowDxfId="417" dataCellStyle="Normal 5"/>
    <tableColumn id="5" xr3:uid="{00000000-0010-0000-0500-000005000000}" name="DESCRIPCION" dataDxfId="416" totalsRowDxfId="415" dataCellStyle="Normal 5"/>
    <tableColumn id="6" xr3:uid="{00000000-0010-0000-0500-000006000000}" name="CUENTA" dataDxfId="414" totalsRowDxfId="413" dataCellStyle="Normal 5"/>
    <tableColumn id="7" xr3:uid="{00000000-0010-0000-0500-000007000000}" name="PLAN" dataDxfId="412" totalsRowDxfId="411" dataCellStyle="Normal 5"/>
    <tableColumn id="8" xr3:uid="{00000000-0010-0000-0500-000008000000}" name="CUOTA" dataDxfId="410" totalsRowDxfId="409" dataCellStyle="Normal 5"/>
    <tableColumn id="9" xr3:uid="{00000000-0010-0000-0500-000009000000}" name="MONTO" totalsRowFunction="sum" dataDxfId="408" totalsRowDxfId="407" dataCellStyle="Normal 5"/>
    <tableColumn id="10" xr3:uid="{00000000-0010-0000-0500-00000A000000}" name="MEDIO DE PAGO" totalsRowFunction="count" dataDxfId="406" totalsRowDxfId="405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6000000}" name="Tabla26" displayName="Tabla26" ref="A4:R18" totalsRowCount="1" headerRowDxfId="336" headerRowBorderDxfId="335" headerRowCellStyle="Normal 5">
  <autoFilter ref="A4:R17" xr:uid="{00000000-0009-0000-0100-00001A000000}"/>
  <tableColumns count="18">
    <tableColumn id="1" xr3:uid="{00000000-0010-0000-0600-000001000000}" name="ADMINISTRACION" totalsRowLabel="Total"/>
    <tableColumn id="2" xr3:uid="{00000000-0010-0000-0600-000002000000}" name="TIPO"/>
    <tableColumn id="3" xr3:uid="{00000000-0010-0000-0600-000003000000}" name="DESCRIPCION"/>
    <tableColumn id="4" xr3:uid="{00000000-0010-0000-0600-000004000000}" name="CUENTA"/>
    <tableColumn id="5" xr3:uid="{00000000-0010-0000-0600-000005000000}" name="PLAN"/>
    <tableColumn id="19" xr3:uid="{40DD4BF1-C65C-4809-B3BE-A186DADE3400}" name="ENE" totalsRowFunction="sum" totalsRowDxfId="334"/>
    <tableColumn id="6" xr3:uid="{00000000-0010-0000-0600-000006000000}" name="FEB" totalsRowFunction="sum" totalsRowDxfId="333"/>
    <tableColumn id="7" xr3:uid="{00000000-0010-0000-0600-000007000000}" name="MAR" totalsRowFunction="sum" totalsRowDxfId="332"/>
    <tableColumn id="8" xr3:uid="{00000000-0010-0000-0600-000008000000}" name="ABR" totalsRowFunction="sum" totalsRowDxfId="331"/>
    <tableColumn id="9" xr3:uid="{00000000-0010-0000-0600-000009000000}" name="MAY" totalsRowFunction="sum" totalsRowDxfId="330"/>
    <tableColumn id="10" xr3:uid="{00000000-0010-0000-0600-00000A000000}" name="JUN" totalsRowFunction="sum" totalsRowDxfId="329"/>
    <tableColumn id="11" xr3:uid="{00000000-0010-0000-0600-00000B000000}" name="JUL" totalsRowFunction="sum" totalsRowDxfId="328"/>
    <tableColumn id="12" xr3:uid="{00000000-0010-0000-0600-00000C000000}" name="AGO" totalsRowFunction="sum" totalsRowDxfId="327"/>
    <tableColumn id="13" xr3:uid="{00000000-0010-0000-0600-00000D000000}" name="SEP" totalsRowFunction="sum" totalsRowDxfId="326"/>
    <tableColumn id="14" xr3:uid="{00000000-0010-0000-0600-00000E000000}" name="OCT" totalsRowFunction="sum" totalsRowDxfId="325"/>
    <tableColumn id="15" xr3:uid="{00000000-0010-0000-0600-00000F000000}" name="NOV" totalsRowFunction="sum" totalsRowDxfId="324"/>
    <tableColumn id="16" xr3:uid="{00000000-0010-0000-0600-000010000000}" name="DIC" totalsRowFunction="sum" totalsRowDxfId="323"/>
    <tableColumn id="17" xr3:uid="{00000000-0010-0000-0600-000011000000}" name="Total" totalsRowFunction="sum" dataDxfId="322" totalsRowDxfId="321">
      <calculatedColumnFormula>SUM(Tabla26[[#This Row],[ENE]:[DIC]])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7000000}" name="Gastos_pbi" displayName="Gastos_pbi" ref="A1:F34" headerRowDxfId="320">
  <autoFilter ref="A1:F34" xr:uid="{00000000-0009-0000-0100-00001C000000}"/>
  <tableColumns count="6">
    <tableColumn id="2" xr3:uid="{00000000-0010-0000-0700-000002000000}" name="Fecha" totalsRowLabel="Total" dataDxfId="319"/>
    <tableColumn id="1" xr3:uid="{00000000-0010-0000-0700-000001000000}" name="Dia-Mes" dataDxfId="318"/>
    <tableColumn id="3" xr3:uid="{00000000-0010-0000-0700-000003000000}" name="Concepto"/>
    <tableColumn id="4" xr3:uid="{00000000-0010-0000-0700-000004000000}" name="Monto" totalsRowFunction="sum" dataDxfId="317" totalsRowDxfId="316"/>
    <tableColumn id="5" xr3:uid="{00000000-0010-0000-0700-000005000000}" name="Mes"/>
    <tableColumn id="6" xr3:uid="{00000000-0010-0000-0700-000006000000}" name="Anio" totalsRowFunction="count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9000000}" name="Saldos_pbi" displayName="Saldos_pbi" ref="A1:F45" totalsRowShown="0" headerRowDxfId="245" headerRowBorderDxfId="244">
  <autoFilter ref="A1:F45" xr:uid="{00000000-0009-0000-0100-000004000000}"/>
  <tableColumns count="6">
    <tableColumn id="1" xr3:uid="{00000000-0010-0000-0900-000001000000}" name="Fecha" dataDxfId="243"/>
    <tableColumn id="2" xr3:uid="{00000000-0010-0000-0900-000002000000}" name="Dia-Mes" dataDxfId="242"/>
    <tableColumn id="3" xr3:uid="{00000000-0010-0000-0900-000003000000}" name="Concepto"/>
    <tableColumn id="4" xr3:uid="{00000000-0010-0000-0900-000004000000}" name="Monto" dataDxfId="241"/>
    <tableColumn id="5" xr3:uid="{00000000-0010-0000-0900-000005000000}" name="Mes"/>
    <tableColumn id="6" xr3:uid="{00000000-0010-0000-0900-000006000000}" name="Anio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A000000}" name="Tabla17" displayName="Tabla17" ref="A1:F19" totalsRowShown="0" headerRowDxfId="128" dataDxfId="126" headerRowBorderDxfId="127" tableBorderDxfId="125" totalsRowBorderDxfId="124" headerRowCellStyle="Normal 5" dataCellStyle="Normal 5">
  <autoFilter ref="A1:F19" xr:uid="{00000000-0009-0000-0100-00001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A00-000001000000}" name="Fecha" dataDxfId="123" dataCellStyle="Normal 5"/>
    <tableColumn id="2" xr3:uid="{00000000-0010-0000-0A00-000002000000}" name="Referencia" dataDxfId="122" dataCellStyle="Normal 5"/>
    <tableColumn id="3" xr3:uid="{00000000-0010-0000-0A00-000003000000}" name="Credito" dataDxfId="121" dataCellStyle="Normal 5"/>
    <tableColumn id="4" xr3:uid="{00000000-0010-0000-0A00-000004000000}" name="Debito" dataDxfId="120" dataCellStyle="Normal 5"/>
    <tableColumn id="5" xr3:uid="{00000000-0010-0000-0A00-000005000000}" name="Saldo" dataDxfId="119" dataCellStyle="Normal 5"/>
    <tableColumn id="6" xr3:uid="{00000000-0010-0000-0A00-000006000000}" name="Comentario" dataDxfId="118" dataCellStyle="Normal 5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/>
  </sheetPr>
  <dimension ref="A1:M36"/>
  <sheetViews>
    <sheetView showGridLines="0" topLeftCell="A3" workbookViewId="0">
      <selection activeCell="J12" sqref="J12"/>
    </sheetView>
  </sheetViews>
  <sheetFormatPr baseColWidth="10" defaultColWidth="0" defaultRowHeight="15.75" zeroHeight="1" x14ac:dyDescent="0.25"/>
  <cols>
    <col min="1" max="1" width="3.625" customWidth="1"/>
    <col min="2" max="13" width="11" customWidth="1"/>
    <col min="14" max="16384" width="11" hidden="1"/>
  </cols>
  <sheetData>
    <row r="1" spans="1:13" ht="16.5" thickBot="1" x14ac:dyDescent="0.3">
      <c r="A1" s="253"/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</row>
    <row r="2" spans="1:13" s="236" customFormat="1" ht="30" customHeight="1" thickBot="1" x14ac:dyDescent="0.3">
      <c r="A2" s="254"/>
      <c r="B2" s="254"/>
      <c r="C2" s="254"/>
      <c r="D2" s="254"/>
      <c r="E2" s="343" t="s">
        <v>229</v>
      </c>
      <c r="F2" s="343"/>
      <c r="G2" s="343"/>
      <c r="H2" s="281" t="s">
        <v>784</v>
      </c>
      <c r="I2" s="256"/>
      <c r="J2" s="254"/>
      <c r="K2" s="254"/>
      <c r="L2" s="254"/>
      <c r="M2" s="254"/>
    </row>
    <row r="3" spans="1:13" x14ac:dyDescent="0.25">
      <c r="A3" s="253"/>
      <c r="B3" s="253"/>
      <c r="C3" s="253"/>
      <c r="D3" s="253"/>
      <c r="E3" s="253"/>
      <c r="F3" s="253"/>
      <c r="G3" s="282" t="s">
        <v>639</v>
      </c>
      <c r="H3" s="283" t="s">
        <v>362</v>
      </c>
      <c r="I3" s="253"/>
      <c r="J3" s="253"/>
      <c r="K3" s="253"/>
      <c r="L3" s="253"/>
      <c r="M3" s="253"/>
    </row>
    <row r="4" spans="1:13" x14ac:dyDescent="0.25">
      <c r="A4" s="253"/>
      <c r="B4" s="253"/>
      <c r="C4" s="253"/>
      <c r="D4" s="253"/>
      <c r="E4" s="253"/>
      <c r="F4" s="253"/>
      <c r="G4" s="253"/>
      <c r="H4" s="253"/>
      <c r="I4" s="253"/>
      <c r="J4" s="253"/>
      <c r="K4" s="253"/>
      <c r="L4" s="253"/>
      <c r="M4" s="253"/>
    </row>
    <row r="5" spans="1:13" x14ac:dyDescent="0.25">
      <c r="A5" s="253"/>
      <c r="B5" s="253"/>
      <c r="C5" s="253"/>
      <c r="D5" s="253"/>
      <c r="E5" s="253"/>
      <c r="F5" s="253"/>
      <c r="G5" s="253"/>
      <c r="H5" s="253"/>
      <c r="I5" s="253"/>
      <c r="J5" s="253"/>
      <c r="K5" s="253"/>
      <c r="L5" s="253"/>
      <c r="M5" s="253"/>
    </row>
    <row r="6" spans="1:13" x14ac:dyDescent="0.25">
      <c r="A6" s="253"/>
      <c r="B6" s="253"/>
      <c r="C6" s="253"/>
      <c r="D6" s="253"/>
      <c r="E6" s="253"/>
      <c r="F6" s="253"/>
      <c r="G6" s="253"/>
      <c r="H6" s="253"/>
      <c r="I6" s="253"/>
      <c r="J6" s="253"/>
      <c r="K6" s="253"/>
      <c r="L6" s="253"/>
      <c r="M6" s="253"/>
    </row>
    <row r="7" spans="1:13" x14ac:dyDescent="0.25">
      <c r="A7" s="253"/>
      <c r="B7" s="253"/>
      <c r="C7" s="253"/>
      <c r="D7" s="253"/>
      <c r="E7" s="253"/>
      <c r="F7" s="253"/>
      <c r="G7" s="253"/>
      <c r="H7" s="253"/>
      <c r="I7" s="253"/>
      <c r="J7" s="253"/>
      <c r="K7" s="253"/>
      <c r="L7" s="253"/>
      <c r="M7" s="253"/>
    </row>
    <row r="8" spans="1:13" x14ac:dyDescent="0.25">
      <c r="A8" s="253"/>
      <c r="B8" s="253"/>
      <c r="C8" s="253"/>
      <c r="D8" s="253"/>
      <c r="E8" s="253"/>
      <c r="F8" s="253"/>
      <c r="G8" s="253"/>
      <c r="H8" s="253"/>
      <c r="I8" s="253"/>
      <c r="J8" s="253"/>
      <c r="K8" s="253"/>
      <c r="L8" s="253"/>
      <c r="M8" s="253"/>
    </row>
    <row r="9" spans="1:13" x14ac:dyDescent="0.25">
      <c r="A9" s="253"/>
      <c r="B9" s="255"/>
      <c r="C9" s="253"/>
      <c r="D9" s="253"/>
      <c r="E9" s="253"/>
      <c r="F9" s="253"/>
      <c r="G9" s="253"/>
      <c r="H9" s="253"/>
      <c r="I9" s="253"/>
      <c r="J9" s="253"/>
      <c r="K9" s="253"/>
      <c r="L9" s="253"/>
      <c r="M9" s="253"/>
    </row>
    <row r="10" spans="1:13" x14ac:dyDescent="0.25">
      <c r="A10" s="253"/>
      <c r="B10" s="255"/>
      <c r="C10" s="253"/>
      <c r="D10" s="253"/>
      <c r="E10" s="253"/>
      <c r="F10" s="253"/>
      <c r="G10" s="253"/>
      <c r="H10" s="253"/>
      <c r="I10" s="253"/>
      <c r="J10" s="253"/>
      <c r="K10" s="253"/>
      <c r="L10" s="253"/>
      <c r="M10" s="253"/>
    </row>
    <row r="11" spans="1:13" x14ac:dyDescent="0.25">
      <c r="A11" s="253"/>
      <c r="B11" s="346"/>
      <c r="C11" s="346"/>
      <c r="D11" s="346"/>
      <c r="E11" s="346"/>
      <c r="F11" s="346"/>
      <c r="G11" s="346"/>
      <c r="H11" s="346"/>
      <c r="I11" s="346"/>
      <c r="J11" s="253"/>
      <c r="K11" s="253"/>
      <c r="L11" s="253"/>
      <c r="M11" s="253"/>
    </row>
    <row r="12" spans="1:13" x14ac:dyDescent="0.25">
      <c r="A12" s="253"/>
      <c r="B12" s="346"/>
      <c r="C12" s="346"/>
      <c r="D12" s="346"/>
      <c r="E12" s="346"/>
      <c r="F12" s="346"/>
      <c r="G12" s="346"/>
      <c r="H12" s="346"/>
      <c r="I12" s="346"/>
      <c r="J12" s="253"/>
      <c r="K12" s="253"/>
      <c r="L12" s="253"/>
      <c r="M12" s="253"/>
    </row>
    <row r="13" spans="1:13" x14ac:dyDescent="0.25">
      <c r="A13" s="253"/>
      <c r="B13" s="346"/>
      <c r="C13" s="346"/>
      <c r="D13" s="346"/>
      <c r="E13" s="346"/>
      <c r="F13" s="346"/>
      <c r="G13" s="346"/>
      <c r="H13" s="346"/>
      <c r="I13" s="346"/>
      <c r="J13" s="253"/>
      <c r="K13" s="253"/>
      <c r="L13" s="253"/>
      <c r="M13" s="253"/>
    </row>
    <row r="14" spans="1:13" x14ac:dyDescent="0.25">
      <c r="A14" s="253"/>
      <c r="B14" s="346"/>
      <c r="C14" s="346"/>
      <c r="D14" s="346"/>
      <c r="E14" s="346"/>
      <c r="F14" s="346"/>
      <c r="G14" s="346"/>
      <c r="H14" s="346"/>
      <c r="I14" s="346"/>
      <c r="J14" s="253"/>
      <c r="K14" s="253"/>
      <c r="L14" s="253"/>
      <c r="M14" s="253"/>
    </row>
    <row r="15" spans="1:13" x14ac:dyDescent="0.25">
      <c r="A15" s="253"/>
      <c r="B15" s="346"/>
      <c r="C15" s="346"/>
      <c r="D15" s="346"/>
      <c r="E15" s="346"/>
      <c r="F15" s="346"/>
      <c r="G15" s="346"/>
      <c r="H15" s="346"/>
      <c r="I15" s="346"/>
      <c r="J15" s="253"/>
      <c r="K15" s="253"/>
      <c r="L15" s="253"/>
      <c r="M15" s="253"/>
    </row>
    <row r="16" spans="1:13" x14ac:dyDescent="0.25">
      <c r="A16" s="253"/>
      <c r="B16" s="257"/>
      <c r="C16" s="257"/>
      <c r="D16" s="257"/>
      <c r="E16" s="257"/>
      <c r="F16" s="257"/>
      <c r="G16" s="257"/>
      <c r="H16" s="257"/>
      <c r="I16" s="257"/>
      <c r="J16" s="257"/>
      <c r="K16" s="257"/>
      <c r="L16" s="257"/>
      <c r="M16" s="257"/>
    </row>
    <row r="17" spans="1:13" x14ac:dyDescent="0.25">
      <c r="A17" s="253"/>
      <c r="B17" s="344"/>
      <c r="C17" s="344"/>
      <c r="D17" s="344"/>
      <c r="E17" s="344"/>
      <c r="F17" s="344"/>
      <c r="G17" s="344"/>
      <c r="H17" s="344"/>
      <c r="I17" s="344"/>
      <c r="J17" s="344"/>
      <c r="K17" s="344"/>
      <c r="L17" s="344"/>
      <c r="M17" s="344"/>
    </row>
    <row r="18" spans="1:13" x14ac:dyDescent="0.25">
      <c r="A18" s="253"/>
      <c r="B18" s="345"/>
      <c r="C18" s="345"/>
      <c r="D18" s="345"/>
      <c r="E18" s="345"/>
      <c r="F18" s="345"/>
      <c r="G18" s="345"/>
      <c r="H18" s="345"/>
      <c r="I18" s="345"/>
      <c r="J18" s="345"/>
      <c r="K18" s="345"/>
      <c r="L18" s="345"/>
      <c r="M18" s="345"/>
    </row>
    <row r="19" spans="1:13" x14ac:dyDescent="0.25">
      <c r="A19" s="253"/>
      <c r="B19" s="344"/>
      <c r="C19" s="344"/>
      <c r="D19" s="344"/>
      <c r="E19" s="344"/>
      <c r="F19" s="344"/>
      <c r="G19" s="344"/>
      <c r="H19" s="344"/>
      <c r="I19" s="344"/>
      <c r="J19" s="344"/>
      <c r="K19" s="344"/>
      <c r="L19" s="344"/>
      <c r="M19" s="344"/>
    </row>
    <row r="20" spans="1:13" x14ac:dyDescent="0.25">
      <c r="A20" s="253"/>
      <c r="B20" s="257"/>
      <c r="C20" s="257"/>
      <c r="D20" s="257"/>
      <c r="E20" s="257"/>
      <c r="F20" s="257"/>
      <c r="G20" s="257"/>
      <c r="H20" s="257"/>
      <c r="I20" s="257"/>
      <c r="J20" s="257"/>
      <c r="K20" s="257"/>
      <c r="L20" s="257"/>
      <c r="M20" s="257"/>
    </row>
    <row r="21" spans="1:13" x14ac:dyDescent="0.25">
      <c r="A21" s="253"/>
      <c r="B21" s="257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</row>
    <row r="22" spans="1:13" x14ac:dyDescent="0.25">
      <c r="A22" s="253"/>
      <c r="B22" s="257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</row>
    <row r="23" spans="1:13" x14ac:dyDescent="0.25">
      <c r="A23" s="253"/>
      <c r="B23" s="253"/>
      <c r="C23" s="253"/>
      <c r="D23" s="253"/>
      <c r="E23" s="253"/>
      <c r="F23" s="253"/>
      <c r="G23" s="253"/>
      <c r="H23" s="253"/>
      <c r="I23" s="253"/>
      <c r="J23" s="253"/>
      <c r="K23" s="253"/>
      <c r="L23" s="253"/>
      <c r="M23" s="253"/>
    </row>
    <row r="24" spans="1:13" x14ac:dyDescent="0.25">
      <c r="A24" s="253"/>
      <c r="B24" s="253"/>
      <c r="C24" s="253"/>
      <c r="D24" s="253"/>
      <c r="E24" s="253"/>
      <c r="F24" s="253"/>
      <c r="G24" s="253"/>
      <c r="H24" s="253"/>
      <c r="I24" s="253"/>
      <c r="J24" s="253"/>
      <c r="K24" s="253"/>
      <c r="L24" s="253"/>
      <c r="M24" s="253"/>
    </row>
    <row r="25" spans="1:13" x14ac:dyDescent="0.25">
      <c r="A25" s="253"/>
      <c r="B25" s="253"/>
      <c r="C25" s="253"/>
      <c r="D25" s="253"/>
      <c r="E25" s="253"/>
      <c r="F25" s="253"/>
      <c r="G25" s="253"/>
      <c r="H25" s="253"/>
      <c r="I25" s="253"/>
      <c r="J25" s="253"/>
      <c r="K25" s="253"/>
      <c r="L25" s="253"/>
      <c r="M25" s="253"/>
    </row>
    <row r="26" spans="1:13" x14ac:dyDescent="0.25">
      <c r="A26" s="253"/>
      <c r="B26" s="253"/>
      <c r="C26" s="253"/>
      <c r="D26" s="253"/>
      <c r="E26" s="253"/>
      <c r="F26" s="253"/>
      <c r="G26" s="253"/>
      <c r="H26" s="253"/>
      <c r="I26" s="253"/>
      <c r="J26" s="253"/>
      <c r="K26" s="253"/>
      <c r="L26" s="253"/>
      <c r="M26" s="253"/>
    </row>
    <row r="27" spans="1:13" x14ac:dyDescent="0.25">
      <c r="A27" s="253"/>
      <c r="B27" s="253"/>
      <c r="C27" s="253"/>
      <c r="D27" s="253"/>
      <c r="E27" s="253"/>
      <c r="F27" s="253"/>
      <c r="G27" s="253"/>
      <c r="H27" s="253"/>
      <c r="I27" s="253"/>
      <c r="J27" s="253"/>
      <c r="K27" s="253"/>
      <c r="L27" s="253"/>
      <c r="M27" s="253"/>
    </row>
    <row r="28" spans="1:13" x14ac:dyDescent="0.25">
      <c r="A28" s="253"/>
      <c r="B28" s="253"/>
      <c r="C28" s="253"/>
      <c r="D28" s="253"/>
      <c r="E28" s="253"/>
      <c r="F28" s="253"/>
      <c r="G28" s="253"/>
      <c r="H28" s="253"/>
      <c r="I28" s="253"/>
      <c r="J28" s="253"/>
      <c r="K28" s="253"/>
      <c r="L28" s="253"/>
      <c r="M28" s="253"/>
    </row>
    <row r="35" x14ac:dyDescent="0.25"/>
    <row r="36" x14ac:dyDescent="0.25"/>
  </sheetData>
  <mergeCells count="9">
    <mergeCell ref="E2:G2"/>
    <mergeCell ref="B17:M17"/>
    <mergeCell ref="B18:M18"/>
    <mergeCell ref="B19:M19"/>
    <mergeCell ref="B11:I11"/>
    <mergeCell ref="B12:I12"/>
    <mergeCell ref="B13:I13"/>
    <mergeCell ref="B14:I14"/>
    <mergeCell ref="B15:I15"/>
  </mergeCells>
  <pageMargins left="0.75" right="0.75" top="1" bottom="1" header="0.5" footer="0.5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4">
          <controlPr defaultSize="0" autoLine="0" r:id="rId5">
            <anchor moveWithCells="1">
              <from>
                <xdr:col>4</xdr:col>
                <xdr:colOff>228600</xdr:colOff>
                <xdr:row>12</xdr:row>
                <xdr:rowOff>38100</xdr:rowOff>
              </from>
              <to>
                <xdr:col>8</xdr:col>
                <xdr:colOff>228600</xdr:colOff>
                <xdr:row>15</xdr:row>
                <xdr:rowOff>47625</xdr:rowOff>
              </to>
            </anchor>
          </controlPr>
        </control>
      </mc:Choice>
      <mc:Fallback>
        <control shapeId="1028" r:id="rId4" name="CommandButton4"/>
      </mc:Fallback>
    </mc:AlternateContent>
    <mc:AlternateContent xmlns:mc="http://schemas.openxmlformats.org/markup-compatibility/2006">
      <mc:Choice Requires="x14">
        <control shapeId="1027" r:id="rId6" name="CommandButton3">
          <controlPr defaultSize="0" autoLine="0" r:id="rId7">
            <anchor moveWithCells="1">
              <from>
                <xdr:col>4</xdr:col>
                <xdr:colOff>200025</xdr:colOff>
                <xdr:row>16</xdr:row>
                <xdr:rowOff>76200</xdr:rowOff>
              </from>
              <to>
                <xdr:col>8</xdr:col>
                <xdr:colOff>219075</xdr:colOff>
                <xdr:row>19</xdr:row>
                <xdr:rowOff>85725</xdr:rowOff>
              </to>
            </anchor>
          </controlPr>
        </control>
      </mc:Choice>
      <mc:Fallback>
        <control shapeId="1027" r:id="rId6" name="CommandButton3"/>
      </mc:Fallback>
    </mc:AlternateContent>
    <mc:AlternateContent xmlns:mc="http://schemas.openxmlformats.org/markup-compatibility/2006">
      <mc:Choice Requires="x14">
        <control shapeId="1026" r:id="rId8" name="CommandButton2">
          <controlPr defaultSize="0" autoLine="0" r:id="rId9">
            <anchor moveWithCells="1">
              <from>
                <xdr:col>4</xdr:col>
                <xdr:colOff>209550</xdr:colOff>
                <xdr:row>8</xdr:row>
                <xdr:rowOff>9525</xdr:rowOff>
              </from>
              <to>
                <xdr:col>8</xdr:col>
                <xdr:colOff>219075</xdr:colOff>
                <xdr:row>11</xdr:row>
                <xdr:rowOff>19050</xdr:rowOff>
              </to>
            </anchor>
          </controlPr>
        </control>
      </mc:Choice>
      <mc:Fallback>
        <control shapeId="1026" r:id="rId8" name="CommandButton2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4</xdr:col>
                <xdr:colOff>219075</xdr:colOff>
                <xdr:row>4</xdr:row>
                <xdr:rowOff>9525</xdr:rowOff>
              </from>
              <to>
                <xdr:col>8</xdr:col>
                <xdr:colOff>209550</xdr:colOff>
                <xdr:row>7</xdr:row>
                <xdr:rowOff>19050</xdr:rowOff>
              </to>
            </anchor>
          </controlPr>
        </control>
      </mc:Choice>
      <mc:Fallback>
        <control shapeId="1025" r:id="rId1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6">
    <tabColor rgb="FF92D050"/>
  </sheetPr>
  <dimension ref="A1:F810"/>
  <sheetViews>
    <sheetView zoomScale="80" zoomScaleNormal="80" workbookViewId="0">
      <selection activeCell="A749" sqref="A749:XFD749"/>
    </sheetView>
  </sheetViews>
  <sheetFormatPr baseColWidth="10" defaultRowHeight="15.75" x14ac:dyDescent="0.25"/>
  <cols>
    <col min="1" max="1" width="3.625" customWidth="1"/>
    <col min="2" max="2" width="14.875" customWidth="1"/>
    <col min="3" max="3" width="38.75" customWidth="1"/>
    <col min="4" max="4" width="40.625" customWidth="1"/>
    <col min="5" max="5" width="12.625" style="78" customWidth="1"/>
    <col min="6" max="6" width="10.625" customWidth="1"/>
  </cols>
  <sheetData>
    <row r="1" spans="1:6" x14ac:dyDescent="0.25">
      <c r="A1" t="s">
        <v>188</v>
      </c>
      <c r="B1" t="s">
        <v>115</v>
      </c>
      <c r="C1" t="s">
        <v>166</v>
      </c>
      <c r="D1" t="s">
        <v>167</v>
      </c>
      <c r="E1" s="78" t="s">
        <v>232</v>
      </c>
      <c r="F1" t="s">
        <v>233</v>
      </c>
    </row>
    <row r="2" spans="1:6" hidden="1" x14ac:dyDescent="0.25">
      <c r="A2">
        <v>50</v>
      </c>
      <c r="B2" s="77">
        <v>45026</v>
      </c>
      <c r="C2" t="s">
        <v>182</v>
      </c>
      <c r="D2" t="s">
        <v>183</v>
      </c>
      <c r="E2" s="78">
        <v>393146.75</v>
      </c>
      <c r="F2">
        <v>0</v>
      </c>
    </row>
    <row r="3" spans="1:6" hidden="1" x14ac:dyDescent="0.25">
      <c r="A3">
        <v>49</v>
      </c>
      <c r="B3" s="77">
        <v>45026</v>
      </c>
      <c r="C3" t="s">
        <v>182</v>
      </c>
      <c r="D3" t="s">
        <v>183</v>
      </c>
      <c r="E3" s="78">
        <v>8556</v>
      </c>
      <c r="F3">
        <v>0</v>
      </c>
    </row>
    <row r="4" spans="1:6" hidden="1" x14ac:dyDescent="0.25">
      <c r="A4">
        <v>0</v>
      </c>
      <c r="B4" s="77">
        <v>45044</v>
      </c>
      <c r="C4" t="s">
        <v>168</v>
      </c>
      <c r="D4" t="s">
        <v>326</v>
      </c>
      <c r="E4" s="78">
        <v>-1255</v>
      </c>
      <c r="F4">
        <v>101637</v>
      </c>
    </row>
    <row r="5" spans="1:6" hidden="1" x14ac:dyDescent="0.25">
      <c r="A5">
        <v>21</v>
      </c>
      <c r="B5" s="77">
        <v>45036</v>
      </c>
      <c r="C5" t="s">
        <v>168</v>
      </c>
      <c r="D5" t="s">
        <v>198</v>
      </c>
      <c r="E5" s="78">
        <v>-380</v>
      </c>
      <c r="F5">
        <v>34662</v>
      </c>
    </row>
    <row r="6" spans="1:6" hidden="1" x14ac:dyDescent="0.25">
      <c r="A6">
        <v>45</v>
      </c>
      <c r="B6" s="77">
        <v>45026</v>
      </c>
      <c r="C6" t="s">
        <v>168</v>
      </c>
      <c r="D6" t="s">
        <v>209</v>
      </c>
      <c r="E6" s="78">
        <v>-550</v>
      </c>
      <c r="F6">
        <v>93495</v>
      </c>
    </row>
    <row r="7" spans="1:6" hidden="1" x14ac:dyDescent="0.25">
      <c r="A7">
        <v>23</v>
      </c>
      <c r="B7" s="77">
        <v>45036</v>
      </c>
      <c r="C7" t="s">
        <v>168</v>
      </c>
      <c r="D7" t="s">
        <v>327</v>
      </c>
      <c r="E7" s="78">
        <v>-2400</v>
      </c>
      <c r="F7">
        <v>404535</v>
      </c>
    </row>
    <row r="8" spans="1:6" hidden="1" x14ac:dyDescent="0.25">
      <c r="A8">
        <v>26</v>
      </c>
      <c r="B8" s="77">
        <v>45035</v>
      </c>
      <c r="C8" t="s">
        <v>168</v>
      </c>
      <c r="D8" t="s">
        <v>213</v>
      </c>
      <c r="E8" s="78">
        <v>-3847.76</v>
      </c>
      <c r="F8">
        <v>973593</v>
      </c>
    </row>
    <row r="9" spans="1:6" hidden="1" x14ac:dyDescent="0.25">
      <c r="A9">
        <v>27</v>
      </c>
      <c r="B9" s="77">
        <v>45035</v>
      </c>
      <c r="C9" t="s">
        <v>168</v>
      </c>
      <c r="D9" t="s">
        <v>252</v>
      </c>
      <c r="E9" s="78">
        <v>-51000</v>
      </c>
      <c r="F9">
        <v>702414</v>
      </c>
    </row>
    <row r="10" spans="1:6" hidden="1" x14ac:dyDescent="0.25">
      <c r="A10">
        <v>32</v>
      </c>
      <c r="B10" s="77">
        <v>45034</v>
      </c>
      <c r="C10" t="s">
        <v>168</v>
      </c>
      <c r="D10" t="s">
        <v>328</v>
      </c>
      <c r="E10" s="78">
        <v>-3468.27</v>
      </c>
      <c r="F10">
        <v>578817</v>
      </c>
    </row>
    <row r="11" spans="1:6" hidden="1" x14ac:dyDescent="0.25">
      <c r="A11">
        <v>33</v>
      </c>
      <c r="B11" s="77">
        <v>45034</v>
      </c>
      <c r="C11" t="s">
        <v>168</v>
      </c>
      <c r="D11" t="s">
        <v>209</v>
      </c>
      <c r="E11" s="78">
        <v>-350</v>
      </c>
      <c r="F11">
        <v>93900</v>
      </c>
    </row>
    <row r="12" spans="1:6" hidden="1" x14ac:dyDescent="0.25">
      <c r="A12">
        <v>35</v>
      </c>
      <c r="B12" s="77">
        <v>45033</v>
      </c>
      <c r="C12" t="s">
        <v>168</v>
      </c>
      <c r="D12" t="s">
        <v>302</v>
      </c>
      <c r="E12" s="78">
        <v>-1300</v>
      </c>
      <c r="F12">
        <v>34672</v>
      </c>
    </row>
    <row r="13" spans="1:6" hidden="1" x14ac:dyDescent="0.25">
      <c r="A13">
        <v>36</v>
      </c>
      <c r="B13" s="77">
        <v>45033</v>
      </c>
      <c r="C13" t="s">
        <v>168</v>
      </c>
      <c r="D13" t="s">
        <v>173</v>
      </c>
      <c r="E13" s="78">
        <v>-4446.2</v>
      </c>
      <c r="F13">
        <v>923717</v>
      </c>
    </row>
    <row r="14" spans="1:6" hidden="1" x14ac:dyDescent="0.25">
      <c r="A14">
        <v>38</v>
      </c>
      <c r="B14" s="77">
        <v>45030</v>
      </c>
      <c r="C14" t="s">
        <v>168</v>
      </c>
      <c r="D14" t="s">
        <v>329</v>
      </c>
      <c r="E14" s="78">
        <v>-550</v>
      </c>
      <c r="F14">
        <v>46387</v>
      </c>
    </row>
    <row r="15" spans="1:6" hidden="1" x14ac:dyDescent="0.25">
      <c r="A15">
        <v>39</v>
      </c>
      <c r="B15" s="77">
        <v>45030</v>
      </c>
      <c r="C15" t="s">
        <v>168</v>
      </c>
      <c r="D15" t="s">
        <v>208</v>
      </c>
      <c r="E15" s="78">
        <v>-2300</v>
      </c>
      <c r="F15">
        <v>279635</v>
      </c>
    </row>
    <row r="16" spans="1:6" hidden="1" x14ac:dyDescent="0.25">
      <c r="A16">
        <v>40</v>
      </c>
      <c r="B16" s="77">
        <v>45030</v>
      </c>
      <c r="C16" t="s">
        <v>168</v>
      </c>
      <c r="D16" t="s">
        <v>330</v>
      </c>
      <c r="E16" s="78">
        <v>-2900</v>
      </c>
      <c r="F16">
        <v>264350</v>
      </c>
    </row>
    <row r="17" spans="1:6" hidden="1" x14ac:dyDescent="0.25">
      <c r="A17">
        <v>46</v>
      </c>
      <c r="B17" s="77">
        <v>45026</v>
      </c>
      <c r="C17" t="s">
        <v>168</v>
      </c>
      <c r="D17" t="s">
        <v>213</v>
      </c>
      <c r="E17" s="78">
        <v>-4707.33</v>
      </c>
      <c r="F17">
        <v>751559</v>
      </c>
    </row>
    <row r="18" spans="1:6" hidden="1" x14ac:dyDescent="0.25">
      <c r="A18">
        <v>20</v>
      </c>
      <c r="B18" s="77">
        <v>45036</v>
      </c>
      <c r="C18" t="s">
        <v>168</v>
      </c>
      <c r="D18" t="s">
        <v>298</v>
      </c>
      <c r="E18" s="78">
        <v>-620</v>
      </c>
      <c r="F18">
        <v>128814</v>
      </c>
    </row>
    <row r="19" spans="1:6" hidden="1" x14ac:dyDescent="0.25">
      <c r="A19">
        <v>18</v>
      </c>
      <c r="B19" s="77">
        <v>45040</v>
      </c>
      <c r="C19" t="s">
        <v>168</v>
      </c>
      <c r="D19" t="s">
        <v>208</v>
      </c>
      <c r="E19" s="78">
        <v>-3000</v>
      </c>
      <c r="F19">
        <v>761984</v>
      </c>
    </row>
    <row r="20" spans="1:6" hidden="1" x14ac:dyDescent="0.25">
      <c r="A20">
        <v>22</v>
      </c>
      <c r="B20" s="77">
        <v>45036</v>
      </c>
      <c r="C20" t="s">
        <v>168</v>
      </c>
      <c r="D20" t="s">
        <v>213</v>
      </c>
      <c r="E20" s="78">
        <v>-2550</v>
      </c>
      <c r="F20">
        <v>477163</v>
      </c>
    </row>
    <row r="21" spans="1:6" hidden="1" x14ac:dyDescent="0.25">
      <c r="A21">
        <v>52</v>
      </c>
      <c r="B21" s="77">
        <v>45021</v>
      </c>
      <c r="C21" t="s">
        <v>168</v>
      </c>
      <c r="D21" t="s">
        <v>331</v>
      </c>
      <c r="E21" s="78">
        <v>-9570</v>
      </c>
      <c r="F21">
        <v>53015</v>
      </c>
    </row>
    <row r="22" spans="1:6" hidden="1" x14ac:dyDescent="0.25">
      <c r="A22">
        <v>53</v>
      </c>
      <c r="B22" s="77">
        <v>45021</v>
      </c>
      <c r="C22" t="s">
        <v>168</v>
      </c>
      <c r="D22" t="s">
        <v>332</v>
      </c>
      <c r="E22" s="78">
        <v>-9988.43</v>
      </c>
      <c r="F22">
        <v>175172</v>
      </c>
    </row>
    <row r="23" spans="1:6" hidden="1" x14ac:dyDescent="0.25">
      <c r="A23">
        <v>54</v>
      </c>
      <c r="B23" s="77">
        <v>45021</v>
      </c>
      <c r="C23" t="s">
        <v>168</v>
      </c>
      <c r="D23" t="s">
        <v>333</v>
      </c>
      <c r="E23" s="78">
        <v>-6340</v>
      </c>
      <c r="F23">
        <v>78894</v>
      </c>
    </row>
    <row r="24" spans="1:6" hidden="1" x14ac:dyDescent="0.25">
      <c r="A24">
        <v>58</v>
      </c>
      <c r="B24" s="77">
        <v>45020</v>
      </c>
      <c r="C24" t="s">
        <v>168</v>
      </c>
      <c r="D24" t="s">
        <v>334</v>
      </c>
      <c r="E24" s="78">
        <v>-750</v>
      </c>
      <c r="F24">
        <v>86937</v>
      </c>
    </row>
    <row r="25" spans="1:6" hidden="1" x14ac:dyDescent="0.25">
      <c r="A25">
        <v>64</v>
      </c>
      <c r="B25" s="77">
        <v>45019</v>
      </c>
      <c r="C25" t="s">
        <v>168</v>
      </c>
      <c r="D25" t="s">
        <v>335</v>
      </c>
      <c r="E25" s="78">
        <v>-4100</v>
      </c>
      <c r="F25">
        <v>890812</v>
      </c>
    </row>
    <row r="26" spans="1:6" hidden="1" x14ac:dyDescent="0.25">
      <c r="A26">
        <v>17</v>
      </c>
      <c r="B26" s="77">
        <v>45041</v>
      </c>
      <c r="C26" t="s">
        <v>168</v>
      </c>
      <c r="D26" t="s">
        <v>176</v>
      </c>
      <c r="E26" s="78">
        <v>-1980.29</v>
      </c>
      <c r="F26">
        <v>475708</v>
      </c>
    </row>
    <row r="27" spans="1:6" hidden="1" x14ac:dyDescent="0.25">
      <c r="A27">
        <v>59</v>
      </c>
      <c r="B27" s="77">
        <v>45020</v>
      </c>
      <c r="C27" t="s">
        <v>168</v>
      </c>
      <c r="D27" t="s">
        <v>332</v>
      </c>
      <c r="E27" s="78">
        <v>-1339.46</v>
      </c>
      <c r="F27">
        <v>175106</v>
      </c>
    </row>
    <row r="28" spans="1:6" hidden="1" x14ac:dyDescent="0.25">
      <c r="A28">
        <v>63</v>
      </c>
      <c r="B28" s="77">
        <v>45019</v>
      </c>
      <c r="C28" t="s">
        <v>168</v>
      </c>
      <c r="D28" t="s">
        <v>208</v>
      </c>
      <c r="E28" s="78">
        <v>-4000</v>
      </c>
      <c r="F28">
        <v>861519</v>
      </c>
    </row>
    <row r="29" spans="1:6" hidden="1" x14ac:dyDescent="0.25">
      <c r="A29">
        <v>31</v>
      </c>
      <c r="B29" s="77">
        <v>45035</v>
      </c>
      <c r="C29" t="s">
        <v>199</v>
      </c>
      <c r="E29" s="78">
        <v>1064109.5900000001</v>
      </c>
      <c r="F29">
        <v>484180</v>
      </c>
    </row>
    <row r="30" spans="1:6" hidden="1" x14ac:dyDescent="0.25">
      <c r="A30">
        <v>48</v>
      </c>
      <c r="B30" s="77">
        <v>45026</v>
      </c>
      <c r="C30" t="s">
        <v>336</v>
      </c>
      <c r="D30" t="s">
        <v>337</v>
      </c>
      <c r="E30" s="78">
        <v>-4000</v>
      </c>
      <c r="F30">
        <v>518507</v>
      </c>
    </row>
    <row r="31" spans="1:6" hidden="1" x14ac:dyDescent="0.25">
      <c r="A31">
        <v>57</v>
      </c>
      <c r="B31" s="77">
        <v>45021</v>
      </c>
      <c r="C31" t="s">
        <v>178</v>
      </c>
      <c r="D31" t="s">
        <v>179</v>
      </c>
      <c r="E31" s="78">
        <v>-284555.63</v>
      </c>
      <c r="F31">
        <v>230404</v>
      </c>
    </row>
    <row r="32" spans="1:6" hidden="1" x14ac:dyDescent="0.25">
      <c r="A32">
        <v>66</v>
      </c>
      <c r="B32" s="77">
        <v>45019</v>
      </c>
      <c r="C32" t="s">
        <v>185</v>
      </c>
      <c r="D32" t="s">
        <v>186</v>
      </c>
      <c r="E32" s="78">
        <v>-10000</v>
      </c>
      <c r="F32">
        <v>9756</v>
      </c>
    </row>
    <row r="33" spans="1:6" hidden="1" x14ac:dyDescent="0.25">
      <c r="A33">
        <v>65</v>
      </c>
      <c r="B33" s="77">
        <v>45019</v>
      </c>
      <c r="C33" t="s">
        <v>185</v>
      </c>
      <c r="D33" t="s">
        <v>186</v>
      </c>
      <c r="E33" s="78">
        <v>-10000</v>
      </c>
      <c r="F33">
        <v>9758</v>
      </c>
    </row>
    <row r="34" spans="1:6" hidden="1" x14ac:dyDescent="0.25">
      <c r="A34">
        <v>1</v>
      </c>
      <c r="B34" s="77">
        <v>45044</v>
      </c>
      <c r="C34" t="s">
        <v>285</v>
      </c>
      <c r="D34" t="s">
        <v>288</v>
      </c>
      <c r="E34" s="78">
        <v>-10000</v>
      </c>
      <c r="F34">
        <v>2578</v>
      </c>
    </row>
    <row r="35" spans="1:6" hidden="1" x14ac:dyDescent="0.25">
      <c r="A35">
        <v>47</v>
      </c>
      <c r="B35" s="77">
        <v>45026</v>
      </c>
      <c r="C35" t="s">
        <v>285</v>
      </c>
      <c r="D35" t="s">
        <v>288</v>
      </c>
      <c r="E35" s="78">
        <v>-10000</v>
      </c>
      <c r="F35">
        <v>9097</v>
      </c>
    </row>
    <row r="36" spans="1:6" hidden="1" x14ac:dyDescent="0.25">
      <c r="A36">
        <v>19</v>
      </c>
      <c r="B36" s="77">
        <v>45040</v>
      </c>
      <c r="C36" t="s">
        <v>285</v>
      </c>
      <c r="D36" t="s">
        <v>288</v>
      </c>
      <c r="E36" s="78">
        <v>-500</v>
      </c>
      <c r="F36">
        <v>1701</v>
      </c>
    </row>
    <row r="37" spans="1:6" hidden="1" x14ac:dyDescent="0.25">
      <c r="A37">
        <v>60</v>
      </c>
      <c r="B37" s="77">
        <v>45020</v>
      </c>
      <c r="C37" t="s">
        <v>285</v>
      </c>
      <c r="D37" t="s">
        <v>288</v>
      </c>
      <c r="E37" s="78">
        <v>-10000</v>
      </c>
      <c r="F37">
        <v>8343</v>
      </c>
    </row>
    <row r="38" spans="1:6" hidden="1" x14ac:dyDescent="0.25">
      <c r="A38">
        <v>30</v>
      </c>
      <c r="B38" s="77">
        <v>45035</v>
      </c>
      <c r="C38" t="s">
        <v>285</v>
      </c>
      <c r="D38" t="s">
        <v>288</v>
      </c>
      <c r="E38" s="78">
        <v>-10000</v>
      </c>
      <c r="F38">
        <v>869</v>
      </c>
    </row>
    <row r="39" spans="1:6" hidden="1" x14ac:dyDescent="0.25">
      <c r="A39">
        <v>29</v>
      </c>
      <c r="B39" s="77">
        <v>45035</v>
      </c>
      <c r="C39" t="s">
        <v>285</v>
      </c>
      <c r="D39" t="s">
        <v>288</v>
      </c>
      <c r="E39" s="78">
        <v>-100</v>
      </c>
      <c r="F39">
        <v>873</v>
      </c>
    </row>
    <row r="40" spans="1:6" hidden="1" x14ac:dyDescent="0.25">
      <c r="A40">
        <v>28</v>
      </c>
      <c r="B40" s="77">
        <v>45035</v>
      </c>
      <c r="C40" t="s">
        <v>285</v>
      </c>
      <c r="D40" t="s">
        <v>311</v>
      </c>
      <c r="E40" s="78">
        <v>-4000</v>
      </c>
      <c r="F40">
        <v>8973</v>
      </c>
    </row>
    <row r="41" spans="1:6" hidden="1" x14ac:dyDescent="0.25">
      <c r="A41">
        <v>56</v>
      </c>
      <c r="B41" s="77">
        <v>45021</v>
      </c>
      <c r="C41" t="s">
        <v>285</v>
      </c>
      <c r="D41" t="s">
        <v>288</v>
      </c>
      <c r="E41" s="78">
        <v>-10000</v>
      </c>
      <c r="F41">
        <v>8716</v>
      </c>
    </row>
    <row r="42" spans="1:6" hidden="1" x14ac:dyDescent="0.25">
      <c r="A42">
        <v>55</v>
      </c>
      <c r="B42" s="77">
        <v>45021</v>
      </c>
      <c r="C42" t="s">
        <v>285</v>
      </c>
      <c r="D42" t="s">
        <v>288</v>
      </c>
      <c r="E42" s="78">
        <v>-10000</v>
      </c>
      <c r="F42">
        <v>8717</v>
      </c>
    </row>
    <row r="43" spans="1:6" hidden="1" x14ac:dyDescent="0.25">
      <c r="A43">
        <v>61</v>
      </c>
      <c r="B43" s="77">
        <v>45020</v>
      </c>
      <c r="C43" t="s">
        <v>285</v>
      </c>
      <c r="D43" t="s">
        <v>288</v>
      </c>
      <c r="E43" s="78">
        <v>-20000</v>
      </c>
      <c r="F43">
        <v>8342</v>
      </c>
    </row>
    <row r="44" spans="1:6" hidden="1" x14ac:dyDescent="0.25">
      <c r="A44">
        <v>44</v>
      </c>
      <c r="B44" s="77">
        <v>45027</v>
      </c>
      <c r="C44" t="s">
        <v>285</v>
      </c>
      <c r="D44" t="s">
        <v>288</v>
      </c>
      <c r="E44" s="78">
        <v>-10000</v>
      </c>
      <c r="F44">
        <v>7529</v>
      </c>
    </row>
    <row r="45" spans="1:6" hidden="1" x14ac:dyDescent="0.25">
      <c r="A45">
        <v>25</v>
      </c>
      <c r="B45" s="77">
        <v>45036</v>
      </c>
      <c r="C45" t="s">
        <v>313</v>
      </c>
      <c r="E45" s="78">
        <v>-900000</v>
      </c>
      <c r="F45">
        <v>51</v>
      </c>
    </row>
    <row r="46" spans="1:6" hidden="1" x14ac:dyDescent="0.25">
      <c r="A46">
        <v>3</v>
      </c>
      <c r="B46" s="77">
        <v>45044</v>
      </c>
      <c r="C46" t="s">
        <v>172</v>
      </c>
      <c r="E46" s="78">
        <v>-494.42</v>
      </c>
      <c r="F46">
        <v>0</v>
      </c>
    </row>
    <row r="47" spans="1:6" hidden="1" x14ac:dyDescent="0.25">
      <c r="A47">
        <v>68</v>
      </c>
      <c r="B47" s="77">
        <v>45017</v>
      </c>
      <c r="C47" t="s">
        <v>187</v>
      </c>
      <c r="E47" s="78">
        <v>51.64</v>
      </c>
      <c r="F47">
        <v>0</v>
      </c>
    </row>
    <row r="48" spans="1:6" hidden="1" x14ac:dyDescent="0.25">
      <c r="A48">
        <v>2</v>
      </c>
      <c r="B48" s="77">
        <v>45044</v>
      </c>
      <c r="C48" t="s">
        <v>171</v>
      </c>
      <c r="E48" s="78">
        <v>-2354.39</v>
      </c>
      <c r="F48">
        <v>0</v>
      </c>
    </row>
    <row r="49" spans="1:6" hidden="1" x14ac:dyDescent="0.25">
      <c r="A49">
        <v>62</v>
      </c>
      <c r="B49" s="77">
        <v>45019</v>
      </c>
      <c r="C49" t="s">
        <v>180</v>
      </c>
      <c r="D49" t="s">
        <v>181</v>
      </c>
      <c r="E49" s="78">
        <v>-88912.19</v>
      </c>
      <c r="F49">
        <v>396909</v>
      </c>
    </row>
    <row r="50" spans="1:6" hidden="1" x14ac:dyDescent="0.25">
      <c r="A50">
        <v>11</v>
      </c>
      <c r="B50" s="77">
        <v>45043</v>
      </c>
      <c r="C50" t="s">
        <v>338</v>
      </c>
      <c r="D50" t="s">
        <v>339</v>
      </c>
      <c r="E50" s="78">
        <v>263</v>
      </c>
      <c r="F50">
        <v>59705</v>
      </c>
    </row>
    <row r="51" spans="1:6" hidden="1" x14ac:dyDescent="0.25">
      <c r="A51">
        <v>5</v>
      </c>
      <c r="B51" s="77">
        <v>45043</v>
      </c>
      <c r="C51" t="s">
        <v>338</v>
      </c>
      <c r="D51" t="s">
        <v>340</v>
      </c>
      <c r="E51" s="78">
        <v>35</v>
      </c>
      <c r="F51">
        <v>824122</v>
      </c>
    </row>
    <row r="52" spans="1:6" hidden="1" x14ac:dyDescent="0.25">
      <c r="A52">
        <v>6</v>
      </c>
      <c r="B52" s="77">
        <v>45043</v>
      </c>
      <c r="C52" t="s">
        <v>338</v>
      </c>
      <c r="D52" t="s">
        <v>341</v>
      </c>
      <c r="E52" s="78">
        <v>90</v>
      </c>
      <c r="F52">
        <v>710499</v>
      </c>
    </row>
    <row r="53" spans="1:6" hidden="1" x14ac:dyDescent="0.25">
      <c r="A53">
        <v>7</v>
      </c>
      <c r="B53" s="77">
        <v>45043</v>
      </c>
      <c r="C53" t="s">
        <v>338</v>
      </c>
      <c r="D53" t="s">
        <v>342</v>
      </c>
      <c r="E53" s="78">
        <v>94</v>
      </c>
      <c r="F53">
        <v>566088</v>
      </c>
    </row>
    <row r="54" spans="1:6" hidden="1" x14ac:dyDescent="0.25">
      <c r="A54">
        <v>16</v>
      </c>
      <c r="B54" s="77">
        <v>45043</v>
      </c>
      <c r="C54" t="s">
        <v>338</v>
      </c>
      <c r="D54" t="s">
        <v>343</v>
      </c>
      <c r="E54" s="78">
        <v>532</v>
      </c>
      <c r="F54">
        <v>421428</v>
      </c>
    </row>
    <row r="55" spans="1:6" hidden="1" x14ac:dyDescent="0.25">
      <c r="A55">
        <v>15</v>
      </c>
      <c r="B55" s="77">
        <v>45043</v>
      </c>
      <c r="C55" t="s">
        <v>338</v>
      </c>
      <c r="D55" t="s">
        <v>344</v>
      </c>
      <c r="E55" s="78">
        <v>353.9</v>
      </c>
      <c r="F55">
        <v>997525</v>
      </c>
    </row>
    <row r="56" spans="1:6" hidden="1" x14ac:dyDescent="0.25">
      <c r="A56">
        <v>14</v>
      </c>
      <c r="B56" s="77">
        <v>45043</v>
      </c>
      <c r="C56" t="s">
        <v>338</v>
      </c>
      <c r="D56" t="s">
        <v>345</v>
      </c>
      <c r="E56" s="78">
        <v>326.39</v>
      </c>
      <c r="F56">
        <v>733879</v>
      </c>
    </row>
    <row r="57" spans="1:6" hidden="1" x14ac:dyDescent="0.25">
      <c r="A57">
        <v>13</v>
      </c>
      <c r="B57" s="77">
        <v>45043</v>
      </c>
      <c r="C57" t="s">
        <v>338</v>
      </c>
      <c r="D57" t="s">
        <v>346</v>
      </c>
      <c r="E57" s="78">
        <v>304.42</v>
      </c>
      <c r="F57">
        <v>25534</v>
      </c>
    </row>
    <row r="58" spans="1:6" hidden="1" x14ac:dyDescent="0.25">
      <c r="A58">
        <v>12</v>
      </c>
      <c r="B58" s="77">
        <v>45043</v>
      </c>
      <c r="C58" t="s">
        <v>338</v>
      </c>
      <c r="D58" t="s">
        <v>347</v>
      </c>
      <c r="E58" s="78">
        <v>292.60000000000002</v>
      </c>
      <c r="F58">
        <v>898812</v>
      </c>
    </row>
    <row r="59" spans="1:6" hidden="1" x14ac:dyDescent="0.25">
      <c r="A59">
        <v>8</v>
      </c>
      <c r="B59" s="77">
        <v>45043</v>
      </c>
      <c r="C59" t="s">
        <v>338</v>
      </c>
      <c r="D59" t="s">
        <v>348</v>
      </c>
      <c r="E59" s="78">
        <v>95</v>
      </c>
      <c r="F59">
        <v>965551</v>
      </c>
    </row>
    <row r="60" spans="1:6" hidden="1" x14ac:dyDescent="0.25">
      <c r="A60">
        <v>10</v>
      </c>
      <c r="B60" s="77">
        <v>45043</v>
      </c>
      <c r="C60" t="s">
        <v>338</v>
      </c>
      <c r="D60" t="s">
        <v>349</v>
      </c>
      <c r="E60" s="78">
        <v>185</v>
      </c>
      <c r="F60">
        <v>707560</v>
      </c>
    </row>
    <row r="61" spans="1:6" hidden="1" x14ac:dyDescent="0.25">
      <c r="A61">
        <v>9</v>
      </c>
      <c r="B61" s="77">
        <v>45043</v>
      </c>
      <c r="C61" t="s">
        <v>338</v>
      </c>
      <c r="D61" t="s">
        <v>350</v>
      </c>
      <c r="E61" s="78">
        <v>181.11</v>
      </c>
      <c r="F61">
        <v>502736</v>
      </c>
    </row>
    <row r="62" spans="1:6" hidden="1" x14ac:dyDescent="0.25">
      <c r="A62">
        <v>34</v>
      </c>
      <c r="B62" s="77">
        <v>45034</v>
      </c>
      <c r="C62" t="s">
        <v>267</v>
      </c>
      <c r="D62" t="s">
        <v>268</v>
      </c>
      <c r="E62" s="78">
        <v>6500</v>
      </c>
      <c r="F62">
        <v>365463</v>
      </c>
    </row>
    <row r="63" spans="1:6" hidden="1" x14ac:dyDescent="0.25">
      <c r="A63">
        <v>51</v>
      </c>
      <c r="B63" s="77">
        <v>45026</v>
      </c>
      <c r="C63" t="s">
        <v>174</v>
      </c>
      <c r="D63" t="s">
        <v>291</v>
      </c>
      <c r="E63" s="78">
        <v>-7000</v>
      </c>
      <c r="F63">
        <v>681092</v>
      </c>
    </row>
    <row r="64" spans="1:6" hidden="1" x14ac:dyDescent="0.25">
      <c r="A64">
        <v>24</v>
      </c>
      <c r="B64" s="77">
        <v>45036</v>
      </c>
      <c r="C64" t="s">
        <v>174</v>
      </c>
      <c r="D64" t="s">
        <v>351</v>
      </c>
      <c r="E64" s="78">
        <v>-12000</v>
      </c>
      <c r="F64">
        <v>137155</v>
      </c>
    </row>
    <row r="65" spans="1:6" hidden="1" x14ac:dyDescent="0.25">
      <c r="A65">
        <v>67</v>
      </c>
      <c r="B65" s="77">
        <v>45019</v>
      </c>
      <c r="C65" t="s">
        <v>174</v>
      </c>
      <c r="D65" t="s">
        <v>352</v>
      </c>
      <c r="E65" s="78">
        <v>-20000</v>
      </c>
      <c r="F65">
        <v>861618</v>
      </c>
    </row>
    <row r="66" spans="1:6" hidden="1" x14ac:dyDescent="0.25">
      <c r="A66">
        <v>37</v>
      </c>
      <c r="B66" s="77">
        <v>45033</v>
      </c>
      <c r="C66" t="s">
        <v>174</v>
      </c>
      <c r="D66" t="s">
        <v>352</v>
      </c>
      <c r="E66" s="78">
        <v>-28000</v>
      </c>
      <c r="F66">
        <v>285763</v>
      </c>
    </row>
    <row r="67" spans="1:6" hidden="1" x14ac:dyDescent="0.25">
      <c r="A67">
        <v>4</v>
      </c>
      <c r="B67" s="77">
        <v>45043</v>
      </c>
      <c r="C67" t="s">
        <v>174</v>
      </c>
      <c r="D67" t="s">
        <v>353</v>
      </c>
      <c r="E67" s="78">
        <v>-24111.41</v>
      </c>
      <c r="F67">
        <v>903013</v>
      </c>
    </row>
    <row r="68" spans="1:6" hidden="1" x14ac:dyDescent="0.25">
      <c r="A68">
        <v>41</v>
      </c>
      <c r="B68" s="77">
        <v>45029</v>
      </c>
      <c r="C68" t="s">
        <v>174</v>
      </c>
      <c r="D68" t="s">
        <v>354</v>
      </c>
      <c r="E68" s="78">
        <v>-49000</v>
      </c>
      <c r="F68">
        <v>78520</v>
      </c>
    </row>
    <row r="69" spans="1:6" hidden="1" x14ac:dyDescent="0.25">
      <c r="A69">
        <v>43</v>
      </c>
      <c r="B69" s="77">
        <v>45028</v>
      </c>
      <c r="C69" t="s">
        <v>174</v>
      </c>
      <c r="D69" t="s">
        <v>355</v>
      </c>
      <c r="E69" s="78">
        <v>-9000</v>
      </c>
      <c r="F69">
        <v>970592</v>
      </c>
    </row>
    <row r="70" spans="1:6" hidden="1" x14ac:dyDescent="0.25">
      <c r="A70">
        <v>42</v>
      </c>
      <c r="B70" s="77">
        <v>45029</v>
      </c>
      <c r="C70" t="s">
        <v>174</v>
      </c>
      <c r="D70" t="s">
        <v>356</v>
      </c>
      <c r="E70" s="78">
        <v>-110000</v>
      </c>
      <c r="F70">
        <v>724438</v>
      </c>
    </row>
    <row r="71" spans="1:6" hidden="1" x14ac:dyDescent="0.25">
      <c r="A71">
        <v>54</v>
      </c>
      <c r="B71" s="77">
        <v>45051</v>
      </c>
      <c r="C71" t="s">
        <v>182</v>
      </c>
      <c r="D71" t="s">
        <v>183</v>
      </c>
      <c r="E71" s="78">
        <v>499330.36</v>
      </c>
      <c r="F71">
        <v>0</v>
      </c>
    </row>
    <row r="72" spans="1:6" hidden="1" x14ac:dyDescent="0.25">
      <c r="A72">
        <v>28</v>
      </c>
      <c r="B72" s="77">
        <v>45063</v>
      </c>
      <c r="C72" t="s">
        <v>168</v>
      </c>
      <c r="D72" t="s">
        <v>208</v>
      </c>
      <c r="E72" s="78">
        <v>-2550</v>
      </c>
      <c r="F72">
        <v>49273</v>
      </c>
    </row>
    <row r="73" spans="1:6" hidden="1" x14ac:dyDescent="0.25">
      <c r="A73">
        <v>56</v>
      </c>
      <c r="B73" s="77">
        <v>45050</v>
      </c>
      <c r="C73" t="s">
        <v>168</v>
      </c>
      <c r="D73" t="s">
        <v>220</v>
      </c>
      <c r="E73" s="78">
        <v>-1700</v>
      </c>
      <c r="F73">
        <v>36920</v>
      </c>
    </row>
    <row r="74" spans="1:6" hidden="1" x14ac:dyDescent="0.25">
      <c r="A74">
        <v>29</v>
      </c>
      <c r="B74" s="77">
        <v>45062</v>
      </c>
      <c r="C74" t="s">
        <v>168</v>
      </c>
      <c r="D74" t="s">
        <v>237</v>
      </c>
      <c r="E74" s="78">
        <v>-1454.99</v>
      </c>
      <c r="F74">
        <v>343692</v>
      </c>
    </row>
    <row r="75" spans="1:6" hidden="1" x14ac:dyDescent="0.25">
      <c r="A75">
        <v>30</v>
      </c>
      <c r="B75" s="77">
        <v>45061</v>
      </c>
      <c r="C75" t="s">
        <v>168</v>
      </c>
      <c r="D75" t="s">
        <v>209</v>
      </c>
      <c r="E75" s="78">
        <v>-780</v>
      </c>
      <c r="F75">
        <v>95115</v>
      </c>
    </row>
    <row r="76" spans="1:6" hidden="1" x14ac:dyDescent="0.25">
      <c r="A76">
        <v>31</v>
      </c>
      <c r="B76" s="77">
        <v>45061</v>
      </c>
      <c r="C76" t="s">
        <v>168</v>
      </c>
      <c r="D76" t="s">
        <v>198</v>
      </c>
      <c r="E76" s="78">
        <v>-1000</v>
      </c>
      <c r="F76">
        <v>42879</v>
      </c>
    </row>
    <row r="77" spans="1:6" hidden="1" x14ac:dyDescent="0.25">
      <c r="A77">
        <v>32</v>
      </c>
      <c r="B77" s="77">
        <v>45061</v>
      </c>
      <c r="C77" t="s">
        <v>168</v>
      </c>
      <c r="D77" t="s">
        <v>365</v>
      </c>
      <c r="E77" s="78">
        <v>-3230</v>
      </c>
      <c r="F77">
        <v>92173</v>
      </c>
    </row>
    <row r="78" spans="1:6" hidden="1" x14ac:dyDescent="0.25">
      <c r="A78">
        <v>70</v>
      </c>
      <c r="B78" s="77">
        <v>45048</v>
      </c>
      <c r="C78" t="s">
        <v>168</v>
      </c>
      <c r="D78" t="s">
        <v>237</v>
      </c>
      <c r="E78" s="78">
        <v>-254.9</v>
      </c>
      <c r="F78">
        <v>786355</v>
      </c>
    </row>
    <row r="79" spans="1:6" hidden="1" x14ac:dyDescent="0.25">
      <c r="A79">
        <v>36</v>
      </c>
      <c r="B79" s="77">
        <v>45058</v>
      </c>
      <c r="C79" t="s">
        <v>168</v>
      </c>
      <c r="D79" t="s">
        <v>366</v>
      </c>
      <c r="E79" s="78">
        <v>-850</v>
      </c>
      <c r="F79">
        <v>272974</v>
      </c>
    </row>
    <row r="80" spans="1:6" hidden="1" x14ac:dyDescent="0.25">
      <c r="A80">
        <v>64</v>
      </c>
      <c r="B80" s="77">
        <v>45048</v>
      </c>
      <c r="C80" t="s">
        <v>168</v>
      </c>
      <c r="D80" t="s">
        <v>367</v>
      </c>
      <c r="E80" s="78">
        <v>-2040</v>
      </c>
      <c r="F80">
        <v>21152</v>
      </c>
    </row>
    <row r="81" spans="1:6" hidden="1" x14ac:dyDescent="0.25">
      <c r="A81">
        <v>38</v>
      </c>
      <c r="B81" s="77">
        <v>45057</v>
      </c>
      <c r="C81" t="s">
        <v>168</v>
      </c>
      <c r="D81" t="s">
        <v>208</v>
      </c>
      <c r="E81" s="78">
        <v>-4270</v>
      </c>
      <c r="F81">
        <v>728336</v>
      </c>
    </row>
    <row r="82" spans="1:6" hidden="1" x14ac:dyDescent="0.25">
      <c r="A82">
        <v>42</v>
      </c>
      <c r="B82" s="77">
        <v>45055</v>
      </c>
      <c r="C82" t="s">
        <v>168</v>
      </c>
      <c r="D82" t="s">
        <v>208</v>
      </c>
      <c r="E82" s="78">
        <v>-900</v>
      </c>
      <c r="F82">
        <v>461475</v>
      </c>
    </row>
    <row r="83" spans="1:6" hidden="1" x14ac:dyDescent="0.25">
      <c r="A83">
        <v>43</v>
      </c>
      <c r="B83" s="77">
        <v>45055</v>
      </c>
      <c r="C83" t="s">
        <v>168</v>
      </c>
      <c r="D83" t="s">
        <v>263</v>
      </c>
      <c r="E83" s="78">
        <v>-1990</v>
      </c>
      <c r="F83">
        <v>86872</v>
      </c>
    </row>
    <row r="84" spans="1:6" hidden="1" x14ac:dyDescent="0.25">
      <c r="A84">
        <v>63</v>
      </c>
      <c r="B84" s="77">
        <v>45048</v>
      </c>
      <c r="C84" t="s">
        <v>168</v>
      </c>
      <c r="D84" t="s">
        <v>296</v>
      </c>
      <c r="E84" s="78">
        <v>-2640</v>
      </c>
      <c r="F84">
        <v>47617</v>
      </c>
    </row>
    <row r="85" spans="1:6" hidden="1" x14ac:dyDescent="0.25">
      <c r="A85">
        <v>45</v>
      </c>
      <c r="B85" s="77">
        <v>45054</v>
      </c>
      <c r="C85" t="s">
        <v>168</v>
      </c>
      <c r="D85" t="s">
        <v>209</v>
      </c>
      <c r="E85" s="78">
        <v>-380</v>
      </c>
      <c r="F85">
        <v>94808</v>
      </c>
    </row>
    <row r="86" spans="1:6" hidden="1" x14ac:dyDescent="0.25">
      <c r="A86">
        <v>46</v>
      </c>
      <c r="B86" s="77">
        <v>45054</v>
      </c>
      <c r="C86" t="s">
        <v>168</v>
      </c>
      <c r="D86" t="s">
        <v>263</v>
      </c>
      <c r="E86" s="78">
        <v>-1360</v>
      </c>
      <c r="F86">
        <v>84365</v>
      </c>
    </row>
    <row r="87" spans="1:6" hidden="1" x14ac:dyDescent="0.25">
      <c r="A87">
        <v>47</v>
      </c>
      <c r="B87" s="77">
        <v>45054</v>
      </c>
      <c r="C87" t="s">
        <v>168</v>
      </c>
      <c r="D87" t="s">
        <v>209</v>
      </c>
      <c r="E87" s="78">
        <v>-550</v>
      </c>
      <c r="F87">
        <v>94751</v>
      </c>
    </row>
    <row r="88" spans="1:6" hidden="1" x14ac:dyDescent="0.25">
      <c r="A88">
        <v>48</v>
      </c>
      <c r="B88" s="77">
        <v>45054</v>
      </c>
      <c r="C88" t="s">
        <v>168</v>
      </c>
      <c r="D88" t="s">
        <v>173</v>
      </c>
      <c r="E88" s="78">
        <v>-3166.1</v>
      </c>
      <c r="F88">
        <v>563773</v>
      </c>
    </row>
    <row r="89" spans="1:6" hidden="1" x14ac:dyDescent="0.25">
      <c r="A89">
        <v>59</v>
      </c>
      <c r="B89" s="77">
        <v>45050</v>
      </c>
      <c r="C89" t="s">
        <v>168</v>
      </c>
      <c r="D89" t="s">
        <v>213</v>
      </c>
      <c r="E89" s="78">
        <v>-4481.43</v>
      </c>
      <c r="F89">
        <v>293243</v>
      </c>
    </row>
    <row r="90" spans="1:6" hidden="1" x14ac:dyDescent="0.25">
      <c r="A90">
        <v>52</v>
      </c>
      <c r="B90" s="77">
        <v>45051</v>
      </c>
      <c r="C90" t="s">
        <v>168</v>
      </c>
      <c r="D90" t="s">
        <v>368</v>
      </c>
      <c r="E90" s="78">
        <v>-24420</v>
      </c>
      <c r="F90">
        <v>115709</v>
      </c>
    </row>
    <row r="91" spans="1:6" hidden="1" x14ac:dyDescent="0.25">
      <c r="A91">
        <v>58</v>
      </c>
      <c r="B91" s="77">
        <v>45050</v>
      </c>
      <c r="C91" t="s">
        <v>168</v>
      </c>
      <c r="D91" t="s">
        <v>369</v>
      </c>
      <c r="E91" s="78">
        <v>-2040</v>
      </c>
      <c r="F91">
        <v>70909</v>
      </c>
    </row>
    <row r="92" spans="1:6" hidden="1" x14ac:dyDescent="0.25">
      <c r="A92">
        <v>65</v>
      </c>
      <c r="B92" s="77">
        <v>45048</v>
      </c>
      <c r="C92" t="s">
        <v>168</v>
      </c>
      <c r="D92" t="s">
        <v>278</v>
      </c>
      <c r="E92" s="78">
        <v>-10000</v>
      </c>
      <c r="F92">
        <v>13676</v>
      </c>
    </row>
    <row r="93" spans="1:6" hidden="1" x14ac:dyDescent="0.25">
      <c r="A93">
        <v>66</v>
      </c>
      <c r="B93" s="77">
        <v>45048</v>
      </c>
      <c r="C93" t="s">
        <v>168</v>
      </c>
      <c r="D93" t="s">
        <v>238</v>
      </c>
      <c r="E93" s="78">
        <v>-2250</v>
      </c>
      <c r="F93">
        <v>71154</v>
      </c>
    </row>
    <row r="94" spans="1:6" hidden="1" x14ac:dyDescent="0.25">
      <c r="A94">
        <v>57</v>
      </c>
      <c r="B94" s="77">
        <v>45050</v>
      </c>
      <c r="C94" t="s">
        <v>168</v>
      </c>
      <c r="D94" t="s">
        <v>370</v>
      </c>
      <c r="E94" s="78">
        <v>-10000</v>
      </c>
      <c r="F94">
        <v>88754</v>
      </c>
    </row>
    <row r="95" spans="1:6" hidden="1" x14ac:dyDescent="0.25">
      <c r="A95">
        <v>22</v>
      </c>
      <c r="B95" s="77">
        <v>45064</v>
      </c>
      <c r="C95" t="s">
        <v>168</v>
      </c>
      <c r="D95" t="s">
        <v>371</v>
      </c>
      <c r="E95" s="78">
        <v>-6500</v>
      </c>
      <c r="F95">
        <v>294785</v>
      </c>
    </row>
    <row r="96" spans="1:6" hidden="1" x14ac:dyDescent="0.25">
      <c r="A96">
        <v>6</v>
      </c>
      <c r="B96" s="77">
        <v>45075</v>
      </c>
      <c r="C96" t="s">
        <v>168</v>
      </c>
      <c r="D96" t="s">
        <v>372</v>
      </c>
      <c r="E96" s="78">
        <v>-1240</v>
      </c>
      <c r="F96">
        <v>132830</v>
      </c>
    </row>
    <row r="97" spans="1:6" hidden="1" x14ac:dyDescent="0.25">
      <c r="A97">
        <v>7</v>
      </c>
      <c r="B97" s="77">
        <v>45075</v>
      </c>
      <c r="C97" t="s">
        <v>168</v>
      </c>
      <c r="D97" t="s">
        <v>263</v>
      </c>
      <c r="E97" s="78">
        <v>-2170</v>
      </c>
      <c r="F97">
        <v>93356</v>
      </c>
    </row>
    <row r="98" spans="1:6" hidden="1" x14ac:dyDescent="0.25">
      <c r="A98">
        <v>8</v>
      </c>
      <c r="B98" s="77">
        <v>45075</v>
      </c>
      <c r="C98" t="s">
        <v>168</v>
      </c>
      <c r="D98" t="s">
        <v>373</v>
      </c>
      <c r="E98" s="78">
        <v>-1560</v>
      </c>
      <c r="F98">
        <v>17438</v>
      </c>
    </row>
    <row r="99" spans="1:6" hidden="1" x14ac:dyDescent="0.25">
      <c r="A99">
        <v>9</v>
      </c>
      <c r="B99" s="77">
        <v>45075</v>
      </c>
      <c r="C99" t="s">
        <v>168</v>
      </c>
      <c r="D99" t="s">
        <v>373</v>
      </c>
      <c r="E99" s="78">
        <v>-600</v>
      </c>
      <c r="F99">
        <v>40276</v>
      </c>
    </row>
    <row r="100" spans="1:6" hidden="1" x14ac:dyDescent="0.25">
      <c r="A100">
        <v>10</v>
      </c>
      <c r="B100" s="77">
        <v>45075</v>
      </c>
      <c r="C100" t="s">
        <v>168</v>
      </c>
      <c r="D100" t="s">
        <v>211</v>
      </c>
      <c r="E100" s="78">
        <v>-220</v>
      </c>
      <c r="F100">
        <v>17108</v>
      </c>
    </row>
    <row r="101" spans="1:6" hidden="1" x14ac:dyDescent="0.25">
      <c r="A101">
        <v>69</v>
      </c>
      <c r="B101" s="77">
        <v>45048</v>
      </c>
      <c r="C101" t="s">
        <v>168</v>
      </c>
      <c r="D101" t="s">
        <v>281</v>
      </c>
      <c r="E101" s="78">
        <v>-11500</v>
      </c>
      <c r="F101">
        <v>600241</v>
      </c>
    </row>
    <row r="102" spans="1:6" hidden="1" x14ac:dyDescent="0.25">
      <c r="A102">
        <v>23</v>
      </c>
      <c r="B102" s="77">
        <v>45064</v>
      </c>
      <c r="C102" t="s">
        <v>168</v>
      </c>
      <c r="D102" t="s">
        <v>374</v>
      </c>
      <c r="E102" s="78">
        <v>-2548.98</v>
      </c>
      <c r="F102">
        <v>96104</v>
      </c>
    </row>
    <row r="103" spans="1:6" hidden="1" x14ac:dyDescent="0.25">
      <c r="A103">
        <v>68</v>
      </c>
      <c r="B103" s="77">
        <v>45048</v>
      </c>
      <c r="C103" t="s">
        <v>168</v>
      </c>
      <c r="D103" t="s">
        <v>201</v>
      </c>
      <c r="E103" s="78">
        <v>-1629.6</v>
      </c>
      <c r="F103">
        <v>61072</v>
      </c>
    </row>
    <row r="104" spans="1:6" hidden="1" x14ac:dyDescent="0.25">
      <c r="A104">
        <v>13</v>
      </c>
      <c r="B104" s="77">
        <v>45069</v>
      </c>
      <c r="C104" t="s">
        <v>168</v>
      </c>
      <c r="D104" t="s">
        <v>275</v>
      </c>
      <c r="E104" s="78">
        <v>-1272</v>
      </c>
      <c r="F104">
        <v>124752</v>
      </c>
    </row>
    <row r="105" spans="1:6" hidden="1" x14ac:dyDescent="0.25">
      <c r="A105">
        <v>5</v>
      </c>
      <c r="B105" s="77">
        <v>45075</v>
      </c>
      <c r="C105" t="s">
        <v>168</v>
      </c>
      <c r="D105" t="s">
        <v>198</v>
      </c>
      <c r="E105" s="78">
        <v>-1640</v>
      </c>
      <c r="F105">
        <v>36873</v>
      </c>
    </row>
    <row r="106" spans="1:6" hidden="1" x14ac:dyDescent="0.25">
      <c r="A106">
        <v>14</v>
      </c>
      <c r="B106" s="77">
        <v>45068</v>
      </c>
      <c r="C106" t="s">
        <v>168</v>
      </c>
      <c r="D106" t="s">
        <v>201</v>
      </c>
      <c r="E106" s="78">
        <v>-6456.95</v>
      </c>
      <c r="F106">
        <v>61939</v>
      </c>
    </row>
    <row r="107" spans="1:6" hidden="1" x14ac:dyDescent="0.25">
      <c r="A107">
        <v>4</v>
      </c>
      <c r="B107" s="77">
        <v>45076</v>
      </c>
      <c r="C107" t="s">
        <v>168</v>
      </c>
      <c r="D107" t="s">
        <v>213</v>
      </c>
      <c r="E107" s="78">
        <v>-4401.1000000000004</v>
      </c>
      <c r="F107">
        <v>162276</v>
      </c>
    </row>
    <row r="108" spans="1:6" hidden="1" x14ac:dyDescent="0.25">
      <c r="A108">
        <v>16</v>
      </c>
      <c r="B108" s="77">
        <v>45068</v>
      </c>
      <c r="C108" t="s">
        <v>168</v>
      </c>
      <c r="D108" t="s">
        <v>209</v>
      </c>
      <c r="E108" s="78">
        <v>-1470</v>
      </c>
      <c r="F108">
        <v>95342</v>
      </c>
    </row>
    <row r="109" spans="1:6" hidden="1" x14ac:dyDescent="0.25">
      <c r="A109">
        <v>3</v>
      </c>
      <c r="B109" s="77">
        <v>45076</v>
      </c>
      <c r="C109" t="s">
        <v>168</v>
      </c>
      <c r="D109" t="s">
        <v>375</v>
      </c>
      <c r="E109" s="78">
        <v>-2790</v>
      </c>
      <c r="F109">
        <v>41418</v>
      </c>
    </row>
    <row r="110" spans="1:6" hidden="1" x14ac:dyDescent="0.25">
      <c r="A110">
        <v>67</v>
      </c>
      <c r="B110" s="77">
        <v>45048</v>
      </c>
      <c r="C110" t="s">
        <v>168</v>
      </c>
      <c r="D110" t="s">
        <v>296</v>
      </c>
      <c r="E110" s="78">
        <v>-1650</v>
      </c>
      <c r="F110">
        <v>41177</v>
      </c>
    </row>
    <row r="111" spans="1:6" hidden="1" x14ac:dyDescent="0.25">
      <c r="A111">
        <v>20</v>
      </c>
      <c r="B111" s="77">
        <v>45065</v>
      </c>
      <c r="C111" t="s">
        <v>168</v>
      </c>
      <c r="D111" t="s">
        <v>376</v>
      </c>
      <c r="E111" s="78">
        <v>-2060</v>
      </c>
      <c r="F111">
        <v>231513</v>
      </c>
    </row>
    <row r="112" spans="1:6" hidden="1" x14ac:dyDescent="0.25">
      <c r="A112">
        <v>21</v>
      </c>
      <c r="B112" s="77">
        <v>45065</v>
      </c>
      <c r="C112" t="s">
        <v>168</v>
      </c>
      <c r="D112" t="s">
        <v>213</v>
      </c>
      <c r="E112" s="78">
        <v>-5785.16</v>
      </c>
      <c r="F112">
        <v>217407</v>
      </c>
    </row>
    <row r="113" spans="1:6" hidden="1" x14ac:dyDescent="0.25">
      <c r="A113">
        <v>2</v>
      </c>
      <c r="B113" s="77">
        <v>45076</v>
      </c>
      <c r="C113" t="s">
        <v>168</v>
      </c>
      <c r="D113" t="s">
        <v>176</v>
      </c>
      <c r="E113" s="78">
        <v>-1437.8</v>
      </c>
      <c r="F113">
        <v>270488</v>
      </c>
    </row>
    <row r="114" spans="1:6" hidden="1" x14ac:dyDescent="0.25">
      <c r="A114">
        <v>15</v>
      </c>
      <c r="B114" s="77">
        <v>45068</v>
      </c>
      <c r="C114" t="s">
        <v>168</v>
      </c>
      <c r="D114" t="s">
        <v>173</v>
      </c>
      <c r="E114" s="78">
        <v>-2810.09</v>
      </c>
      <c r="F114">
        <v>356429</v>
      </c>
    </row>
    <row r="115" spans="1:6" hidden="1" x14ac:dyDescent="0.25">
      <c r="A115">
        <v>49</v>
      </c>
      <c r="B115" s="77">
        <v>45054</v>
      </c>
      <c r="C115" t="s">
        <v>177</v>
      </c>
      <c r="D115" t="s">
        <v>206</v>
      </c>
      <c r="E115" s="78">
        <v>107000</v>
      </c>
      <c r="F115">
        <v>628599</v>
      </c>
    </row>
    <row r="116" spans="1:6" hidden="1" x14ac:dyDescent="0.25">
      <c r="A116">
        <v>34</v>
      </c>
      <c r="B116" s="77">
        <v>45061</v>
      </c>
      <c r="C116" t="s">
        <v>200</v>
      </c>
      <c r="D116" t="s">
        <v>377</v>
      </c>
      <c r="E116" s="78">
        <v>-3550</v>
      </c>
      <c r="F116">
        <v>915787</v>
      </c>
    </row>
    <row r="117" spans="1:6" hidden="1" x14ac:dyDescent="0.25">
      <c r="A117">
        <v>50</v>
      </c>
      <c r="B117" s="77">
        <v>45054</v>
      </c>
      <c r="C117" t="s">
        <v>336</v>
      </c>
      <c r="D117" t="s">
        <v>378</v>
      </c>
      <c r="E117" s="78">
        <v>-237166.39</v>
      </c>
      <c r="F117">
        <v>477334</v>
      </c>
    </row>
    <row r="118" spans="1:6" hidden="1" x14ac:dyDescent="0.25">
      <c r="A118">
        <v>25</v>
      </c>
      <c r="B118" s="77">
        <v>45064</v>
      </c>
      <c r="C118" t="s">
        <v>379</v>
      </c>
      <c r="E118" s="78">
        <v>-48500</v>
      </c>
      <c r="F118">
        <v>934393</v>
      </c>
    </row>
    <row r="119" spans="1:6" hidden="1" x14ac:dyDescent="0.25">
      <c r="A119">
        <v>39</v>
      </c>
      <c r="B119" s="77">
        <v>45057</v>
      </c>
      <c r="C119" t="s">
        <v>185</v>
      </c>
      <c r="D119" t="s">
        <v>186</v>
      </c>
      <c r="E119" s="78">
        <v>-10000</v>
      </c>
      <c r="F119">
        <v>7568</v>
      </c>
    </row>
    <row r="120" spans="1:6" hidden="1" x14ac:dyDescent="0.25">
      <c r="A120">
        <v>53</v>
      </c>
      <c r="B120" s="77">
        <v>45051</v>
      </c>
      <c r="C120" t="s">
        <v>285</v>
      </c>
      <c r="D120" t="s">
        <v>288</v>
      </c>
      <c r="E120" s="78">
        <v>-10000</v>
      </c>
      <c r="F120">
        <v>3770</v>
      </c>
    </row>
    <row r="121" spans="1:6" hidden="1" x14ac:dyDescent="0.25">
      <c r="A121">
        <v>40</v>
      </c>
      <c r="B121" s="77">
        <v>45056</v>
      </c>
      <c r="C121" t="s">
        <v>285</v>
      </c>
      <c r="D121" t="s">
        <v>288</v>
      </c>
      <c r="E121" s="78">
        <v>-1000</v>
      </c>
      <c r="F121">
        <v>4781</v>
      </c>
    </row>
    <row r="122" spans="1:6" hidden="1" x14ac:dyDescent="0.25">
      <c r="A122">
        <v>33</v>
      </c>
      <c r="B122" s="77">
        <v>45061</v>
      </c>
      <c r="C122" t="s">
        <v>285</v>
      </c>
      <c r="D122" t="s">
        <v>288</v>
      </c>
      <c r="E122" s="78">
        <v>-4000</v>
      </c>
      <c r="F122">
        <v>5561</v>
      </c>
    </row>
    <row r="123" spans="1:6" hidden="1" x14ac:dyDescent="0.25">
      <c r="A123">
        <v>17</v>
      </c>
      <c r="B123" s="77">
        <v>45068</v>
      </c>
      <c r="C123" t="s">
        <v>285</v>
      </c>
      <c r="D123" t="s">
        <v>288</v>
      </c>
      <c r="E123" s="78">
        <v>-5000</v>
      </c>
      <c r="F123">
        <v>6784</v>
      </c>
    </row>
    <row r="124" spans="1:6" hidden="1" x14ac:dyDescent="0.25">
      <c r="A124">
        <v>18</v>
      </c>
      <c r="B124" s="77">
        <v>45068</v>
      </c>
      <c r="C124" t="s">
        <v>285</v>
      </c>
      <c r="D124" t="s">
        <v>288</v>
      </c>
      <c r="E124" s="78">
        <v>-10000</v>
      </c>
      <c r="F124">
        <v>6783</v>
      </c>
    </row>
    <row r="125" spans="1:6" hidden="1" x14ac:dyDescent="0.25">
      <c r="A125">
        <v>41</v>
      </c>
      <c r="B125" s="77">
        <v>45056</v>
      </c>
      <c r="C125" t="s">
        <v>285</v>
      </c>
      <c r="D125" t="s">
        <v>288</v>
      </c>
      <c r="E125" s="78">
        <v>-10000</v>
      </c>
      <c r="F125">
        <v>4780</v>
      </c>
    </row>
    <row r="126" spans="1:6" hidden="1" x14ac:dyDescent="0.25">
      <c r="A126">
        <v>26</v>
      </c>
      <c r="B126" s="77">
        <v>45064</v>
      </c>
      <c r="C126" t="s">
        <v>380</v>
      </c>
      <c r="E126" s="78">
        <v>-14550</v>
      </c>
      <c r="F126">
        <v>934393</v>
      </c>
    </row>
    <row r="127" spans="1:6" hidden="1" x14ac:dyDescent="0.25">
      <c r="A127">
        <v>1</v>
      </c>
      <c r="B127" s="77">
        <v>45077</v>
      </c>
      <c r="C127" t="s">
        <v>172</v>
      </c>
      <c r="E127" s="78">
        <v>-494.42</v>
      </c>
      <c r="F127">
        <v>0</v>
      </c>
    </row>
    <row r="128" spans="1:6" hidden="1" x14ac:dyDescent="0.25">
      <c r="A128">
        <v>71</v>
      </c>
      <c r="B128" s="77">
        <v>45047</v>
      </c>
      <c r="C128" t="s">
        <v>187</v>
      </c>
      <c r="E128" s="78">
        <v>49.24</v>
      </c>
      <c r="F128">
        <v>0</v>
      </c>
    </row>
    <row r="129" spans="1:6" hidden="1" x14ac:dyDescent="0.25">
      <c r="A129">
        <v>0</v>
      </c>
      <c r="B129" s="77">
        <v>45077</v>
      </c>
      <c r="C129" t="s">
        <v>171</v>
      </c>
      <c r="E129" s="78">
        <v>-2354.39</v>
      </c>
      <c r="F129">
        <v>0</v>
      </c>
    </row>
    <row r="130" spans="1:6" hidden="1" x14ac:dyDescent="0.25">
      <c r="A130">
        <v>61</v>
      </c>
      <c r="B130" s="77">
        <v>45049</v>
      </c>
      <c r="C130" t="s">
        <v>175</v>
      </c>
      <c r="D130" t="s">
        <v>212</v>
      </c>
      <c r="E130" s="78">
        <v>-691.86</v>
      </c>
      <c r="F130">
        <v>946765</v>
      </c>
    </row>
    <row r="131" spans="1:6" hidden="1" x14ac:dyDescent="0.25">
      <c r="A131">
        <v>27</v>
      </c>
      <c r="B131" s="77">
        <v>45064</v>
      </c>
      <c r="C131" t="s">
        <v>381</v>
      </c>
      <c r="E131" s="78">
        <v>-16975</v>
      </c>
      <c r="F131">
        <v>934393</v>
      </c>
    </row>
    <row r="132" spans="1:6" hidden="1" x14ac:dyDescent="0.25">
      <c r="A132">
        <v>62</v>
      </c>
      <c r="B132" s="77">
        <v>45048</v>
      </c>
      <c r="C132" t="s">
        <v>180</v>
      </c>
      <c r="D132" t="s">
        <v>181</v>
      </c>
      <c r="E132" s="78">
        <v>-97376.07</v>
      </c>
      <c r="F132">
        <v>142230</v>
      </c>
    </row>
    <row r="133" spans="1:6" hidden="1" x14ac:dyDescent="0.25">
      <c r="A133">
        <v>51</v>
      </c>
      <c r="B133" s="77">
        <v>45054</v>
      </c>
      <c r="C133" t="s">
        <v>382</v>
      </c>
      <c r="D133" t="s">
        <v>383</v>
      </c>
      <c r="E133" s="78">
        <v>20000</v>
      </c>
      <c r="F133">
        <v>581904</v>
      </c>
    </row>
    <row r="134" spans="1:6" hidden="1" x14ac:dyDescent="0.25">
      <c r="A134">
        <v>35</v>
      </c>
      <c r="B134" s="77">
        <v>45061</v>
      </c>
      <c r="C134" t="s">
        <v>267</v>
      </c>
      <c r="D134" t="s">
        <v>384</v>
      </c>
      <c r="E134" s="78">
        <v>32000</v>
      </c>
      <c r="F134">
        <v>736886</v>
      </c>
    </row>
    <row r="135" spans="1:6" hidden="1" x14ac:dyDescent="0.25">
      <c r="A135">
        <v>60</v>
      </c>
      <c r="B135" s="77">
        <v>45050</v>
      </c>
      <c r="C135" t="s">
        <v>174</v>
      </c>
      <c r="D135" t="s">
        <v>385</v>
      </c>
      <c r="E135" s="78">
        <v>-11000</v>
      </c>
      <c r="F135">
        <v>290453</v>
      </c>
    </row>
    <row r="136" spans="1:6" hidden="1" x14ac:dyDescent="0.25">
      <c r="A136">
        <v>44</v>
      </c>
      <c r="B136" s="77">
        <v>45055</v>
      </c>
      <c r="C136" t="s">
        <v>174</v>
      </c>
      <c r="D136" t="s">
        <v>386</v>
      </c>
      <c r="E136" s="78">
        <v>-5000</v>
      </c>
      <c r="F136">
        <v>755919</v>
      </c>
    </row>
    <row r="137" spans="1:6" hidden="1" x14ac:dyDescent="0.25">
      <c r="A137">
        <v>37</v>
      </c>
      <c r="B137" s="77">
        <v>45058</v>
      </c>
      <c r="C137" t="s">
        <v>174</v>
      </c>
      <c r="D137" t="s">
        <v>317</v>
      </c>
      <c r="E137" s="78">
        <v>-30000</v>
      </c>
      <c r="F137">
        <v>964131</v>
      </c>
    </row>
    <row r="138" spans="1:6" hidden="1" x14ac:dyDescent="0.25">
      <c r="A138">
        <v>24</v>
      </c>
      <c r="B138" s="77">
        <v>45064</v>
      </c>
      <c r="C138" t="s">
        <v>174</v>
      </c>
      <c r="D138" t="s">
        <v>387</v>
      </c>
      <c r="E138" s="78">
        <v>-6000</v>
      </c>
      <c r="F138">
        <v>354326</v>
      </c>
    </row>
    <row r="139" spans="1:6" hidden="1" x14ac:dyDescent="0.25">
      <c r="A139">
        <v>19</v>
      </c>
      <c r="B139" s="77">
        <v>45068</v>
      </c>
      <c r="C139" t="s">
        <v>174</v>
      </c>
      <c r="D139" t="s">
        <v>352</v>
      </c>
      <c r="E139" s="78">
        <v>-16000</v>
      </c>
      <c r="F139">
        <v>494509</v>
      </c>
    </row>
    <row r="140" spans="1:6" hidden="1" x14ac:dyDescent="0.25">
      <c r="A140">
        <v>12</v>
      </c>
      <c r="B140" s="77">
        <v>45075</v>
      </c>
      <c r="C140" t="s">
        <v>174</v>
      </c>
      <c r="D140" t="s">
        <v>222</v>
      </c>
      <c r="E140" s="78">
        <v>-5000</v>
      </c>
      <c r="F140">
        <v>718347</v>
      </c>
    </row>
    <row r="141" spans="1:6" hidden="1" x14ac:dyDescent="0.25">
      <c r="A141">
        <v>11</v>
      </c>
      <c r="B141" s="77">
        <v>45075</v>
      </c>
      <c r="C141" t="s">
        <v>174</v>
      </c>
      <c r="D141" t="s">
        <v>388</v>
      </c>
      <c r="E141" s="78">
        <v>-17600</v>
      </c>
      <c r="F141">
        <v>760503</v>
      </c>
    </row>
    <row r="142" spans="1:6" hidden="1" x14ac:dyDescent="0.25">
      <c r="A142">
        <v>55</v>
      </c>
      <c r="B142" s="77">
        <v>45051</v>
      </c>
      <c r="C142" t="s">
        <v>174</v>
      </c>
      <c r="D142" t="s">
        <v>317</v>
      </c>
      <c r="E142" s="78">
        <v>-15000</v>
      </c>
      <c r="F142">
        <v>462959</v>
      </c>
    </row>
    <row r="143" spans="1:6" hidden="1" x14ac:dyDescent="0.25">
      <c r="A143">
        <v>38</v>
      </c>
      <c r="B143" s="77">
        <v>44937</v>
      </c>
      <c r="C143" t="s">
        <v>199</v>
      </c>
      <c r="E143" s="78">
        <v>371575.34</v>
      </c>
      <c r="F143">
        <v>452624</v>
      </c>
    </row>
    <row r="144" spans="1:6" hidden="1" x14ac:dyDescent="0.25">
      <c r="A144">
        <v>53</v>
      </c>
      <c r="B144" s="77">
        <v>44931</v>
      </c>
      <c r="C144" t="s">
        <v>182</v>
      </c>
      <c r="D144" t="s">
        <v>183</v>
      </c>
      <c r="E144" s="78">
        <v>157806.07999999999</v>
      </c>
      <c r="F144">
        <v>0</v>
      </c>
    </row>
    <row r="145" spans="1:6" hidden="1" x14ac:dyDescent="0.25">
      <c r="A145">
        <v>4</v>
      </c>
      <c r="B145" s="77">
        <v>44956</v>
      </c>
      <c r="C145" t="s">
        <v>177</v>
      </c>
      <c r="D145" t="s">
        <v>265</v>
      </c>
      <c r="E145" s="78">
        <v>80000</v>
      </c>
      <c r="F145">
        <v>415126</v>
      </c>
    </row>
    <row r="146" spans="1:6" hidden="1" x14ac:dyDescent="0.25">
      <c r="A146">
        <v>26</v>
      </c>
      <c r="B146" s="77">
        <v>44943</v>
      </c>
      <c r="C146" t="s">
        <v>267</v>
      </c>
      <c r="D146" t="s">
        <v>268</v>
      </c>
      <c r="E146" s="78">
        <v>47077</v>
      </c>
      <c r="F146">
        <v>938990</v>
      </c>
    </row>
    <row r="147" spans="1:6" hidden="1" x14ac:dyDescent="0.25">
      <c r="A147">
        <v>15</v>
      </c>
      <c r="B147" s="77">
        <v>44950</v>
      </c>
      <c r="C147" t="s">
        <v>177</v>
      </c>
      <c r="D147" t="s">
        <v>266</v>
      </c>
      <c r="E147" s="78">
        <v>23000</v>
      </c>
      <c r="F147">
        <v>530654</v>
      </c>
    </row>
    <row r="148" spans="1:6" hidden="1" x14ac:dyDescent="0.25">
      <c r="A148">
        <v>43</v>
      </c>
      <c r="B148" s="77">
        <v>44935</v>
      </c>
      <c r="C148" t="s">
        <v>234</v>
      </c>
      <c r="D148" t="s">
        <v>235</v>
      </c>
      <c r="E148" s="78">
        <v>20500</v>
      </c>
      <c r="F148">
        <v>15312</v>
      </c>
    </row>
    <row r="149" spans="1:6" hidden="1" x14ac:dyDescent="0.25">
      <c r="A149">
        <v>61</v>
      </c>
      <c r="B149" s="77">
        <v>44929</v>
      </c>
      <c r="C149" t="s">
        <v>177</v>
      </c>
      <c r="D149" t="s">
        <v>206</v>
      </c>
      <c r="E149" s="78">
        <v>2500</v>
      </c>
      <c r="F149">
        <v>125410</v>
      </c>
    </row>
    <row r="150" spans="1:6" hidden="1" x14ac:dyDescent="0.25">
      <c r="A150">
        <v>49</v>
      </c>
      <c r="B150" s="77">
        <v>44935</v>
      </c>
      <c r="C150" t="s">
        <v>177</v>
      </c>
      <c r="D150" t="s">
        <v>206</v>
      </c>
      <c r="E150" s="78">
        <v>1700</v>
      </c>
      <c r="F150">
        <v>321880</v>
      </c>
    </row>
    <row r="151" spans="1:6" hidden="1" x14ac:dyDescent="0.25">
      <c r="A151">
        <v>64</v>
      </c>
      <c r="B151" s="77">
        <v>44928</v>
      </c>
      <c r="C151" t="s">
        <v>269</v>
      </c>
      <c r="D151" t="s">
        <v>270</v>
      </c>
      <c r="E151" s="78">
        <v>1000</v>
      </c>
      <c r="F151">
        <v>4250080</v>
      </c>
    </row>
    <row r="152" spans="1:6" hidden="1" x14ac:dyDescent="0.25">
      <c r="A152">
        <v>65</v>
      </c>
      <c r="B152" s="77">
        <v>44927</v>
      </c>
      <c r="C152" t="s">
        <v>187</v>
      </c>
      <c r="E152" s="78">
        <v>38.01</v>
      </c>
      <c r="F152">
        <v>0</v>
      </c>
    </row>
    <row r="153" spans="1:6" hidden="1" x14ac:dyDescent="0.25">
      <c r="A153">
        <v>51</v>
      </c>
      <c r="B153" s="77">
        <v>44932</v>
      </c>
      <c r="C153" t="s">
        <v>168</v>
      </c>
      <c r="D153" t="s">
        <v>251</v>
      </c>
      <c r="E153" s="78">
        <v>-198.9</v>
      </c>
      <c r="F153">
        <v>2208</v>
      </c>
    </row>
    <row r="154" spans="1:6" hidden="1" x14ac:dyDescent="0.25">
      <c r="A154">
        <v>37</v>
      </c>
      <c r="B154" s="77">
        <v>44937</v>
      </c>
      <c r="C154" t="s">
        <v>168</v>
      </c>
      <c r="D154" t="s">
        <v>244</v>
      </c>
      <c r="E154" s="78">
        <v>-200</v>
      </c>
      <c r="F154">
        <v>915403</v>
      </c>
    </row>
    <row r="155" spans="1:6" hidden="1" x14ac:dyDescent="0.25">
      <c r="A155">
        <v>16</v>
      </c>
      <c r="B155" s="77">
        <v>44949</v>
      </c>
      <c r="C155" t="s">
        <v>168</v>
      </c>
      <c r="D155" t="s">
        <v>238</v>
      </c>
      <c r="E155" s="78">
        <v>-270</v>
      </c>
      <c r="F155">
        <v>18780</v>
      </c>
    </row>
    <row r="156" spans="1:6" hidden="1" x14ac:dyDescent="0.25">
      <c r="A156">
        <v>36</v>
      </c>
      <c r="B156" s="77">
        <v>44937</v>
      </c>
      <c r="C156" t="s">
        <v>168</v>
      </c>
      <c r="D156" t="s">
        <v>243</v>
      </c>
      <c r="E156" s="78">
        <v>-360</v>
      </c>
      <c r="F156">
        <v>25789</v>
      </c>
    </row>
    <row r="157" spans="1:6" hidden="1" x14ac:dyDescent="0.25">
      <c r="A157">
        <v>59</v>
      </c>
      <c r="B157" s="77">
        <v>44929</v>
      </c>
      <c r="C157" t="s">
        <v>168</v>
      </c>
      <c r="D157" t="s">
        <v>240</v>
      </c>
      <c r="E157" s="78">
        <v>-371.77</v>
      </c>
      <c r="F157">
        <v>69556</v>
      </c>
    </row>
    <row r="158" spans="1:6" hidden="1" x14ac:dyDescent="0.25">
      <c r="A158">
        <v>8</v>
      </c>
      <c r="B158" s="77">
        <v>44952</v>
      </c>
      <c r="C158" t="s">
        <v>168</v>
      </c>
      <c r="D158" t="s">
        <v>245</v>
      </c>
      <c r="E158" s="78">
        <v>-420</v>
      </c>
      <c r="F158">
        <v>74613</v>
      </c>
    </row>
    <row r="159" spans="1:6" hidden="1" x14ac:dyDescent="0.25">
      <c r="A159">
        <v>1</v>
      </c>
      <c r="B159" s="77">
        <v>44957</v>
      </c>
      <c r="C159" t="s">
        <v>172</v>
      </c>
      <c r="E159" s="78">
        <v>-437.54</v>
      </c>
      <c r="F159">
        <v>0</v>
      </c>
    </row>
    <row r="160" spans="1:6" hidden="1" x14ac:dyDescent="0.25">
      <c r="A160">
        <v>9</v>
      </c>
      <c r="B160" s="77">
        <v>44952</v>
      </c>
      <c r="C160" t="s">
        <v>168</v>
      </c>
      <c r="D160" t="s">
        <v>245</v>
      </c>
      <c r="E160" s="78">
        <v>-440</v>
      </c>
      <c r="F160">
        <v>19812</v>
      </c>
    </row>
    <row r="161" spans="1:6" hidden="1" x14ac:dyDescent="0.25">
      <c r="A161">
        <v>28</v>
      </c>
      <c r="B161" s="77">
        <v>44942</v>
      </c>
      <c r="C161" t="s">
        <v>168</v>
      </c>
      <c r="D161" t="s">
        <v>261</v>
      </c>
      <c r="E161" s="78">
        <v>-600</v>
      </c>
      <c r="F161">
        <v>632342</v>
      </c>
    </row>
    <row r="162" spans="1:6" hidden="1" x14ac:dyDescent="0.25">
      <c r="A162">
        <v>21</v>
      </c>
      <c r="B162" s="77">
        <v>44944</v>
      </c>
      <c r="C162" t="s">
        <v>168</v>
      </c>
      <c r="D162" t="s">
        <v>208</v>
      </c>
      <c r="E162" s="78">
        <v>-600</v>
      </c>
      <c r="F162">
        <v>981039</v>
      </c>
    </row>
    <row r="163" spans="1:6" hidden="1" x14ac:dyDescent="0.25">
      <c r="A163">
        <v>20</v>
      </c>
      <c r="B163" s="77">
        <v>44945</v>
      </c>
      <c r="C163" t="s">
        <v>168</v>
      </c>
      <c r="D163" t="s">
        <v>176</v>
      </c>
      <c r="E163" s="78">
        <v>-623.32000000000005</v>
      </c>
      <c r="F163">
        <v>414465</v>
      </c>
    </row>
    <row r="164" spans="1:6" hidden="1" x14ac:dyDescent="0.25">
      <c r="A164">
        <v>41</v>
      </c>
      <c r="B164" s="77">
        <v>44936</v>
      </c>
      <c r="C164" t="s">
        <v>168</v>
      </c>
      <c r="D164" t="s">
        <v>246</v>
      </c>
      <c r="E164" s="78">
        <v>-670</v>
      </c>
      <c r="F164">
        <v>857728</v>
      </c>
    </row>
    <row r="165" spans="1:6" hidden="1" x14ac:dyDescent="0.25">
      <c r="A165">
        <v>50</v>
      </c>
      <c r="B165" s="77">
        <v>44932</v>
      </c>
      <c r="C165" t="s">
        <v>168</v>
      </c>
      <c r="D165" t="s">
        <v>250</v>
      </c>
      <c r="E165" s="78">
        <v>-718.16</v>
      </c>
      <c r="F165">
        <v>19861</v>
      </c>
    </row>
    <row r="166" spans="1:6" hidden="1" x14ac:dyDescent="0.25">
      <c r="A166">
        <v>10</v>
      </c>
      <c r="B166" s="77">
        <v>44952</v>
      </c>
      <c r="C166" t="s">
        <v>168</v>
      </c>
      <c r="D166" t="s">
        <v>239</v>
      </c>
      <c r="E166" s="78">
        <v>-750</v>
      </c>
      <c r="F166">
        <v>66043</v>
      </c>
    </row>
    <row r="167" spans="1:6" hidden="1" x14ac:dyDescent="0.25">
      <c r="A167">
        <v>47</v>
      </c>
      <c r="B167" s="77">
        <v>44935</v>
      </c>
      <c r="C167" t="s">
        <v>168</v>
      </c>
      <c r="D167" t="s">
        <v>249</v>
      </c>
      <c r="E167" s="78">
        <v>-760</v>
      </c>
      <c r="F167">
        <v>28045</v>
      </c>
    </row>
    <row r="168" spans="1:6" hidden="1" x14ac:dyDescent="0.25">
      <c r="A168">
        <v>33</v>
      </c>
      <c r="B168" s="77">
        <v>44939</v>
      </c>
      <c r="C168" t="s">
        <v>168</v>
      </c>
      <c r="D168" t="s">
        <v>241</v>
      </c>
      <c r="E168" s="78">
        <v>-890</v>
      </c>
      <c r="F168">
        <v>21871</v>
      </c>
    </row>
    <row r="169" spans="1:6" hidden="1" x14ac:dyDescent="0.25">
      <c r="A169">
        <v>2</v>
      </c>
      <c r="B169" s="77">
        <v>44956</v>
      </c>
      <c r="C169" t="s">
        <v>168</v>
      </c>
      <c r="D169" t="s">
        <v>239</v>
      </c>
      <c r="E169" s="78">
        <v>-1000</v>
      </c>
      <c r="F169">
        <v>74049</v>
      </c>
    </row>
    <row r="170" spans="1:6" hidden="1" x14ac:dyDescent="0.25">
      <c r="A170">
        <v>14</v>
      </c>
      <c r="B170" s="77">
        <v>44950</v>
      </c>
      <c r="C170" t="s">
        <v>168</v>
      </c>
      <c r="D170" t="s">
        <v>260</v>
      </c>
      <c r="E170" s="78">
        <v>-1000</v>
      </c>
      <c r="F170">
        <v>72195</v>
      </c>
    </row>
    <row r="171" spans="1:6" hidden="1" x14ac:dyDescent="0.25">
      <c r="A171">
        <v>18</v>
      </c>
      <c r="B171" s="77">
        <v>44949</v>
      </c>
      <c r="C171" t="s">
        <v>168</v>
      </c>
      <c r="D171" t="s">
        <v>238</v>
      </c>
      <c r="E171" s="78">
        <v>-1029</v>
      </c>
      <c r="F171">
        <v>82446</v>
      </c>
    </row>
    <row r="172" spans="1:6" hidden="1" x14ac:dyDescent="0.25">
      <c r="A172">
        <v>6</v>
      </c>
      <c r="B172" s="77">
        <v>44953</v>
      </c>
      <c r="C172" t="s">
        <v>168</v>
      </c>
      <c r="D172" t="s">
        <v>239</v>
      </c>
      <c r="E172" s="78">
        <v>-1040</v>
      </c>
      <c r="F172">
        <v>96268</v>
      </c>
    </row>
    <row r="173" spans="1:6" hidden="1" x14ac:dyDescent="0.25">
      <c r="A173">
        <v>27</v>
      </c>
      <c r="B173" s="77">
        <v>44942</v>
      </c>
      <c r="C173" t="s">
        <v>168</v>
      </c>
      <c r="D173" t="s">
        <v>239</v>
      </c>
      <c r="E173" s="78">
        <v>-1120</v>
      </c>
      <c r="F173">
        <v>34838</v>
      </c>
    </row>
    <row r="174" spans="1:6" hidden="1" x14ac:dyDescent="0.25">
      <c r="A174">
        <v>13</v>
      </c>
      <c r="B174" s="77">
        <v>44951</v>
      </c>
      <c r="C174" t="s">
        <v>168</v>
      </c>
      <c r="D174" t="s">
        <v>256</v>
      </c>
      <c r="E174" s="78">
        <v>-1150</v>
      </c>
      <c r="F174">
        <v>940618</v>
      </c>
    </row>
    <row r="175" spans="1:6" hidden="1" x14ac:dyDescent="0.25">
      <c r="A175">
        <v>19</v>
      </c>
      <c r="B175" s="77">
        <v>44945</v>
      </c>
      <c r="C175" t="s">
        <v>168</v>
      </c>
      <c r="D175" t="s">
        <v>263</v>
      </c>
      <c r="E175" s="78">
        <v>-1180</v>
      </c>
      <c r="F175">
        <v>19587</v>
      </c>
    </row>
    <row r="176" spans="1:6" hidden="1" x14ac:dyDescent="0.25">
      <c r="A176">
        <v>39</v>
      </c>
      <c r="B176" s="77">
        <v>44936</v>
      </c>
      <c r="C176" t="s">
        <v>168</v>
      </c>
      <c r="D176" t="s">
        <v>238</v>
      </c>
      <c r="E176" s="78">
        <v>-1332</v>
      </c>
      <c r="F176">
        <v>47569</v>
      </c>
    </row>
    <row r="177" spans="1:6" hidden="1" x14ac:dyDescent="0.25">
      <c r="A177">
        <v>32</v>
      </c>
      <c r="B177" s="77">
        <v>44939</v>
      </c>
      <c r="C177" t="s">
        <v>168</v>
      </c>
      <c r="D177" t="s">
        <v>238</v>
      </c>
      <c r="E177" s="78">
        <v>-1333</v>
      </c>
      <c r="F177">
        <v>63420</v>
      </c>
    </row>
    <row r="178" spans="1:6" hidden="1" x14ac:dyDescent="0.25">
      <c r="A178">
        <v>63</v>
      </c>
      <c r="B178" s="77">
        <v>44928</v>
      </c>
      <c r="C178" t="s">
        <v>168</v>
      </c>
      <c r="D178" t="s">
        <v>259</v>
      </c>
      <c r="E178" s="78">
        <v>-1360.92</v>
      </c>
      <c r="F178">
        <v>103468</v>
      </c>
    </row>
    <row r="179" spans="1:6" hidden="1" x14ac:dyDescent="0.25">
      <c r="A179">
        <v>48</v>
      </c>
      <c r="B179" s="77">
        <v>44935</v>
      </c>
      <c r="C179" t="s">
        <v>168</v>
      </c>
      <c r="D179" t="s">
        <v>238</v>
      </c>
      <c r="E179" s="78">
        <v>-1380</v>
      </c>
      <c r="F179">
        <v>91174</v>
      </c>
    </row>
    <row r="180" spans="1:6" hidden="1" x14ac:dyDescent="0.25">
      <c r="A180">
        <v>35</v>
      </c>
      <c r="B180" s="77">
        <v>44937</v>
      </c>
      <c r="C180" t="s">
        <v>168</v>
      </c>
      <c r="D180" t="s">
        <v>239</v>
      </c>
      <c r="E180" s="78">
        <v>-1440</v>
      </c>
      <c r="F180">
        <v>70979</v>
      </c>
    </row>
    <row r="181" spans="1:6" hidden="1" x14ac:dyDescent="0.25">
      <c r="A181">
        <v>44</v>
      </c>
      <c r="B181" s="77">
        <v>44935</v>
      </c>
      <c r="C181" t="s">
        <v>168</v>
      </c>
      <c r="D181" t="s">
        <v>247</v>
      </c>
      <c r="E181" s="78">
        <v>-1700</v>
      </c>
      <c r="F181">
        <v>370436</v>
      </c>
    </row>
    <row r="182" spans="1:6" hidden="1" x14ac:dyDescent="0.25">
      <c r="A182">
        <v>11</v>
      </c>
      <c r="B182" s="77">
        <v>44952</v>
      </c>
      <c r="C182" t="s">
        <v>168</v>
      </c>
      <c r="D182" t="s">
        <v>238</v>
      </c>
      <c r="E182" s="78">
        <v>-1720</v>
      </c>
      <c r="F182">
        <v>62913</v>
      </c>
    </row>
    <row r="183" spans="1:6" hidden="1" x14ac:dyDescent="0.25">
      <c r="A183">
        <v>31</v>
      </c>
      <c r="B183" s="77">
        <v>44939</v>
      </c>
      <c r="C183" t="s">
        <v>168</v>
      </c>
      <c r="D183" t="s">
        <v>239</v>
      </c>
      <c r="E183" s="78">
        <v>-1780</v>
      </c>
      <c r="F183">
        <v>14877</v>
      </c>
    </row>
    <row r="184" spans="1:6" hidden="1" x14ac:dyDescent="0.25">
      <c r="A184">
        <v>29</v>
      </c>
      <c r="B184" s="77">
        <v>44942</v>
      </c>
      <c r="C184" t="s">
        <v>168</v>
      </c>
      <c r="D184" t="s">
        <v>255</v>
      </c>
      <c r="E184" s="78">
        <v>-1790</v>
      </c>
      <c r="F184">
        <v>84068</v>
      </c>
    </row>
    <row r="185" spans="1:6" hidden="1" x14ac:dyDescent="0.25">
      <c r="A185">
        <v>22</v>
      </c>
      <c r="B185" s="77">
        <v>44944</v>
      </c>
      <c r="C185" t="s">
        <v>168</v>
      </c>
      <c r="D185" t="s">
        <v>213</v>
      </c>
      <c r="E185" s="78">
        <v>-1828.25</v>
      </c>
      <c r="F185">
        <v>969183</v>
      </c>
    </row>
    <row r="186" spans="1:6" hidden="1" x14ac:dyDescent="0.25">
      <c r="A186">
        <v>54</v>
      </c>
      <c r="B186" s="77">
        <v>44930</v>
      </c>
      <c r="C186" t="s">
        <v>168</v>
      </c>
      <c r="D186" t="s">
        <v>253</v>
      </c>
      <c r="E186" s="78">
        <v>-1850</v>
      </c>
      <c r="F186">
        <v>63516</v>
      </c>
    </row>
    <row r="187" spans="1:6" hidden="1" x14ac:dyDescent="0.25">
      <c r="A187">
        <v>34</v>
      </c>
      <c r="B187" s="77">
        <v>44938</v>
      </c>
      <c r="C187" t="s">
        <v>168</v>
      </c>
      <c r="D187" t="s">
        <v>242</v>
      </c>
      <c r="E187" s="78">
        <v>-1930</v>
      </c>
      <c r="F187">
        <v>305722</v>
      </c>
    </row>
    <row r="188" spans="1:6" hidden="1" x14ac:dyDescent="0.25">
      <c r="A188">
        <v>52</v>
      </c>
      <c r="B188" s="77">
        <v>44931</v>
      </c>
      <c r="C188" t="s">
        <v>168</v>
      </c>
      <c r="D188" t="s">
        <v>252</v>
      </c>
      <c r="E188" s="78">
        <v>-2000</v>
      </c>
      <c r="F188">
        <v>392853</v>
      </c>
    </row>
    <row r="189" spans="1:6" hidden="1" x14ac:dyDescent="0.25">
      <c r="A189">
        <v>0</v>
      </c>
      <c r="B189" s="77">
        <v>44957</v>
      </c>
      <c r="C189" t="s">
        <v>171</v>
      </c>
      <c r="E189" s="78">
        <v>-2083.5300000000002</v>
      </c>
      <c r="F189">
        <v>0</v>
      </c>
    </row>
    <row r="190" spans="1:6" hidden="1" x14ac:dyDescent="0.25">
      <c r="A190">
        <v>17</v>
      </c>
      <c r="B190" s="77">
        <v>44949</v>
      </c>
      <c r="C190" t="s">
        <v>168</v>
      </c>
      <c r="D190" t="s">
        <v>262</v>
      </c>
      <c r="E190" s="78">
        <v>-2200</v>
      </c>
      <c r="F190">
        <v>44160</v>
      </c>
    </row>
    <row r="191" spans="1:6" hidden="1" x14ac:dyDescent="0.25">
      <c r="A191">
        <v>40</v>
      </c>
      <c r="B191" s="77">
        <v>44936</v>
      </c>
      <c r="C191" t="s">
        <v>168</v>
      </c>
      <c r="D191" t="s">
        <v>245</v>
      </c>
      <c r="E191" s="78">
        <v>-2580</v>
      </c>
      <c r="F191">
        <v>51231</v>
      </c>
    </row>
    <row r="192" spans="1:6" hidden="1" x14ac:dyDescent="0.25">
      <c r="A192">
        <v>12</v>
      </c>
      <c r="B192" s="77">
        <v>44952</v>
      </c>
      <c r="C192" t="s">
        <v>174</v>
      </c>
      <c r="D192" t="s">
        <v>271</v>
      </c>
      <c r="E192" s="78">
        <v>-3000</v>
      </c>
      <c r="F192">
        <v>366767</v>
      </c>
    </row>
    <row r="193" spans="1:6" hidden="1" x14ac:dyDescent="0.25">
      <c r="A193">
        <v>3</v>
      </c>
      <c r="B193" s="77">
        <v>44956</v>
      </c>
      <c r="C193" t="s">
        <v>168</v>
      </c>
      <c r="D193" t="s">
        <v>257</v>
      </c>
      <c r="E193" s="78">
        <v>-3110</v>
      </c>
      <c r="F193">
        <v>74558</v>
      </c>
    </row>
    <row r="194" spans="1:6" hidden="1" x14ac:dyDescent="0.25">
      <c r="A194">
        <v>5</v>
      </c>
      <c r="B194" s="77">
        <v>44953</v>
      </c>
      <c r="C194" t="s">
        <v>168</v>
      </c>
      <c r="D194" t="s">
        <v>258</v>
      </c>
      <c r="E194" s="78">
        <v>-3160</v>
      </c>
      <c r="F194">
        <v>104156</v>
      </c>
    </row>
    <row r="195" spans="1:6" hidden="1" x14ac:dyDescent="0.25">
      <c r="A195">
        <v>45</v>
      </c>
      <c r="B195" s="77">
        <v>44935</v>
      </c>
      <c r="C195" t="s">
        <v>168</v>
      </c>
      <c r="D195" t="s">
        <v>248</v>
      </c>
      <c r="E195" s="78">
        <v>-3990</v>
      </c>
      <c r="F195">
        <v>25141</v>
      </c>
    </row>
    <row r="196" spans="1:6" hidden="1" x14ac:dyDescent="0.25">
      <c r="A196">
        <v>24</v>
      </c>
      <c r="B196" s="77">
        <v>44943</v>
      </c>
      <c r="C196" t="s">
        <v>168</v>
      </c>
      <c r="D196" t="s">
        <v>264</v>
      </c>
      <c r="E196" s="78">
        <v>-4200</v>
      </c>
      <c r="F196">
        <v>809569</v>
      </c>
    </row>
    <row r="197" spans="1:6" hidden="1" x14ac:dyDescent="0.25">
      <c r="A197">
        <v>55</v>
      </c>
      <c r="B197" s="77">
        <v>44930</v>
      </c>
      <c r="C197" t="s">
        <v>168</v>
      </c>
      <c r="D197" t="s">
        <v>254</v>
      </c>
      <c r="E197" s="78">
        <v>-5738.14</v>
      </c>
      <c r="F197">
        <v>833536</v>
      </c>
    </row>
    <row r="198" spans="1:6" hidden="1" x14ac:dyDescent="0.25">
      <c r="A198">
        <v>30</v>
      </c>
      <c r="B198" s="77">
        <v>44942</v>
      </c>
      <c r="C198" t="s">
        <v>168</v>
      </c>
      <c r="D198" t="s">
        <v>238</v>
      </c>
      <c r="E198" s="78">
        <v>-5839</v>
      </c>
      <c r="F198">
        <v>23304</v>
      </c>
    </row>
    <row r="199" spans="1:6" hidden="1" x14ac:dyDescent="0.25">
      <c r="A199">
        <v>7</v>
      </c>
      <c r="B199" s="77">
        <v>44953</v>
      </c>
      <c r="C199" t="s">
        <v>174</v>
      </c>
      <c r="D199" t="s">
        <v>272</v>
      </c>
      <c r="E199" s="78">
        <v>-6000</v>
      </c>
      <c r="F199">
        <v>420763</v>
      </c>
    </row>
    <row r="200" spans="1:6" hidden="1" x14ac:dyDescent="0.25">
      <c r="A200">
        <v>42</v>
      </c>
      <c r="B200" s="77">
        <v>44936</v>
      </c>
      <c r="C200" t="s">
        <v>174</v>
      </c>
      <c r="D200" t="s">
        <v>272</v>
      </c>
      <c r="E200" s="78">
        <v>-6000</v>
      </c>
      <c r="F200">
        <v>268533</v>
      </c>
    </row>
    <row r="201" spans="1:6" hidden="1" x14ac:dyDescent="0.25">
      <c r="A201">
        <v>60</v>
      </c>
      <c r="B201" s="77">
        <v>44929</v>
      </c>
      <c r="C201" t="s">
        <v>168</v>
      </c>
      <c r="D201" t="s">
        <v>254</v>
      </c>
      <c r="E201" s="78">
        <v>-6267.17</v>
      </c>
      <c r="F201">
        <v>539917</v>
      </c>
    </row>
    <row r="202" spans="1:6" hidden="1" x14ac:dyDescent="0.25">
      <c r="A202">
        <v>23</v>
      </c>
      <c r="B202" s="77">
        <v>44944</v>
      </c>
      <c r="C202" t="s">
        <v>185</v>
      </c>
      <c r="D202" t="s">
        <v>186</v>
      </c>
      <c r="E202" s="78">
        <v>-10000</v>
      </c>
      <c r="F202">
        <v>5479</v>
      </c>
    </row>
    <row r="203" spans="1:6" hidden="1" x14ac:dyDescent="0.25">
      <c r="A203">
        <v>57</v>
      </c>
      <c r="B203" s="77">
        <v>44929</v>
      </c>
      <c r="C203" t="s">
        <v>236</v>
      </c>
      <c r="D203" t="s">
        <v>237</v>
      </c>
      <c r="E203" s="78">
        <v>-15007</v>
      </c>
      <c r="F203">
        <v>660959</v>
      </c>
    </row>
    <row r="204" spans="1:6" hidden="1" x14ac:dyDescent="0.25">
      <c r="A204">
        <v>58</v>
      </c>
      <c r="B204" s="77">
        <v>44929</v>
      </c>
      <c r="C204" t="s">
        <v>168</v>
      </c>
      <c r="D204" t="s">
        <v>176</v>
      </c>
      <c r="E204" s="78">
        <v>-15428.1</v>
      </c>
      <c r="F204">
        <v>559189</v>
      </c>
    </row>
    <row r="205" spans="1:6" hidden="1" x14ac:dyDescent="0.25">
      <c r="A205">
        <v>46</v>
      </c>
      <c r="B205" s="77">
        <v>44935</v>
      </c>
      <c r="C205" t="s">
        <v>168</v>
      </c>
      <c r="D205" t="s">
        <v>248</v>
      </c>
      <c r="E205" s="78">
        <v>-20500</v>
      </c>
      <c r="F205">
        <v>80730</v>
      </c>
    </row>
    <row r="206" spans="1:6" hidden="1" x14ac:dyDescent="0.25">
      <c r="A206">
        <v>25</v>
      </c>
      <c r="B206" s="77">
        <v>44943</v>
      </c>
      <c r="C206" t="s">
        <v>168</v>
      </c>
      <c r="D206" t="s">
        <v>218</v>
      </c>
      <c r="E206" s="78">
        <v>-42877.3</v>
      </c>
      <c r="F206">
        <v>55983</v>
      </c>
    </row>
    <row r="207" spans="1:6" hidden="1" x14ac:dyDescent="0.25">
      <c r="A207">
        <v>62</v>
      </c>
      <c r="B207" s="77">
        <v>44928</v>
      </c>
      <c r="C207" t="s">
        <v>180</v>
      </c>
      <c r="D207" t="s">
        <v>181</v>
      </c>
      <c r="E207" s="78">
        <v>-70193.279999999999</v>
      </c>
      <c r="F207">
        <v>400815</v>
      </c>
    </row>
    <row r="208" spans="1:6" hidden="1" x14ac:dyDescent="0.25">
      <c r="A208">
        <v>56</v>
      </c>
      <c r="B208" s="77">
        <v>44930</v>
      </c>
      <c r="C208" t="s">
        <v>178</v>
      </c>
      <c r="D208" t="s">
        <v>179</v>
      </c>
      <c r="E208" s="78">
        <v>-119932.09</v>
      </c>
      <c r="F208">
        <v>230103</v>
      </c>
    </row>
    <row r="209" spans="1:6" hidden="1" x14ac:dyDescent="0.25">
      <c r="A209">
        <v>62</v>
      </c>
      <c r="B209" s="77">
        <v>44960</v>
      </c>
      <c r="C209" t="s">
        <v>182</v>
      </c>
      <c r="D209" t="s">
        <v>183</v>
      </c>
      <c r="E209" s="78">
        <v>82673</v>
      </c>
      <c r="F209">
        <v>0</v>
      </c>
    </row>
    <row r="210" spans="1:6" hidden="1" x14ac:dyDescent="0.25">
      <c r="A210">
        <v>15</v>
      </c>
      <c r="B210" s="77">
        <v>44981</v>
      </c>
      <c r="C210" t="s">
        <v>182</v>
      </c>
      <c r="D210" t="s">
        <v>183</v>
      </c>
      <c r="E210" s="78">
        <v>14261</v>
      </c>
      <c r="F210">
        <v>0</v>
      </c>
    </row>
    <row r="211" spans="1:6" hidden="1" x14ac:dyDescent="0.25">
      <c r="A211">
        <v>25</v>
      </c>
      <c r="B211" s="77">
        <v>44974</v>
      </c>
      <c r="C211" t="s">
        <v>182</v>
      </c>
      <c r="D211" t="s">
        <v>183</v>
      </c>
      <c r="E211" s="78">
        <v>22818</v>
      </c>
      <c r="F211">
        <v>0</v>
      </c>
    </row>
    <row r="212" spans="1:6" hidden="1" x14ac:dyDescent="0.25">
      <c r="A212">
        <v>58</v>
      </c>
      <c r="B212" s="77">
        <v>44963</v>
      </c>
      <c r="C212" t="s">
        <v>182</v>
      </c>
      <c r="D212" t="s">
        <v>183</v>
      </c>
      <c r="E212" s="78">
        <v>338576.37</v>
      </c>
      <c r="F212">
        <v>0</v>
      </c>
    </row>
    <row r="213" spans="1:6" hidden="1" x14ac:dyDescent="0.25">
      <c r="A213">
        <v>2</v>
      </c>
      <c r="B213" s="77">
        <v>44984</v>
      </c>
      <c r="C213" t="s">
        <v>234</v>
      </c>
      <c r="D213" t="s">
        <v>214</v>
      </c>
      <c r="E213" s="78">
        <v>2000</v>
      </c>
      <c r="F213">
        <v>524639</v>
      </c>
    </row>
    <row r="214" spans="1:6" hidden="1" x14ac:dyDescent="0.25">
      <c r="A214">
        <v>56</v>
      </c>
      <c r="B214" s="77">
        <v>44963</v>
      </c>
      <c r="C214" t="s">
        <v>168</v>
      </c>
      <c r="D214" t="s">
        <v>275</v>
      </c>
      <c r="E214" s="78">
        <v>-1118</v>
      </c>
      <c r="F214">
        <v>129887</v>
      </c>
    </row>
    <row r="215" spans="1:6" hidden="1" x14ac:dyDescent="0.25">
      <c r="A215">
        <v>28</v>
      </c>
      <c r="B215" s="77">
        <v>44972</v>
      </c>
      <c r="C215" t="s">
        <v>168</v>
      </c>
      <c r="D215" t="s">
        <v>237</v>
      </c>
      <c r="E215" s="78">
        <v>-217.99</v>
      </c>
      <c r="F215">
        <v>499470</v>
      </c>
    </row>
    <row r="216" spans="1:6" hidden="1" x14ac:dyDescent="0.25">
      <c r="A216">
        <v>29</v>
      </c>
      <c r="B216" s="77">
        <v>44972</v>
      </c>
      <c r="C216" t="s">
        <v>168</v>
      </c>
      <c r="D216" t="s">
        <v>276</v>
      </c>
      <c r="E216" s="78">
        <v>-1500</v>
      </c>
      <c r="F216">
        <v>995807</v>
      </c>
    </row>
    <row r="217" spans="1:6" hidden="1" x14ac:dyDescent="0.25">
      <c r="A217">
        <v>32</v>
      </c>
      <c r="B217" s="77">
        <v>44971</v>
      </c>
      <c r="C217" t="s">
        <v>168</v>
      </c>
      <c r="D217" t="s">
        <v>237</v>
      </c>
      <c r="E217" s="78">
        <v>-747.74</v>
      </c>
      <c r="F217">
        <v>177935</v>
      </c>
    </row>
    <row r="218" spans="1:6" hidden="1" x14ac:dyDescent="0.25">
      <c r="A218">
        <v>35</v>
      </c>
      <c r="B218" s="77">
        <v>44970</v>
      </c>
      <c r="C218" t="s">
        <v>168</v>
      </c>
      <c r="D218" t="s">
        <v>254</v>
      </c>
      <c r="E218" s="78">
        <v>-6074.19</v>
      </c>
      <c r="F218">
        <v>915917</v>
      </c>
    </row>
    <row r="219" spans="1:6" hidden="1" x14ac:dyDescent="0.25">
      <c r="A219">
        <v>37</v>
      </c>
      <c r="B219" s="77">
        <v>44970</v>
      </c>
      <c r="C219" t="s">
        <v>168</v>
      </c>
      <c r="D219" t="s">
        <v>237</v>
      </c>
      <c r="E219" s="78">
        <v>-536.30999999999995</v>
      </c>
      <c r="F219">
        <v>655736</v>
      </c>
    </row>
    <row r="220" spans="1:6" hidden="1" x14ac:dyDescent="0.25">
      <c r="A220">
        <v>38</v>
      </c>
      <c r="B220" s="77">
        <v>44970</v>
      </c>
      <c r="C220" t="s">
        <v>168</v>
      </c>
      <c r="D220" t="s">
        <v>277</v>
      </c>
      <c r="E220" s="78">
        <v>-250</v>
      </c>
      <c r="F220">
        <v>44723</v>
      </c>
    </row>
    <row r="221" spans="1:6" hidden="1" x14ac:dyDescent="0.25">
      <c r="A221">
        <v>67</v>
      </c>
      <c r="B221" s="77">
        <v>44958</v>
      </c>
      <c r="C221" t="s">
        <v>168</v>
      </c>
      <c r="D221" t="s">
        <v>173</v>
      </c>
      <c r="E221" s="78">
        <v>-2873.61</v>
      </c>
      <c r="F221">
        <v>156809</v>
      </c>
    </row>
    <row r="222" spans="1:6" hidden="1" x14ac:dyDescent="0.25">
      <c r="A222">
        <v>43</v>
      </c>
      <c r="B222" s="77">
        <v>44967</v>
      </c>
      <c r="C222" t="s">
        <v>168</v>
      </c>
      <c r="D222" t="s">
        <v>170</v>
      </c>
      <c r="E222" s="78">
        <v>-1455</v>
      </c>
      <c r="F222">
        <v>54061</v>
      </c>
    </row>
    <row r="223" spans="1:6" hidden="1" x14ac:dyDescent="0.25">
      <c r="A223">
        <v>44</v>
      </c>
      <c r="B223" s="77">
        <v>44967</v>
      </c>
      <c r="C223" t="s">
        <v>168</v>
      </c>
      <c r="D223" t="s">
        <v>170</v>
      </c>
      <c r="E223" s="78">
        <v>-14.7</v>
      </c>
      <c r="F223">
        <v>54060</v>
      </c>
    </row>
    <row r="224" spans="1:6" hidden="1" x14ac:dyDescent="0.25">
      <c r="A224">
        <v>27</v>
      </c>
      <c r="B224" s="77">
        <v>44972</v>
      </c>
      <c r="C224" t="s">
        <v>168</v>
      </c>
      <c r="D224" t="s">
        <v>237</v>
      </c>
      <c r="E224" s="78">
        <v>-217.99</v>
      </c>
      <c r="F224">
        <v>538723</v>
      </c>
    </row>
    <row r="225" spans="1:6" hidden="1" x14ac:dyDescent="0.25">
      <c r="A225">
        <v>47</v>
      </c>
      <c r="B225" s="77">
        <v>44967</v>
      </c>
      <c r="C225" t="s">
        <v>168</v>
      </c>
      <c r="D225" t="s">
        <v>208</v>
      </c>
      <c r="E225" s="78">
        <v>-3330</v>
      </c>
      <c r="F225">
        <v>419174</v>
      </c>
    </row>
    <row r="226" spans="1:6" hidden="1" x14ac:dyDescent="0.25">
      <c r="A226">
        <v>49</v>
      </c>
      <c r="B226" s="77">
        <v>44966</v>
      </c>
      <c r="C226" t="s">
        <v>168</v>
      </c>
      <c r="D226" t="s">
        <v>254</v>
      </c>
      <c r="E226" s="78">
        <v>-2192.8000000000002</v>
      </c>
      <c r="F226">
        <v>487625</v>
      </c>
    </row>
    <row r="227" spans="1:6" hidden="1" x14ac:dyDescent="0.25">
      <c r="A227">
        <v>50</v>
      </c>
      <c r="B227" s="77">
        <v>44965</v>
      </c>
      <c r="C227" t="s">
        <v>168</v>
      </c>
      <c r="D227" t="s">
        <v>218</v>
      </c>
      <c r="E227" s="78">
        <v>-1976.94</v>
      </c>
      <c r="F227">
        <v>56527</v>
      </c>
    </row>
    <row r="228" spans="1:6" hidden="1" x14ac:dyDescent="0.25">
      <c r="A228">
        <v>51</v>
      </c>
      <c r="B228" s="77">
        <v>44965</v>
      </c>
      <c r="C228" t="s">
        <v>168</v>
      </c>
      <c r="D228" t="s">
        <v>254</v>
      </c>
      <c r="E228" s="78">
        <v>-26068.560000000001</v>
      </c>
      <c r="F228">
        <v>901973</v>
      </c>
    </row>
    <row r="229" spans="1:6" hidden="1" x14ac:dyDescent="0.25">
      <c r="A229">
        <v>66</v>
      </c>
      <c r="B229" s="77">
        <v>44958</v>
      </c>
      <c r="C229" t="s">
        <v>168</v>
      </c>
      <c r="D229" t="s">
        <v>184</v>
      </c>
      <c r="E229" s="78">
        <v>-3500</v>
      </c>
      <c r="F229">
        <v>835279</v>
      </c>
    </row>
    <row r="230" spans="1:6" hidden="1" x14ac:dyDescent="0.25">
      <c r="A230">
        <v>53</v>
      </c>
      <c r="B230" s="77">
        <v>44964</v>
      </c>
      <c r="C230" t="s">
        <v>168</v>
      </c>
      <c r="D230" t="s">
        <v>278</v>
      </c>
      <c r="E230" s="78">
        <v>-2000</v>
      </c>
      <c r="F230">
        <v>92762</v>
      </c>
    </row>
    <row r="231" spans="1:6" hidden="1" x14ac:dyDescent="0.25">
      <c r="A231">
        <v>54</v>
      </c>
      <c r="B231" s="77">
        <v>44964</v>
      </c>
      <c r="C231" t="s">
        <v>168</v>
      </c>
      <c r="D231" t="s">
        <v>246</v>
      </c>
      <c r="E231" s="78">
        <v>-1120</v>
      </c>
      <c r="F231">
        <v>869150</v>
      </c>
    </row>
    <row r="232" spans="1:6" hidden="1" x14ac:dyDescent="0.25">
      <c r="A232">
        <v>55</v>
      </c>
      <c r="B232" s="77">
        <v>44963</v>
      </c>
      <c r="C232" t="s">
        <v>168</v>
      </c>
      <c r="D232" t="s">
        <v>202</v>
      </c>
      <c r="E232" s="78">
        <v>-462.1</v>
      </c>
      <c r="F232">
        <v>407053</v>
      </c>
    </row>
    <row r="233" spans="1:6" hidden="1" x14ac:dyDescent="0.25">
      <c r="A233">
        <v>45</v>
      </c>
      <c r="B233" s="77">
        <v>44967</v>
      </c>
      <c r="C233" t="s">
        <v>168</v>
      </c>
      <c r="D233" t="s">
        <v>213</v>
      </c>
      <c r="E233" s="78">
        <v>-4328.25</v>
      </c>
      <c r="F233">
        <v>459376</v>
      </c>
    </row>
    <row r="234" spans="1:6" hidden="1" x14ac:dyDescent="0.25">
      <c r="A234">
        <v>46</v>
      </c>
      <c r="B234" s="77">
        <v>44967</v>
      </c>
      <c r="C234" t="s">
        <v>168</v>
      </c>
      <c r="D234" t="s">
        <v>198</v>
      </c>
      <c r="E234" s="78">
        <v>-250</v>
      </c>
      <c r="F234">
        <v>67144</v>
      </c>
    </row>
    <row r="235" spans="1:6" hidden="1" x14ac:dyDescent="0.25">
      <c r="A235">
        <v>36</v>
      </c>
      <c r="B235" s="77">
        <v>44970</v>
      </c>
      <c r="C235" t="s">
        <v>168</v>
      </c>
      <c r="D235" t="s">
        <v>279</v>
      </c>
      <c r="E235" s="78">
        <v>-1350</v>
      </c>
      <c r="F235">
        <v>17539</v>
      </c>
    </row>
    <row r="236" spans="1:6" hidden="1" x14ac:dyDescent="0.25">
      <c r="A236">
        <v>69</v>
      </c>
      <c r="B236" s="77">
        <v>44958</v>
      </c>
      <c r="C236" t="s">
        <v>168</v>
      </c>
      <c r="D236" t="s">
        <v>213</v>
      </c>
      <c r="E236" s="78">
        <v>-837.9</v>
      </c>
      <c r="F236">
        <v>645648</v>
      </c>
    </row>
    <row r="237" spans="1:6" hidden="1" x14ac:dyDescent="0.25">
      <c r="A237">
        <v>3</v>
      </c>
      <c r="B237" s="77">
        <v>44984</v>
      </c>
      <c r="C237" t="s">
        <v>168</v>
      </c>
      <c r="D237" t="s">
        <v>280</v>
      </c>
      <c r="E237" s="78">
        <v>-461.55</v>
      </c>
      <c r="F237">
        <v>494337</v>
      </c>
    </row>
    <row r="238" spans="1:6" hidden="1" x14ac:dyDescent="0.25">
      <c r="A238">
        <v>4</v>
      </c>
      <c r="B238" s="77">
        <v>44984</v>
      </c>
      <c r="C238" t="s">
        <v>168</v>
      </c>
      <c r="D238" t="s">
        <v>254</v>
      </c>
      <c r="E238" s="78">
        <v>-3876.79</v>
      </c>
      <c r="F238">
        <v>455845</v>
      </c>
    </row>
    <row r="239" spans="1:6" hidden="1" x14ac:dyDescent="0.25">
      <c r="A239">
        <v>5</v>
      </c>
      <c r="B239" s="77">
        <v>44984</v>
      </c>
      <c r="C239" t="s">
        <v>168</v>
      </c>
      <c r="D239" t="s">
        <v>202</v>
      </c>
      <c r="E239" s="78">
        <v>-2140.9699999999998</v>
      </c>
      <c r="F239">
        <v>301823</v>
      </c>
    </row>
    <row r="240" spans="1:6" hidden="1" x14ac:dyDescent="0.25">
      <c r="A240">
        <v>6</v>
      </c>
      <c r="B240" s="77">
        <v>44984</v>
      </c>
      <c r="C240" t="s">
        <v>168</v>
      </c>
      <c r="D240" t="s">
        <v>281</v>
      </c>
      <c r="E240" s="78">
        <v>-11050</v>
      </c>
      <c r="F240">
        <v>19380</v>
      </c>
    </row>
    <row r="241" spans="1:6" hidden="1" x14ac:dyDescent="0.25">
      <c r="A241">
        <v>7</v>
      </c>
      <c r="B241" s="77">
        <v>44984</v>
      </c>
      <c r="C241" t="s">
        <v>168</v>
      </c>
      <c r="D241" t="s">
        <v>218</v>
      </c>
      <c r="E241" s="78">
        <v>-9107.7999999999993</v>
      </c>
      <c r="F241">
        <v>56893</v>
      </c>
    </row>
    <row r="242" spans="1:6" hidden="1" x14ac:dyDescent="0.25">
      <c r="A242">
        <v>71</v>
      </c>
      <c r="B242" s="77">
        <v>44958</v>
      </c>
      <c r="C242" t="s">
        <v>168</v>
      </c>
      <c r="D242" t="s">
        <v>169</v>
      </c>
      <c r="E242" s="78">
        <v>-1100</v>
      </c>
      <c r="F242">
        <v>339283</v>
      </c>
    </row>
    <row r="243" spans="1:6" hidden="1" x14ac:dyDescent="0.25">
      <c r="A243">
        <v>10</v>
      </c>
      <c r="B243" s="77">
        <v>44981</v>
      </c>
      <c r="C243" t="s">
        <v>168</v>
      </c>
      <c r="D243" t="s">
        <v>208</v>
      </c>
      <c r="E243" s="78">
        <v>-1570</v>
      </c>
      <c r="F243">
        <v>498484</v>
      </c>
    </row>
    <row r="244" spans="1:6" hidden="1" x14ac:dyDescent="0.25">
      <c r="A244">
        <v>11</v>
      </c>
      <c r="B244" s="77">
        <v>44981</v>
      </c>
      <c r="C244" t="s">
        <v>168</v>
      </c>
      <c r="D244" t="s">
        <v>208</v>
      </c>
      <c r="E244" s="78">
        <v>-2000</v>
      </c>
      <c r="F244">
        <v>216788</v>
      </c>
    </row>
    <row r="245" spans="1:6" hidden="1" x14ac:dyDescent="0.25">
      <c r="A245">
        <v>12</v>
      </c>
      <c r="B245" s="77">
        <v>44981</v>
      </c>
      <c r="C245" t="s">
        <v>168</v>
      </c>
      <c r="D245" t="s">
        <v>216</v>
      </c>
      <c r="E245" s="78">
        <v>-900</v>
      </c>
      <c r="F245">
        <v>69073</v>
      </c>
    </row>
    <row r="246" spans="1:6" hidden="1" x14ac:dyDescent="0.25">
      <c r="A246">
        <v>13</v>
      </c>
      <c r="B246" s="77">
        <v>44981</v>
      </c>
      <c r="C246" t="s">
        <v>168</v>
      </c>
      <c r="D246" t="s">
        <v>216</v>
      </c>
      <c r="E246" s="78">
        <v>-6390</v>
      </c>
      <c r="F246">
        <v>69072</v>
      </c>
    </row>
    <row r="247" spans="1:6" hidden="1" x14ac:dyDescent="0.25">
      <c r="A247">
        <v>26</v>
      </c>
      <c r="B247" s="77">
        <v>44973</v>
      </c>
      <c r="C247" t="s">
        <v>168</v>
      </c>
      <c r="D247" t="s">
        <v>239</v>
      </c>
      <c r="E247" s="78">
        <v>-3675</v>
      </c>
      <c r="F247">
        <v>26610</v>
      </c>
    </row>
    <row r="248" spans="1:6" hidden="1" x14ac:dyDescent="0.25">
      <c r="A248">
        <v>16</v>
      </c>
      <c r="B248" s="77">
        <v>44980</v>
      </c>
      <c r="C248" t="s">
        <v>168</v>
      </c>
      <c r="D248" t="s">
        <v>237</v>
      </c>
      <c r="E248" s="78">
        <v>-2588</v>
      </c>
      <c r="F248">
        <v>517475</v>
      </c>
    </row>
    <row r="249" spans="1:6" hidden="1" x14ac:dyDescent="0.25">
      <c r="A249">
        <v>17</v>
      </c>
      <c r="B249" s="77">
        <v>44980</v>
      </c>
      <c r="C249" t="s">
        <v>168</v>
      </c>
      <c r="D249" t="s">
        <v>173</v>
      </c>
      <c r="E249" s="78">
        <v>-4174.29</v>
      </c>
      <c r="F249">
        <v>572383</v>
      </c>
    </row>
    <row r="250" spans="1:6" hidden="1" x14ac:dyDescent="0.25">
      <c r="A250">
        <v>68</v>
      </c>
      <c r="B250" s="77">
        <v>44958</v>
      </c>
      <c r="C250" t="s">
        <v>168</v>
      </c>
      <c r="D250" t="s">
        <v>253</v>
      </c>
      <c r="E250" s="78">
        <v>-1930</v>
      </c>
      <c r="F250">
        <v>58647</v>
      </c>
    </row>
    <row r="251" spans="1:6" hidden="1" x14ac:dyDescent="0.25">
      <c r="A251">
        <v>21</v>
      </c>
      <c r="B251" s="77">
        <v>44979</v>
      </c>
      <c r="C251" t="s">
        <v>168</v>
      </c>
      <c r="D251" t="s">
        <v>201</v>
      </c>
      <c r="E251" s="78">
        <v>-1152</v>
      </c>
      <c r="F251">
        <v>58312</v>
      </c>
    </row>
    <row r="252" spans="1:6" hidden="1" x14ac:dyDescent="0.25">
      <c r="A252">
        <v>18</v>
      </c>
      <c r="B252" s="77">
        <v>44979</v>
      </c>
      <c r="C252" t="s">
        <v>168</v>
      </c>
      <c r="D252" t="s">
        <v>282</v>
      </c>
      <c r="E252" s="78">
        <v>-883.7</v>
      </c>
      <c r="F252">
        <v>120262</v>
      </c>
    </row>
    <row r="253" spans="1:6" hidden="1" x14ac:dyDescent="0.25">
      <c r="A253">
        <v>19</v>
      </c>
      <c r="B253" s="77">
        <v>44979</v>
      </c>
      <c r="C253" t="s">
        <v>168</v>
      </c>
      <c r="D253" t="s">
        <v>283</v>
      </c>
      <c r="E253" s="78">
        <v>-1550</v>
      </c>
      <c r="F253">
        <v>399461</v>
      </c>
    </row>
    <row r="254" spans="1:6" hidden="1" x14ac:dyDescent="0.25">
      <c r="A254">
        <v>20</v>
      </c>
      <c r="B254" s="77">
        <v>44979</v>
      </c>
      <c r="C254" t="s">
        <v>168</v>
      </c>
      <c r="D254" t="s">
        <v>209</v>
      </c>
      <c r="E254" s="78">
        <v>-420</v>
      </c>
      <c r="F254">
        <v>50219</v>
      </c>
    </row>
    <row r="255" spans="1:6" hidden="1" x14ac:dyDescent="0.25">
      <c r="A255">
        <v>70</v>
      </c>
      <c r="B255" s="77">
        <v>44958</v>
      </c>
      <c r="C255" t="s">
        <v>168</v>
      </c>
      <c r="D255" t="s">
        <v>198</v>
      </c>
      <c r="E255" s="78">
        <v>-4610</v>
      </c>
      <c r="F255">
        <v>66722</v>
      </c>
    </row>
    <row r="256" spans="1:6" hidden="1" x14ac:dyDescent="0.25">
      <c r="A256">
        <v>22</v>
      </c>
      <c r="B256" s="77">
        <v>44979</v>
      </c>
      <c r="C256" t="s">
        <v>168</v>
      </c>
      <c r="D256" t="s">
        <v>279</v>
      </c>
      <c r="E256" s="78">
        <v>-800</v>
      </c>
      <c r="F256">
        <v>75975</v>
      </c>
    </row>
    <row r="257" spans="1:6" hidden="1" x14ac:dyDescent="0.25">
      <c r="A257">
        <v>57</v>
      </c>
      <c r="B257" s="77">
        <v>44963</v>
      </c>
      <c r="C257" t="s">
        <v>177</v>
      </c>
      <c r="D257" t="s">
        <v>284</v>
      </c>
      <c r="E257" s="78">
        <v>2000</v>
      </c>
      <c r="F257">
        <v>507303</v>
      </c>
    </row>
    <row r="258" spans="1:6" hidden="1" x14ac:dyDescent="0.25">
      <c r="A258">
        <v>33</v>
      </c>
      <c r="B258" s="77">
        <v>44971</v>
      </c>
      <c r="C258" t="s">
        <v>177</v>
      </c>
      <c r="D258" t="s">
        <v>206</v>
      </c>
      <c r="E258" s="78">
        <v>2798</v>
      </c>
      <c r="F258">
        <v>401330</v>
      </c>
    </row>
    <row r="259" spans="1:6" hidden="1" x14ac:dyDescent="0.25">
      <c r="A259">
        <v>8</v>
      </c>
      <c r="B259" s="77">
        <v>44984</v>
      </c>
      <c r="C259" t="s">
        <v>177</v>
      </c>
      <c r="D259" t="s">
        <v>206</v>
      </c>
      <c r="E259" s="78">
        <v>2000</v>
      </c>
      <c r="F259">
        <v>34722</v>
      </c>
    </row>
    <row r="260" spans="1:6" hidden="1" x14ac:dyDescent="0.25">
      <c r="A260">
        <v>61</v>
      </c>
      <c r="B260" s="77">
        <v>44960</v>
      </c>
      <c r="C260" t="s">
        <v>177</v>
      </c>
      <c r="D260" t="s">
        <v>206</v>
      </c>
      <c r="E260" s="78">
        <v>7000</v>
      </c>
      <c r="F260">
        <v>193965</v>
      </c>
    </row>
    <row r="261" spans="1:6" hidden="1" x14ac:dyDescent="0.25">
      <c r="A261">
        <v>59</v>
      </c>
      <c r="B261" s="77">
        <v>44963</v>
      </c>
      <c r="C261" t="s">
        <v>178</v>
      </c>
      <c r="D261" t="s">
        <v>179</v>
      </c>
      <c r="E261" s="78">
        <v>-281087.05</v>
      </c>
      <c r="F261">
        <v>230203</v>
      </c>
    </row>
    <row r="262" spans="1:6" hidden="1" x14ac:dyDescent="0.25">
      <c r="A262">
        <v>60</v>
      </c>
      <c r="B262" s="77">
        <v>44963</v>
      </c>
      <c r="C262" t="s">
        <v>207</v>
      </c>
      <c r="E262" s="78">
        <v>-500000</v>
      </c>
      <c r="F262">
        <v>5</v>
      </c>
    </row>
    <row r="263" spans="1:6" hidden="1" x14ac:dyDescent="0.25">
      <c r="A263">
        <v>14</v>
      </c>
      <c r="B263" s="77">
        <v>44981</v>
      </c>
      <c r="C263" t="s">
        <v>185</v>
      </c>
      <c r="D263" t="s">
        <v>186</v>
      </c>
      <c r="E263" s="78">
        <v>-13000</v>
      </c>
      <c r="F263">
        <v>1880</v>
      </c>
    </row>
    <row r="264" spans="1:6" hidden="1" x14ac:dyDescent="0.25">
      <c r="A264">
        <v>48</v>
      </c>
      <c r="B264" s="77">
        <v>44967</v>
      </c>
      <c r="C264" t="s">
        <v>185</v>
      </c>
      <c r="D264" t="s">
        <v>186</v>
      </c>
      <c r="E264" s="78">
        <v>-14000</v>
      </c>
      <c r="F264">
        <v>9835</v>
      </c>
    </row>
    <row r="265" spans="1:6" hidden="1" x14ac:dyDescent="0.25">
      <c r="A265">
        <v>72</v>
      </c>
      <c r="B265" s="77">
        <v>44958</v>
      </c>
      <c r="C265" t="s">
        <v>185</v>
      </c>
      <c r="D265" t="s">
        <v>186</v>
      </c>
      <c r="E265" s="78">
        <v>-14000</v>
      </c>
      <c r="F265">
        <v>7605</v>
      </c>
    </row>
    <row r="266" spans="1:6" hidden="1" x14ac:dyDescent="0.25">
      <c r="A266">
        <v>41</v>
      </c>
      <c r="B266" s="77">
        <v>44970</v>
      </c>
      <c r="C266" t="s">
        <v>285</v>
      </c>
      <c r="D266" t="s">
        <v>286</v>
      </c>
      <c r="E266" s="78">
        <v>-10000</v>
      </c>
      <c r="F266">
        <v>4526</v>
      </c>
    </row>
    <row r="267" spans="1:6" hidden="1" x14ac:dyDescent="0.25">
      <c r="A267">
        <v>34</v>
      </c>
      <c r="B267" s="77">
        <v>44971</v>
      </c>
      <c r="C267" t="s">
        <v>285</v>
      </c>
      <c r="D267" t="s">
        <v>287</v>
      </c>
      <c r="E267" s="78">
        <v>-15000</v>
      </c>
      <c r="F267">
        <v>9426</v>
      </c>
    </row>
    <row r="268" spans="1:6" hidden="1" x14ac:dyDescent="0.25">
      <c r="A268">
        <v>39</v>
      </c>
      <c r="B268" s="77">
        <v>44970</v>
      </c>
      <c r="C268" t="s">
        <v>285</v>
      </c>
      <c r="D268" t="s">
        <v>286</v>
      </c>
      <c r="E268" s="78">
        <v>-10000</v>
      </c>
      <c r="F268">
        <v>4528</v>
      </c>
    </row>
    <row r="269" spans="1:6" hidden="1" x14ac:dyDescent="0.25">
      <c r="A269">
        <v>30</v>
      </c>
      <c r="B269" s="77">
        <v>44972</v>
      </c>
      <c r="C269" t="s">
        <v>285</v>
      </c>
      <c r="D269" t="s">
        <v>288</v>
      </c>
      <c r="E269" s="78">
        <v>-10000</v>
      </c>
      <c r="F269">
        <v>384</v>
      </c>
    </row>
    <row r="270" spans="1:6" hidden="1" x14ac:dyDescent="0.25">
      <c r="A270">
        <v>40</v>
      </c>
      <c r="B270" s="77">
        <v>44970</v>
      </c>
      <c r="C270" t="s">
        <v>285</v>
      </c>
      <c r="D270" t="s">
        <v>286</v>
      </c>
      <c r="E270" s="78">
        <v>-10000</v>
      </c>
      <c r="F270">
        <v>4527</v>
      </c>
    </row>
    <row r="271" spans="1:6" hidden="1" x14ac:dyDescent="0.25">
      <c r="A271">
        <v>1</v>
      </c>
      <c r="B271" s="77">
        <v>44985</v>
      </c>
      <c r="C271" t="s">
        <v>172</v>
      </c>
      <c r="E271" s="78">
        <v>-437.54</v>
      </c>
      <c r="F271">
        <v>0</v>
      </c>
    </row>
    <row r="272" spans="1:6" hidden="1" x14ac:dyDescent="0.25">
      <c r="A272">
        <v>73</v>
      </c>
      <c r="B272" s="77">
        <v>44958</v>
      </c>
      <c r="C272" t="s">
        <v>187</v>
      </c>
      <c r="E272" s="78">
        <v>48.19</v>
      </c>
      <c r="F272">
        <v>0</v>
      </c>
    </row>
    <row r="273" spans="1:6" hidden="1" x14ac:dyDescent="0.25">
      <c r="A273">
        <v>0</v>
      </c>
      <c r="B273" s="77">
        <v>44985</v>
      </c>
      <c r="C273" t="s">
        <v>171</v>
      </c>
      <c r="E273" s="78">
        <v>-2083.5300000000002</v>
      </c>
      <c r="F273">
        <v>0</v>
      </c>
    </row>
    <row r="274" spans="1:6" hidden="1" x14ac:dyDescent="0.25">
      <c r="A274">
        <v>64</v>
      </c>
      <c r="B274" s="77">
        <v>44960</v>
      </c>
      <c r="C274" t="s">
        <v>175</v>
      </c>
      <c r="D274" t="s">
        <v>212</v>
      </c>
      <c r="E274" s="78">
        <v>-14661.46</v>
      </c>
      <c r="F274">
        <v>750282</v>
      </c>
    </row>
    <row r="275" spans="1:6" hidden="1" x14ac:dyDescent="0.25">
      <c r="A275">
        <v>65</v>
      </c>
      <c r="B275" s="77">
        <v>44959</v>
      </c>
      <c r="C275" t="s">
        <v>180</v>
      </c>
      <c r="D275" t="s">
        <v>181</v>
      </c>
      <c r="E275" s="78">
        <v>-45893.18</v>
      </c>
      <c r="F275">
        <v>503252</v>
      </c>
    </row>
    <row r="276" spans="1:6" hidden="1" x14ac:dyDescent="0.25">
      <c r="A276">
        <v>52</v>
      </c>
      <c r="B276" s="77">
        <v>44965</v>
      </c>
      <c r="C276" t="s">
        <v>174</v>
      </c>
      <c r="D276" t="s">
        <v>289</v>
      </c>
      <c r="E276" s="78">
        <v>-2040</v>
      </c>
      <c r="F276">
        <v>228580</v>
      </c>
    </row>
    <row r="277" spans="1:6" hidden="1" x14ac:dyDescent="0.25">
      <c r="A277">
        <v>42</v>
      </c>
      <c r="B277" s="77">
        <v>44970</v>
      </c>
      <c r="C277" t="s">
        <v>174</v>
      </c>
      <c r="D277" t="s">
        <v>290</v>
      </c>
      <c r="E277" s="78">
        <v>-36800</v>
      </c>
      <c r="F277">
        <v>526054</v>
      </c>
    </row>
    <row r="278" spans="1:6" hidden="1" x14ac:dyDescent="0.25">
      <c r="A278">
        <v>31</v>
      </c>
      <c r="B278" s="77">
        <v>44972</v>
      </c>
      <c r="C278" t="s">
        <v>174</v>
      </c>
      <c r="D278" t="s">
        <v>291</v>
      </c>
      <c r="E278" s="78">
        <v>-8500</v>
      </c>
      <c r="F278">
        <v>653558</v>
      </c>
    </row>
    <row r="279" spans="1:6" hidden="1" x14ac:dyDescent="0.25">
      <c r="A279">
        <v>24</v>
      </c>
      <c r="B279" s="77">
        <v>44979</v>
      </c>
      <c r="C279" t="s">
        <v>174</v>
      </c>
      <c r="D279" t="s">
        <v>210</v>
      </c>
      <c r="E279" s="78">
        <v>-4000</v>
      </c>
      <c r="F279">
        <v>901955</v>
      </c>
    </row>
    <row r="280" spans="1:6" hidden="1" x14ac:dyDescent="0.25">
      <c r="A280">
        <v>23</v>
      </c>
      <c r="B280" s="77">
        <v>44979</v>
      </c>
      <c r="C280" t="s">
        <v>174</v>
      </c>
      <c r="D280" t="s">
        <v>204</v>
      </c>
      <c r="E280" s="78">
        <v>-20000</v>
      </c>
      <c r="F280">
        <v>923248</v>
      </c>
    </row>
    <row r="281" spans="1:6" hidden="1" x14ac:dyDescent="0.25">
      <c r="A281">
        <v>9</v>
      </c>
      <c r="B281" s="77">
        <v>44984</v>
      </c>
      <c r="C281" t="s">
        <v>174</v>
      </c>
      <c r="D281" t="s">
        <v>292</v>
      </c>
      <c r="E281" s="78">
        <v>-2000</v>
      </c>
      <c r="F281">
        <v>112923</v>
      </c>
    </row>
    <row r="282" spans="1:6" hidden="1" x14ac:dyDescent="0.25">
      <c r="A282">
        <v>63</v>
      </c>
      <c r="B282" s="77">
        <v>44960</v>
      </c>
      <c r="C282" t="s">
        <v>174</v>
      </c>
      <c r="D282" t="s">
        <v>289</v>
      </c>
      <c r="E282" s="78">
        <v>-11500</v>
      </c>
      <c r="F282">
        <v>485149</v>
      </c>
    </row>
    <row r="283" spans="1:6" hidden="1" x14ac:dyDescent="0.25">
      <c r="A283">
        <v>36</v>
      </c>
      <c r="B283" s="77">
        <v>45002</v>
      </c>
      <c r="C283" t="s">
        <v>182</v>
      </c>
      <c r="D283" t="s">
        <v>183</v>
      </c>
      <c r="E283" s="78">
        <v>8557</v>
      </c>
      <c r="F283">
        <v>0</v>
      </c>
    </row>
    <row r="284" spans="1:6" hidden="1" x14ac:dyDescent="0.25">
      <c r="A284">
        <v>74</v>
      </c>
      <c r="B284" s="77">
        <v>44988</v>
      </c>
      <c r="C284" t="s">
        <v>182</v>
      </c>
      <c r="D284" t="s">
        <v>183</v>
      </c>
      <c r="E284" s="78">
        <v>2852</v>
      </c>
      <c r="F284">
        <v>0</v>
      </c>
    </row>
    <row r="285" spans="1:6" hidden="1" x14ac:dyDescent="0.25">
      <c r="A285">
        <v>67</v>
      </c>
      <c r="B285" s="77">
        <v>44991</v>
      </c>
      <c r="C285" t="s">
        <v>182</v>
      </c>
      <c r="D285" t="s">
        <v>183</v>
      </c>
      <c r="E285" s="78">
        <v>335293.31</v>
      </c>
      <c r="F285">
        <v>0</v>
      </c>
    </row>
    <row r="286" spans="1:6" hidden="1" x14ac:dyDescent="0.25">
      <c r="A286">
        <v>66</v>
      </c>
      <c r="B286" s="77">
        <v>44991</v>
      </c>
      <c r="C286" t="s">
        <v>182</v>
      </c>
      <c r="D286" t="s">
        <v>183</v>
      </c>
      <c r="E286" s="78">
        <v>21591.89</v>
      </c>
      <c r="F286">
        <v>0</v>
      </c>
    </row>
    <row r="287" spans="1:6" hidden="1" x14ac:dyDescent="0.25">
      <c r="A287">
        <v>11</v>
      </c>
      <c r="B287" s="77">
        <v>45012</v>
      </c>
      <c r="C287" t="s">
        <v>182</v>
      </c>
      <c r="D287" t="s">
        <v>183</v>
      </c>
      <c r="E287" s="78">
        <v>8557</v>
      </c>
      <c r="F287">
        <v>0</v>
      </c>
    </row>
    <row r="288" spans="1:6" hidden="1" x14ac:dyDescent="0.25">
      <c r="A288">
        <v>29</v>
      </c>
      <c r="B288" s="77">
        <v>45005</v>
      </c>
      <c r="C288" t="s">
        <v>182</v>
      </c>
      <c r="D288" t="s">
        <v>183</v>
      </c>
      <c r="E288" s="78">
        <v>1492603.35</v>
      </c>
      <c r="F288">
        <v>0</v>
      </c>
    </row>
    <row r="289" spans="1:6" hidden="1" x14ac:dyDescent="0.25">
      <c r="A289">
        <v>0</v>
      </c>
      <c r="B289" s="77">
        <v>45016</v>
      </c>
      <c r="C289" t="s">
        <v>168</v>
      </c>
      <c r="D289" t="s">
        <v>209</v>
      </c>
      <c r="E289" s="78">
        <v>-770</v>
      </c>
      <c r="F289">
        <v>93181</v>
      </c>
    </row>
    <row r="290" spans="1:6" hidden="1" x14ac:dyDescent="0.25">
      <c r="A290">
        <v>34</v>
      </c>
      <c r="B290" s="77">
        <v>45002</v>
      </c>
      <c r="C290" t="s">
        <v>168</v>
      </c>
      <c r="D290" t="s">
        <v>293</v>
      </c>
      <c r="E290" s="78">
        <v>-2500</v>
      </c>
      <c r="F290">
        <v>80213</v>
      </c>
    </row>
    <row r="291" spans="1:6" hidden="1" x14ac:dyDescent="0.25">
      <c r="A291">
        <v>37</v>
      </c>
      <c r="B291" s="77">
        <v>45001</v>
      </c>
      <c r="C291" t="s">
        <v>168</v>
      </c>
      <c r="D291" t="s">
        <v>294</v>
      </c>
      <c r="E291" s="78">
        <v>-4500</v>
      </c>
      <c r="F291">
        <v>16867</v>
      </c>
    </row>
    <row r="292" spans="1:6" hidden="1" x14ac:dyDescent="0.25">
      <c r="A292">
        <v>38</v>
      </c>
      <c r="B292" s="77">
        <v>45001</v>
      </c>
      <c r="C292" t="s">
        <v>168</v>
      </c>
      <c r="D292" t="s">
        <v>208</v>
      </c>
      <c r="E292" s="78">
        <v>-5320</v>
      </c>
      <c r="F292">
        <v>421428</v>
      </c>
    </row>
    <row r="293" spans="1:6" hidden="1" x14ac:dyDescent="0.25">
      <c r="A293">
        <v>41</v>
      </c>
      <c r="B293" s="77">
        <v>45000</v>
      </c>
      <c r="C293" t="s">
        <v>168</v>
      </c>
      <c r="D293" t="s">
        <v>295</v>
      </c>
      <c r="E293" s="78">
        <v>-11800</v>
      </c>
      <c r="F293">
        <v>357285</v>
      </c>
    </row>
    <row r="294" spans="1:6" hidden="1" x14ac:dyDescent="0.25">
      <c r="A294">
        <v>42</v>
      </c>
      <c r="B294" s="77">
        <v>45000</v>
      </c>
      <c r="C294" t="s">
        <v>168</v>
      </c>
      <c r="D294" t="s">
        <v>213</v>
      </c>
      <c r="E294" s="78">
        <v>-2926</v>
      </c>
      <c r="F294">
        <v>898812</v>
      </c>
    </row>
    <row r="295" spans="1:6" hidden="1" x14ac:dyDescent="0.25">
      <c r="A295">
        <v>43</v>
      </c>
      <c r="B295" s="77">
        <v>44998</v>
      </c>
      <c r="C295" t="s">
        <v>168</v>
      </c>
      <c r="D295" t="s">
        <v>296</v>
      </c>
      <c r="E295" s="78">
        <v>-1310</v>
      </c>
      <c r="F295">
        <v>75613</v>
      </c>
    </row>
    <row r="296" spans="1:6" hidden="1" x14ac:dyDescent="0.25">
      <c r="A296">
        <v>45</v>
      </c>
      <c r="B296" s="77">
        <v>44995</v>
      </c>
      <c r="C296" t="s">
        <v>168</v>
      </c>
      <c r="D296" t="s">
        <v>297</v>
      </c>
      <c r="E296" s="78">
        <v>-2290</v>
      </c>
      <c r="F296">
        <v>20563</v>
      </c>
    </row>
    <row r="297" spans="1:6" hidden="1" x14ac:dyDescent="0.25">
      <c r="A297">
        <v>50</v>
      </c>
      <c r="B297" s="77">
        <v>44994</v>
      </c>
      <c r="C297" t="s">
        <v>168</v>
      </c>
      <c r="D297" t="s">
        <v>198</v>
      </c>
      <c r="E297" s="78">
        <v>-850</v>
      </c>
      <c r="F297">
        <v>68513</v>
      </c>
    </row>
    <row r="298" spans="1:6" hidden="1" x14ac:dyDescent="0.25">
      <c r="A298">
        <v>51</v>
      </c>
      <c r="B298" s="77">
        <v>44994</v>
      </c>
      <c r="C298" t="s">
        <v>168</v>
      </c>
      <c r="D298" t="s">
        <v>298</v>
      </c>
      <c r="E298" s="78">
        <v>-5500</v>
      </c>
      <c r="F298">
        <v>128561</v>
      </c>
    </row>
    <row r="299" spans="1:6" hidden="1" x14ac:dyDescent="0.25">
      <c r="A299">
        <v>60</v>
      </c>
      <c r="B299" s="77">
        <v>44992</v>
      </c>
      <c r="C299" t="s">
        <v>168</v>
      </c>
      <c r="D299" t="s">
        <v>299</v>
      </c>
      <c r="E299" s="78">
        <v>-1670</v>
      </c>
      <c r="F299">
        <v>91941</v>
      </c>
    </row>
    <row r="300" spans="1:6" hidden="1" x14ac:dyDescent="0.25">
      <c r="A300">
        <v>59</v>
      </c>
      <c r="B300" s="77">
        <v>44992</v>
      </c>
      <c r="C300" t="s">
        <v>168</v>
      </c>
      <c r="D300" t="s">
        <v>297</v>
      </c>
      <c r="E300" s="78">
        <v>-1610</v>
      </c>
      <c r="F300">
        <v>58879</v>
      </c>
    </row>
    <row r="301" spans="1:6" hidden="1" x14ac:dyDescent="0.25">
      <c r="A301">
        <v>62</v>
      </c>
      <c r="B301" s="77">
        <v>44991</v>
      </c>
      <c r="C301" t="s">
        <v>168</v>
      </c>
      <c r="D301" t="s">
        <v>201</v>
      </c>
      <c r="E301" s="78">
        <v>-3044.25</v>
      </c>
      <c r="F301">
        <v>25534</v>
      </c>
    </row>
    <row r="302" spans="1:6" hidden="1" x14ac:dyDescent="0.25">
      <c r="A302">
        <v>63</v>
      </c>
      <c r="B302" s="77">
        <v>44991</v>
      </c>
      <c r="C302" t="s">
        <v>168</v>
      </c>
      <c r="D302" t="s">
        <v>208</v>
      </c>
      <c r="E302" s="78">
        <v>-950</v>
      </c>
      <c r="F302">
        <v>965551</v>
      </c>
    </row>
    <row r="303" spans="1:6" hidden="1" x14ac:dyDescent="0.25">
      <c r="A303">
        <v>70</v>
      </c>
      <c r="B303" s="77">
        <v>44988</v>
      </c>
      <c r="C303" t="s">
        <v>168</v>
      </c>
      <c r="D303" t="s">
        <v>300</v>
      </c>
      <c r="E303" s="78">
        <v>-1100</v>
      </c>
      <c r="F303">
        <v>350395</v>
      </c>
    </row>
    <row r="304" spans="1:6" hidden="1" x14ac:dyDescent="0.25">
      <c r="A304">
        <v>71</v>
      </c>
      <c r="B304" s="77">
        <v>44988</v>
      </c>
      <c r="C304" t="s">
        <v>168</v>
      </c>
      <c r="D304" t="s">
        <v>300</v>
      </c>
      <c r="E304" s="78">
        <v>-1000</v>
      </c>
      <c r="F304">
        <v>341815</v>
      </c>
    </row>
    <row r="305" spans="1:6" hidden="1" x14ac:dyDescent="0.25">
      <c r="A305">
        <v>72</v>
      </c>
      <c r="B305" s="77">
        <v>44988</v>
      </c>
      <c r="C305" t="s">
        <v>168</v>
      </c>
      <c r="D305" t="s">
        <v>238</v>
      </c>
      <c r="E305" s="78">
        <v>-700</v>
      </c>
      <c r="F305">
        <v>72514</v>
      </c>
    </row>
    <row r="306" spans="1:6" hidden="1" x14ac:dyDescent="0.25">
      <c r="A306">
        <v>73</v>
      </c>
      <c r="B306" s="77">
        <v>44988</v>
      </c>
      <c r="C306" t="s">
        <v>168</v>
      </c>
      <c r="D306" t="s">
        <v>301</v>
      </c>
      <c r="E306" s="78">
        <v>-480</v>
      </c>
      <c r="F306">
        <v>51607</v>
      </c>
    </row>
    <row r="307" spans="1:6" hidden="1" x14ac:dyDescent="0.25">
      <c r="A307">
        <v>75</v>
      </c>
      <c r="B307" s="77">
        <v>44987</v>
      </c>
      <c r="C307" t="s">
        <v>168</v>
      </c>
      <c r="D307" t="s">
        <v>208</v>
      </c>
      <c r="E307" s="78">
        <v>-1850</v>
      </c>
      <c r="F307">
        <v>707560</v>
      </c>
    </row>
    <row r="308" spans="1:6" hidden="1" x14ac:dyDescent="0.25">
      <c r="A308">
        <v>79</v>
      </c>
      <c r="B308" s="77">
        <v>44986</v>
      </c>
      <c r="C308" t="s">
        <v>168</v>
      </c>
      <c r="D308" t="s">
        <v>213</v>
      </c>
      <c r="E308" s="78">
        <v>-3539</v>
      </c>
      <c r="F308">
        <v>997525</v>
      </c>
    </row>
    <row r="309" spans="1:6" hidden="1" x14ac:dyDescent="0.25">
      <c r="A309">
        <v>56</v>
      </c>
      <c r="B309" s="77">
        <v>44993</v>
      </c>
      <c r="C309" t="s">
        <v>168</v>
      </c>
      <c r="D309" t="s">
        <v>302</v>
      </c>
      <c r="E309" s="78">
        <v>-1000</v>
      </c>
      <c r="F309">
        <v>66846</v>
      </c>
    </row>
    <row r="310" spans="1:6" hidden="1" x14ac:dyDescent="0.25">
      <c r="A310">
        <v>28</v>
      </c>
      <c r="B310" s="77">
        <v>45005</v>
      </c>
      <c r="C310" t="s">
        <v>168</v>
      </c>
      <c r="D310" t="s">
        <v>209</v>
      </c>
      <c r="E310" s="78">
        <v>-560</v>
      </c>
      <c r="F310">
        <v>92642</v>
      </c>
    </row>
    <row r="311" spans="1:6" hidden="1" x14ac:dyDescent="0.25">
      <c r="A311">
        <v>40</v>
      </c>
      <c r="B311" s="77">
        <v>45000</v>
      </c>
      <c r="C311" t="s">
        <v>168</v>
      </c>
      <c r="D311" t="s">
        <v>303</v>
      </c>
      <c r="E311" s="78">
        <v>-3394.07</v>
      </c>
      <c r="F311">
        <v>89559</v>
      </c>
    </row>
    <row r="312" spans="1:6" hidden="1" x14ac:dyDescent="0.25">
      <c r="A312">
        <v>26</v>
      </c>
      <c r="B312" s="77">
        <v>45005</v>
      </c>
      <c r="C312" t="s">
        <v>168</v>
      </c>
      <c r="D312" t="s">
        <v>198</v>
      </c>
      <c r="E312" s="78">
        <v>-970</v>
      </c>
      <c r="F312">
        <v>41287</v>
      </c>
    </row>
    <row r="313" spans="1:6" hidden="1" x14ac:dyDescent="0.25">
      <c r="A313">
        <v>10</v>
      </c>
      <c r="B313" s="77">
        <v>45012</v>
      </c>
      <c r="C313" t="s">
        <v>168</v>
      </c>
      <c r="D313" t="s">
        <v>198</v>
      </c>
      <c r="E313" s="78">
        <v>-630</v>
      </c>
      <c r="F313">
        <v>69250</v>
      </c>
    </row>
    <row r="314" spans="1:6" hidden="1" x14ac:dyDescent="0.25">
      <c r="A314">
        <v>7</v>
      </c>
      <c r="B314" s="77">
        <v>45012</v>
      </c>
      <c r="C314" t="s">
        <v>168</v>
      </c>
      <c r="D314" t="s">
        <v>263</v>
      </c>
      <c r="E314" s="78">
        <v>-2200</v>
      </c>
      <c r="F314">
        <v>72199</v>
      </c>
    </row>
    <row r="315" spans="1:6" hidden="1" x14ac:dyDescent="0.25">
      <c r="A315">
        <v>13</v>
      </c>
      <c r="B315" s="77">
        <v>45008</v>
      </c>
      <c r="C315" t="s">
        <v>168</v>
      </c>
      <c r="D315" t="s">
        <v>297</v>
      </c>
      <c r="E315" s="78">
        <v>-3130</v>
      </c>
      <c r="F315">
        <v>65881</v>
      </c>
    </row>
    <row r="316" spans="1:6" hidden="1" x14ac:dyDescent="0.25">
      <c r="A316">
        <v>14</v>
      </c>
      <c r="B316" s="77">
        <v>45007</v>
      </c>
      <c r="C316" t="s">
        <v>168</v>
      </c>
      <c r="D316" t="s">
        <v>304</v>
      </c>
      <c r="E316" s="78">
        <v>-900</v>
      </c>
      <c r="F316">
        <v>710499</v>
      </c>
    </row>
    <row r="317" spans="1:6" hidden="1" x14ac:dyDescent="0.25">
      <c r="A317">
        <v>15</v>
      </c>
      <c r="B317" s="77">
        <v>45007</v>
      </c>
      <c r="C317" t="s">
        <v>168</v>
      </c>
      <c r="D317" t="s">
        <v>305</v>
      </c>
      <c r="E317" s="78">
        <v>-1560</v>
      </c>
      <c r="F317">
        <v>572143</v>
      </c>
    </row>
    <row r="318" spans="1:6" hidden="1" x14ac:dyDescent="0.25">
      <c r="A318">
        <v>27</v>
      </c>
      <c r="B318" s="77">
        <v>45005</v>
      </c>
      <c r="C318" t="s">
        <v>168</v>
      </c>
      <c r="D318" t="s">
        <v>173</v>
      </c>
      <c r="E318" s="78">
        <v>-3263.9</v>
      </c>
      <c r="F318">
        <v>733879</v>
      </c>
    </row>
    <row r="319" spans="1:6" hidden="1" x14ac:dyDescent="0.25">
      <c r="A319">
        <v>16</v>
      </c>
      <c r="B319" s="77">
        <v>45007</v>
      </c>
      <c r="C319" t="s">
        <v>168</v>
      </c>
      <c r="D319" t="s">
        <v>306</v>
      </c>
      <c r="E319" s="78">
        <v>-2800</v>
      </c>
      <c r="F319">
        <v>525620</v>
      </c>
    </row>
    <row r="320" spans="1:6" hidden="1" x14ac:dyDescent="0.25">
      <c r="A320">
        <v>17</v>
      </c>
      <c r="B320" s="77">
        <v>45007</v>
      </c>
      <c r="C320" t="s">
        <v>168</v>
      </c>
      <c r="D320" t="s">
        <v>305</v>
      </c>
      <c r="E320" s="78">
        <v>-1560</v>
      </c>
      <c r="F320">
        <v>389138</v>
      </c>
    </row>
    <row r="321" spans="1:6" hidden="1" x14ac:dyDescent="0.25">
      <c r="A321">
        <v>9</v>
      </c>
      <c r="B321" s="77">
        <v>45012</v>
      </c>
      <c r="C321" t="s">
        <v>168</v>
      </c>
      <c r="D321" t="s">
        <v>201</v>
      </c>
      <c r="E321" s="78">
        <v>-2630</v>
      </c>
      <c r="F321">
        <v>59705</v>
      </c>
    </row>
    <row r="322" spans="1:6" hidden="1" x14ac:dyDescent="0.25">
      <c r="A322">
        <v>18</v>
      </c>
      <c r="B322" s="77">
        <v>45006</v>
      </c>
      <c r="C322" t="s">
        <v>168</v>
      </c>
      <c r="D322" t="s">
        <v>306</v>
      </c>
      <c r="E322" s="78">
        <v>-4200</v>
      </c>
      <c r="F322">
        <v>99381</v>
      </c>
    </row>
    <row r="323" spans="1:6" hidden="1" x14ac:dyDescent="0.25">
      <c r="A323">
        <v>19</v>
      </c>
      <c r="B323" s="77">
        <v>45006</v>
      </c>
      <c r="C323" t="s">
        <v>168</v>
      </c>
      <c r="D323" t="s">
        <v>307</v>
      </c>
      <c r="E323" s="78">
        <v>-6800</v>
      </c>
      <c r="F323">
        <v>12518</v>
      </c>
    </row>
    <row r="324" spans="1:6" hidden="1" x14ac:dyDescent="0.25">
      <c r="A324">
        <v>20</v>
      </c>
      <c r="B324" s="77">
        <v>45006</v>
      </c>
      <c r="C324" t="s">
        <v>168</v>
      </c>
      <c r="D324" t="s">
        <v>308</v>
      </c>
      <c r="E324" s="78">
        <v>-960</v>
      </c>
      <c r="F324">
        <v>13186</v>
      </c>
    </row>
    <row r="325" spans="1:6" hidden="1" x14ac:dyDescent="0.25">
      <c r="A325">
        <v>8</v>
      </c>
      <c r="B325" s="77">
        <v>45012</v>
      </c>
      <c r="C325" t="s">
        <v>168</v>
      </c>
      <c r="D325" t="s">
        <v>259</v>
      </c>
      <c r="E325" s="78">
        <v>-700</v>
      </c>
      <c r="F325">
        <v>104221</v>
      </c>
    </row>
    <row r="326" spans="1:6" hidden="1" x14ac:dyDescent="0.25">
      <c r="A326">
        <v>6</v>
      </c>
      <c r="B326" s="77">
        <v>45012</v>
      </c>
      <c r="C326" t="s">
        <v>168</v>
      </c>
      <c r="D326" t="s">
        <v>208</v>
      </c>
      <c r="E326" s="78">
        <v>-2040</v>
      </c>
      <c r="F326">
        <v>502736</v>
      </c>
    </row>
    <row r="327" spans="1:6" hidden="1" x14ac:dyDescent="0.25">
      <c r="A327">
        <v>25</v>
      </c>
      <c r="B327" s="77">
        <v>45005</v>
      </c>
      <c r="C327" t="s">
        <v>168</v>
      </c>
      <c r="D327" t="s">
        <v>220</v>
      </c>
      <c r="E327" s="78">
        <v>-1700</v>
      </c>
      <c r="F327">
        <v>68231</v>
      </c>
    </row>
    <row r="328" spans="1:6" hidden="1" x14ac:dyDescent="0.25">
      <c r="A328">
        <v>21</v>
      </c>
      <c r="B328" s="77">
        <v>45005</v>
      </c>
      <c r="C328" t="s">
        <v>168</v>
      </c>
      <c r="D328" t="s">
        <v>304</v>
      </c>
      <c r="E328" s="78">
        <v>-350</v>
      </c>
      <c r="F328">
        <v>824122</v>
      </c>
    </row>
    <row r="329" spans="1:6" hidden="1" x14ac:dyDescent="0.25">
      <c r="A329">
        <v>24</v>
      </c>
      <c r="B329" s="77">
        <v>45005</v>
      </c>
      <c r="C329" t="s">
        <v>168</v>
      </c>
      <c r="D329" t="s">
        <v>198</v>
      </c>
      <c r="E329" s="78">
        <v>-860</v>
      </c>
      <c r="F329">
        <v>41321</v>
      </c>
    </row>
    <row r="330" spans="1:6" hidden="1" x14ac:dyDescent="0.25">
      <c r="A330">
        <v>23</v>
      </c>
      <c r="B330" s="77">
        <v>45005</v>
      </c>
      <c r="C330" t="s">
        <v>168</v>
      </c>
      <c r="D330" t="s">
        <v>208</v>
      </c>
      <c r="E330" s="78">
        <v>-940</v>
      </c>
      <c r="F330">
        <v>566088</v>
      </c>
    </row>
    <row r="331" spans="1:6" hidden="1" x14ac:dyDescent="0.25">
      <c r="A331">
        <v>4</v>
      </c>
      <c r="B331" s="77">
        <v>45015</v>
      </c>
      <c r="C331" t="s">
        <v>168</v>
      </c>
      <c r="D331" t="s">
        <v>259</v>
      </c>
      <c r="E331" s="78">
        <v>-951.25</v>
      </c>
      <c r="F331">
        <v>104272</v>
      </c>
    </row>
    <row r="332" spans="1:6" hidden="1" x14ac:dyDescent="0.25">
      <c r="A332">
        <v>22</v>
      </c>
      <c r="B332" s="77">
        <v>45005</v>
      </c>
      <c r="C332" t="s">
        <v>168</v>
      </c>
      <c r="D332" t="s">
        <v>259</v>
      </c>
      <c r="E332" s="78">
        <v>-700</v>
      </c>
      <c r="F332">
        <v>104184</v>
      </c>
    </row>
    <row r="333" spans="1:6" hidden="1" x14ac:dyDescent="0.25">
      <c r="A333">
        <v>58</v>
      </c>
      <c r="B333" s="77">
        <v>44993</v>
      </c>
      <c r="C333" t="s">
        <v>199</v>
      </c>
      <c r="E333" s="78">
        <v>530821.92000000004</v>
      </c>
      <c r="F333">
        <v>470297</v>
      </c>
    </row>
    <row r="334" spans="1:6" hidden="1" x14ac:dyDescent="0.25">
      <c r="A334">
        <v>61</v>
      </c>
      <c r="B334" s="77">
        <v>44992</v>
      </c>
      <c r="C334" t="s">
        <v>177</v>
      </c>
      <c r="D334" t="s">
        <v>206</v>
      </c>
      <c r="E334" s="78">
        <v>7600</v>
      </c>
      <c r="F334">
        <v>389000</v>
      </c>
    </row>
    <row r="335" spans="1:6" hidden="1" x14ac:dyDescent="0.25">
      <c r="A335">
        <v>46</v>
      </c>
      <c r="B335" s="77">
        <v>44995</v>
      </c>
      <c r="C335" t="s">
        <v>177</v>
      </c>
      <c r="D335" t="s">
        <v>309</v>
      </c>
      <c r="E335" s="78">
        <v>855</v>
      </c>
      <c r="F335">
        <v>21551</v>
      </c>
    </row>
    <row r="336" spans="1:6" hidden="1" x14ac:dyDescent="0.25">
      <c r="A336">
        <v>44</v>
      </c>
      <c r="B336" s="77">
        <v>44998</v>
      </c>
      <c r="C336" t="s">
        <v>200</v>
      </c>
      <c r="D336" t="s">
        <v>310</v>
      </c>
      <c r="E336" s="78">
        <v>-15000</v>
      </c>
      <c r="F336">
        <v>425379</v>
      </c>
    </row>
    <row r="337" spans="1:6" hidden="1" x14ac:dyDescent="0.25">
      <c r="A337">
        <v>49</v>
      </c>
      <c r="B337" s="77">
        <v>44995</v>
      </c>
      <c r="C337" t="s">
        <v>178</v>
      </c>
      <c r="D337" t="s">
        <v>179</v>
      </c>
      <c r="E337" s="78">
        <v>-210264.08</v>
      </c>
      <c r="F337">
        <v>230309</v>
      </c>
    </row>
    <row r="338" spans="1:6" hidden="1" x14ac:dyDescent="0.25">
      <c r="A338">
        <v>33</v>
      </c>
      <c r="B338" s="77">
        <v>45005</v>
      </c>
      <c r="C338" t="s">
        <v>207</v>
      </c>
      <c r="E338" s="78">
        <v>-1000000</v>
      </c>
      <c r="F338">
        <v>1</v>
      </c>
    </row>
    <row r="339" spans="1:6" hidden="1" x14ac:dyDescent="0.25">
      <c r="A339">
        <v>52</v>
      </c>
      <c r="B339" s="77">
        <v>44994</v>
      </c>
      <c r="C339" t="s">
        <v>185</v>
      </c>
      <c r="D339" t="s">
        <v>186</v>
      </c>
      <c r="E339" s="78">
        <v>-20000</v>
      </c>
      <c r="F339">
        <v>4595</v>
      </c>
    </row>
    <row r="340" spans="1:6" hidden="1" x14ac:dyDescent="0.25">
      <c r="A340">
        <v>76</v>
      </c>
      <c r="B340" s="77">
        <v>44987</v>
      </c>
      <c r="C340" t="s">
        <v>185</v>
      </c>
      <c r="D340" t="s">
        <v>186</v>
      </c>
      <c r="E340" s="78">
        <v>-5000</v>
      </c>
      <c r="F340">
        <v>3070</v>
      </c>
    </row>
    <row r="341" spans="1:6" hidden="1" x14ac:dyDescent="0.25">
      <c r="A341">
        <v>1</v>
      </c>
      <c r="B341" s="77">
        <v>45016</v>
      </c>
      <c r="C341" t="s">
        <v>185</v>
      </c>
      <c r="D341" t="s">
        <v>186</v>
      </c>
      <c r="E341" s="78">
        <v>-10000</v>
      </c>
      <c r="F341">
        <v>9316</v>
      </c>
    </row>
    <row r="342" spans="1:6" hidden="1" x14ac:dyDescent="0.25">
      <c r="A342">
        <v>39</v>
      </c>
      <c r="B342" s="77">
        <v>45001</v>
      </c>
      <c r="C342" t="s">
        <v>285</v>
      </c>
      <c r="D342" t="s">
        <v>288</v>
      </c>
      <c r="E342" s="78">
        <v>-20000</v>
      </c>
      <c r="F342">
        <v>5314</v>
      </c>
    </row>
    <row r="343" spans="1:6" hidden="1" x14ac:dyDescent="0.25">
      <c r="A343">
        <v>53</v>
      </c>
      <c r="B343" s="77">
        <v>44994</v>
      </c>
      <c r="C343" t="s">
        <v>285</v>
      </c>
      <c r="D343" t="s">
        <v>311</v>
      </c>
      <c r="E343" s="78">
        <v>-100</v>
      </c>
      <c r="F343">
        <v>4954</v>
      </c>
    </row>
    <row r="344" spans="1:6" hidden="1" x14ac:dyDescent="0.25">
      <c r="A344">
        <v>57</v>
      </c>
      <c r="B344" s="77">
        <v>44993</v>
      </c>
      <c r="C344" t="s">
        <v>285</v>
      </c>
      <c r="D344" t="s">
        <v>288</v>
      </c>
      <c r="E344" s="78">
        <v>-1000</v>
      </c>
      <c r="F344">
        <v>948</v>
      </c>
    </row>
    <row r="345" spans="1:6" hidden="1" x14ac:dyDescent="0.25">
      <c r="A345">
        <v>47</v>
      </c>
      <c r="B345" s="77">
        <v>44995</v>
      </c>
      <c r="C345" t="s">
        <v>285</v>
      </c>
      <c r="D345" t="s">
        <v>288</v>
      </c>
      <c r="E345" s="78">
        <v>-20000</v>
      </c>
      <c r="F345">
        <v>4179</v>
      </c>
    </row>
    <row r="346" spans="1:6" hidden="1" x14ac:dyDescent="0.25">
      <c r="A346">
        <v>64</v>
      </c>
      <c r="B346" s="77">
        <v>44991</v>
      </c>
      <c r="C346" t="s">
        <v>285</v>
      </c>
      <c r="D346" t="s">
        <v>312</v>
      </c>
      <c r="E346" s="78">
        <v>-10000</v>
      </c>
      <c r="F346">
        <v>127</v>
      </c>
    </row>
    <row r="347" spans="1:6" hidden="1" x14ac:dyDescent="0.25">
      <c r="A347">
        <v>65</v>
      </c>
      <c r="B347" s="77">
        <v>44991</v>
      </c>
      <c r="C347" t="s">
        <v>285</v>
      </c>
      <c r="D347" t="s">
        <v>312</v>
      </c>
      <c r="E347" s="78">
        <v>-10000</v>
      </c>
      <c r="F347">
        <v>126</v>
      </c>
    </row>
    <row r="348" spans="1:6" hidden="1" x14ac:dyDescent="0.25">
      <c r="A348">
        <v>48</v>
      </c>
      <c r="B348" s="77">
        <v>44995</v>
      </c>
      <c r="C348" t="s">
        <v>285</v>
      </c>
      <c r="D348" t="s">
        <v>288</v>
      </c>
      <c r="E348" s="78">
        <v>-30000</v>
      </c>
      <c r="F348">
        <v>4178</v>
      </c>
    </row>
    <row r="349" spans="1:6" hidden="1" x14ac:dyDescent="0.25">
      <c r="A349">
        <v>54</v>
      </c>
      <c r="B349" s="77">
        <v>44994</v>
      </c>
      <c r="C349" t="s">
        <v>313</v>
      </c>
      <c r="E349" s="78">
        <v>-30000</v>
      </c>
      <c r="F349">
        <v>20</v>
      </c>
    </row>
    <row r="350" spans="1:6" hidden="1" x14ac:dyDescent="0.25">
      <c r="A350">
        <v>3</v>
      </c>
      <c r="B350" s="77">
        <v>45016</v>
      </c>
      <c r="C350" t="s">
        <v>172</v>
      </c>
      <c r="E350" s="78">
        <v>-494.42</v>
      </c>
      <c r="F350">
        <v>0</v>
      </c>
    </row>
    <row r="351" spans="1:6" hidden="1" x14ac:dyDescent="0.25">
      <c r="A351">
        <v>81</v>
      </c>
      <c r="B351" s="77">
        <v>44986</v>
      </c>
      <c r="C351" t="s">
        <v>187</v>
      </c>
      <c r="E351" s="78">
        <v>19.52</v>
      </c>
      <c r="F351">
        <v>0</v>
      </c>
    </row>
    <row r="352" spans="1:6" hidden="1" x14ac:dyDescent="0.25">
      <c r="A352">
        <v>2</v>
      </c>
      <c r="B352" s="77">
        <v>45016</v>
      </c>
      <c r="C352" t="s">
        <v>171</v>
      </c>
      <c r="E352" s="78">
        <v>-2354.39</v>
      </c>
      <c r="F352">
        <v>0</v>
      </c>
    </row>
    <row r="353" spans="1:6" hidden="1" x14ac:dyDescent="0.25">
      <c r="A353">
        <v>55</v>
      </c>
      <c r="B353" s="77">
        <v>44993</v>
      </c>
      <c r="C353" t="s">
        <v>180</v>
      </c>
      <c r="D353" t="s">
        <v>181</v>
      </c>
      <c r="E353" s="78">
        <v>-63386.65</v>
      </c>
      <c r="F353">
        <v>199749</v>
      </c>
    </row>
    <row r="354" spans="1:6" hidden="1" x14ac:dyDescent="0.25">
      <c r="A354">
        <v>77</v>
      </c>
      <c r="B354" s="77">
        <v>44987</v>
      </c>
      <c r="C354" t="s">
        <v>267</v>
      </c>
      <c r="D354" t="s">
        <v>197</v>
      </c>
      <c r="E354" s="78">
        <v>50000</v>
      </c>
      <c r="F354">
        <v>323704</v>
      </c>
    </row>
    <row r="355" spans="1:6" hidden="1" x14ac:dyDescent="0.25">
      <c r="A355">
        <v>69</v>
      </c>
      <c r="B355" s="77">
        <v>44991</v>
      </c>
      <c r="C355" t="s">
        <v>174</v>
      </c>
      <c r="D355" t="s">
        <v>314</v>
      </c>
      <c r="E355" s="78">
        <v>-20000</v>
      </c>
      <c r="F355">
        <v>609357</v>
      </c>
    </row>
    <row r="356" spans="1:6" hidden="1" x14ac:dyDescent="0.25">
      <c r="A356">
        <v>12</v>
      </c>
      <c r="B356" s="77">
        <v>45012</v>
      </c>
      <c r="C356" t="s">
        <v>174</v>
      </c>
      <c r="D356" t="s">
        <v>271</v>
      </c>
      <c r="E356" s="78">
        <v>-39000</v>
      </c>
      <c r="F356">
        <v>504802</v>
      </c>
    </row>
    <row r="357" spans="1:6" hidden="1" x14ac:dyDescent="0.25">
      <c r="A357">
        <v>80</v>
      </c>
      <c r="B357" s="77">
        <v>44986</v>
      </c>
      <c r="C357" t="s">
        <v>174</v>
      </c>
      <c r="D357" t="s">
        <v>315</v>
      </c>
      <c r="E357" s="78">
        <v>-7000</v>
      </c>
      <c r="F357">
        <v>236948</v>
      </c>
    </row>
    <row r="358" spans="1:6" hidden="1" x14ac:dyDescent="0.25">
      <c r="A358">
        <v>5</v>
      </c>
      <c r="B358" s="77">
        <v>45014</v>
      </c>
      <c r="C358" t="s">
        <v>174</v>
      </c>
      <c r="D358" t="s">
        <v>316</v>
      </c>
      <c r="E358" s="78">
        <v>-110000</v>
      </c>
      <c r="F358">
        <v>16333</v>
      </c>
    </row>
    <row r="359" spans="1:6" hidden="1" x14ac:dyDescent="0.25">
      <c r="A359">
        <v>32</v>
      </c>
      <c r="B359" s="77">
        <v>45005</v>
      </c>
      <c r="C359" t="s">
        <v>174</v>
      </c>
      <c r="D359" t="s">
        <v>317</v>
      </c>
      <c r="E359" s="78">
        <v>-15000</v>
      </c>
      <c r="F359">
        <v>510920</v>
      </c>
    </row>
    <row r="360" spans="1:6" hidden="1" x14ac:dyDescent="0.25">
      <c r="A360">
        <v>31</v>
      </c>
      <c r="B360" s="77">
        <v>45005</v>
      </c>
      <c r="C360" t="s">
        <v>174</v>
      </c>
      <c r="D360" t="s">
        <v>271</v>
      </c>
      <c r="E360" s="78">
        <v>-5000</v>
      </c>
      <c r="F360">
        <v>199359</v>
      </c>
    </row>
    <row r="361" spans="1:6" hidden="1" x14ac:dyDescent="0.25">
      <c r="A361">
        <v>78</v>
      </c>
      <c r="B361" s="77">
        <v>44987</v>
      </c>
      <c r="C361" t="s">
        <v>174</v>
      </c>
      <c r="D361" t="s">
        <v>314</v>
      </c>
      <c r="E361" s="78">
        <v>-60000</v>
      </c>
      <c r="F361">
        <v>344327</v>
      </c>
    </row>
    <row r="362" spans="1:6" hidden="1" x14ac:dyDescent="0.25">
      <c r="A362">
        <v>30</v>
      </c>
      <c r="B362" s="77">
        <v>45005</v>
      </c>
      <c r="C362" t="s">
        <v>174</v>
      </c>
      <c r="D362" t="s">
        <v>271</v>
      </c>
      <c r="E362" s="78">
        <v>-15000</v>
      </c>
      <c r="F362">
        <v>544544</v>
      </c>
    </row>
    <row r="363" spans="1:6" hidden="1" x14ac:dyDescent="0.25">
      <c r="A363">
        <v>68</v>
      </c>
      <c r="B363" s="77">
        <v>44991</v>
      </c>
      <c r="C363" t="s">
        <v>174</v>
      </c>
      <c r="D363" t="s">
        <v>197</v>
      </c>
      <c r="E363" s="78">
        <v>-38000</v>
      </c>
      <c r="F363">
        <v>605751</v>
      </c>
    </row>
    <row r="364" spans="1:6" hidden="1" x14ac:dyDescent="0.25">
      <c r="A364">
        <v>35</v>
      </c>
      <c r="B364" s="77">
        <v>45002</v>
      </c>
      <c r="C364" t="s">
        <v>318</v>
      </c>
      <c r="D364" t="s">
        <v>319</v>
      </c>
      <c r="E364" s="78">
        <v>180587.63</v>
      </c>
      <c r="F364">
        <v>2959873</v>
      </c>
    </row>
    <row r="365" spans="1:6" hidden="1" x14ac:dyDescent="0.25">
      <c r="A365">
        <v>69</v>
      </c>
      <c r="B365" s="77">
        <v>45079</v>
      </c>
      <c r="C365" t="s">
        <v>182</v>
      </c>
      <c r="D365" t="s">
        <v>183</v>
      </c>
      <c r="E365" s="78">
        <v>25257</v>
      </c>
      <c r="F365">
        <v>0</v>
      </c>
    </row>
    <row r="366" spans="1:6" hidden="1" x14ac:dyDescent="0.25">
      <c r="A366">
        <v>59</v>
      </c>
      <c r="B366" s="77">
        <v>45083</v>
      </c>
      <c r="C366" t="s">
        <v>182</v>
      </c>
      <c r="D366" t="s">
        <v>183</v>
      </c>
      <c r="E366" s="78">
        <v>380427.06</v>
      </c>
      <c r="F366">
        <v>0</v>
      </c>
    </row>
    <row r="367" spans="1:6" hidden="1" x14ac:dyDescent="0.25">
      <c r="A367">
        <v>40</v>
      </c>
      <c r="B367" s="77">
        <v>45086</v>
      </c>
      <c r="C367" t="s">
        <v>182</v>
      </c>
      <c r="D367" t="s">
        <v>183</v>
      </c>
      <c r="E367" s="78">
        <v>13312</v>
      </c>
      <c r="F367">
        <v>0</v>
      </c>
    </row>
    <row r="368" spans="1:6" hidden="1" x14ac:dyDescent="0.25">
      <c r="A368">
        <v>0</v>
      </c>
      <c r="B368" s="77">
        <v>45107</v>
      </c>
      <c r="C368" t="s">
        <v>168</v>
      </c>
      <c r="E368" s="78">
        <v>-600</v>
      </c>
      <c r="F368">
        <v>69176</v>
      </c>
    </row>
    <row r="369" spans="1:6" hidden="1" x14ac:dyDescent="0.25">
      <c r="A369">
        <v>26</v>
      </c>
      <c r="B369" s="77">
        <v>45090</v>
      </c>
      <c r="C369" t="s">
        <v>168</v>
      </c>
      <c r="D369" t="s">
        <v>220</v>
      </c>
      <c r="E369" s="78">
        <v>-1700</v>
      </c>
      <c r="F369">
        <v>71337</v>
      </c>
    </row>
    <row r="370" spans="1:6" hidden="1" x14ac:dyDescent="0.25">
      <c r="A370">
        <v>27</v>
      </c>
      <c r="B370" s="77">
        <v>45090</v>
      </c>
      <c r="C370" t="s">
        <v>168</v>
      </c>
      <c r="D370" t="s">
        <v>437</v>
      </c>
      <c r="E370" s="78">
        <v>-2780</v>
      </c>
      <c r="F370">
        <v>72496</v>
      </c>
    </row>
    <row r="371" spans="1:6" hidden="1" x14ac:dyDescent="0.25">
      <c r="A371">
        <v>28</v>
      </c>
      <c r="B371" s="77">
        <v>45090</v>
      </c>
      <c r="C371" t="s">
        <v>168</v>
      </c>
      <c r="D371" t="s">
        <v>213</v>
      </c>
      <c r="E371" s="78">
        <v>-5654.96</v>
      </c>
      <c r="F371">
        <v>896059</v>
      </c>
    </row>
    <row r="372" spans="1:6" hidden="1" x14ac:dyDescent="0.25">
      <c r="A372">
        <v>29</v>
      </c>
      <c r="B372" s="77">
        <v>45090</v>
      </c>
      <c r="C372" t="s">
        <v>168</v>
      </c>
      <c r="D372" t="s">
        <v>198</v>
      </c>
      <c r="E372" s="78">
        <v>-900</v>
      </c>
      <c r="F372">
        <v>43800</v>
      </c>
    </row>
    <row r="373" spans="1:6" hidden="1" x14ac:dyDescent="0.25">
      <c r="A373">
        <v>32</v>
      </c>
      <c r="B373" s="77">
        <v>45089</v>
      </c>
      <c r="C373" t="s">
        <v>168</v>
      </c>
      <c r="D373" t="s">
        <v>438</v>
      </c>
      <c r="E373" s="78">
        <v>-1590</v>
      </c>
      <c r="F373">
        <v>350265</v>
      </c>
    </row>
    <row r="374" spans="1:6" hidden="1" x14ac:dyDescent="0.25">
      <c r="A374">
        <v>33</v>
      </c>
      <c r="B374" s="77">
        <v>45089</v>
      </c>
      <c r="C374" t="s">
        <v>168</v>
      </c>
      <c r="D374" t="s">
        <v>439</v>
      </c>
      <c r="E374" s="78">
        <v>-1500</v>
      </c>
      <c r="F374">
        <v>107909</v>
      </c>
    </row>
    <row r="375" spans="1:6" hidden="1" x14ac:dyDescent="0.25">
      <c r="A375">
        <v>34</v>
      </c>
      <c r="B375" s="77">
        <v>45089</v>
      </c>
      <c r="C375" t="s">
        <v>168</v>
      </c>
      <c r="D375" t="s">
        <v>198</v>
      </c>
      <c r="E375" s="78">
        <v>-830</v>
      </c>
      <c r="F375">
        <v>37794</v>
      </c>
    </row>
    <row r="376" spans="1:6" hidden="1" x14ac:dyDescent="0.25">
      <c r="A376">
        <v>35</v>
      </c>
      <c r="B376" s="77">
        <v>45089</v>
      </c>
      <c r="C376" t="s">
        <v>168</v>
      </c>
      <c r="D376" t="s">
        <v>440</v>
      </c>
      <c r="E376" s="78">
        <v>-4734</v>
      </c>
      <c r="F376">
        <v>655989</v>
      </c>
    </row>
    <row r="377" spans="1:6" hidden="1" x14ac:dyDescent="0.25">
      <c r="A377">
        <v>39</v>
      </c>
      <c r="B377" s="77">
        <v>45086</v>
      </c>
      <c r="C377" t="s">
        <v>168</v>
      </c>
      <c r="D377" t="s">
        <v>441</v>
      </c>
      <c r="E377" s="78">
        <v>-2450</v>
      </c>
      <c r="F377">
        <v>619859</v>
      </c>
    </row>
    <row r="378" spans="1:6" hidden="1" x14ac:dyDescent="0.25">
      <c r="A378">
        <v>25</v>
      </c>
      <c r="B378" s="77">
        <v>45090</v>
      </c>
      <c r="C378" t="s">
        <v>168</v>
      </c>
      <c r="D378" t="s">
        <v>302</v>
      </c>
      <c r="E378" s="78">
        <v>-1190</v>
      </c>
      <c r="F378">
        <v>82097</v>
      </c>
    </row>
    <row r="379" spans="1:6" hidden="1" x14ac:dyDescent="0.25">
      <c r="A379">
        <v>42</v>
      </c>
      <c r="B379" s="77">
        <v>45084</v>
      </c>
      <c r="C379" t="s">
        <v>168</v>
      </c>
      <c r="D379" t="s">
        <v>442</v>
      </c>
      <c r="E379" s="78">
        <v>-1800</v>
      </c>
      <c r="F379">
        <v>433011</v>
      </c>
    </row>
    <row r="380" spans="1:6" hidden="1" x14ac:dyDescent="0.25">
      <c r="A380">
        <v>43</v>
      </c>
      <c r="B380" s="77">
        <v>45084</v>
      </c>
      <c r="C380" t="s">
        <v>168</v>
      </c>
      <c r="D380" t="s">
        <v>169</v>
      </c>
      <c r="E380" s="78">
        <v>-1010</v>
      </c>
      <c r="F380">
        <v>627341</v>
      </c>
    </row>
    <row r="381" spans="1:6" hidden="1" x14ac:dyDescent="0.25">
      <c r="A381">
        <v>44</v>
      </c>
      <c r="B381" s="77">
        <v>45084</v>
      </c>
      <c r="C381" t="s">
        <v>168</v>
      </c>
      <c r="D381" t="s">
        <v>173</v>
      </c>
      <c r="E381" s="78">
        <v>-2339.17</v>
      </c>
      <c r="F381">
        <v>546851</v>
      </c>
    </row>
    <row r="382" spans="1:6" hidden="1" x14ac:dyDescent="0.25">
      <c r="A382">
        <v>57</v>
      </c>
      <c r="B382" s="77">
        <v>45083</v>
      </c>
      <c r="C382" t="s">
        <v>168</v>
      </c>
      <c r="D382" t="s">
        <v>443</v>
      </c>
      <c r="E382" s="78">
        <v>-500</v>
      </c>
      <c r="F382">
        <v>764176</v>
      </c>
    </row>
    <row r="383" spans="1:6" hidden="1" x14ac:dyDescent="0.25">
      <c r="A383">
        <v>67</v>
      </c>
      <c r="B383" s="77">
        <v>45082</v>
      </c>
      <c r="C383" t="s">
        <v>168</v>
      </c>
      <c r="D383" t="s">
        <v>259</v>
      </c>
      <c r="E383" s="78">
        <v>-530</v>
      </c>
      <c r="F383">
        <v>104943</v>
      </c>
    </row>
    <row r="384" spans="1:6" hidden="1" x14ac:dyDescent="0.25">
      <c r="A384">
        <v>68</v>
      </c>
      <c r="B384" s="77">
        <v>45082</v>
      </c>
      <c r="C384" t="s">
        <v>168</v>
      </c>
      <c r="D384" t="s">
        <v>209</v>
      </c>
      <c r="E384" s="78">
        <v>-1480</v>
      </c>
      <c r="F384">
        <v>96009</v>
      </c>
    </row>
    <row r="385" spans="1:6" hidden="1" x14ac:dyDescent="0.25">
      <c r="A385">
        <v>37</v>
      </c>
      <c r="B385" s="77">
        <v>45089</v>
      </c>
      <c r="C385" t="s">
        <v>168</v>
      </c>
      <c r="D385" t="s">
        <v>209</v>
      </c>
      <c r="E385" s="78">
        <v>-1480</v>
      </c>
      <c r="F385">
        <v>96332</v>
      </c>
    </row>
    <row r="386" spans="1:6" hidden="1" x14ac:dyDescent="0.25">
      <c r="A386">
        <v>22</v>
      </c>
      <c r="B386" s="77">
        <v>45091</v>
      </c>
      <c r="C386" t="s">
        <v>168</v>
      </c>
      <c r="D386" t="s">
        <v>365</v>
      </c>
      <c r="E386" s="78">
        <v>-1850</v>
      </c>
      <c r="F386">
        <v>92809</v>
      </c>
    </row>
    <row r="387" spans="1:6" hidden="1" x14ac:dyDescent="0.25">
      <c r="A387">
        <v>36</v>
      </c>
      <c r="B387" s="77">
        <v>45089</v>
      </c>
      <c r="C387" t="s">
        <v>168</v>
      </c>
      <c r="D387" t="s">
        <v>208</v>
      </c>
      <c r="E387" s="78">
        <v>-3780</v>
      </c>
      <c r="F387">
        <v>136375</v>
      </c>
    </row>
    <row r="388" spans="1:6" hidden="1" x14ac:dyDescent="0.25">
      <c r="A388">
        <v>12</v>
      </c>
      <c r="B388" s="77">
        <v>45099</v>
      </c>
      <c r="C388" t="s">
        <v>168</v>
      </c>
      <c r="D388" t="s">
        <v>198</v>
      </c>
      <c r="E388" s="78">
        <v>-500</v>
      </c>
      <c r="F388">
        <v>38526</v>
      </c>
    </row>
    <row r="389" spans="1:6" hidden="1" x14ac:dyDescent="0.25">
      <c r="A389">
        <v>3</v>
      </c>
      <c r="B389" s="77">
        <v>45106</v>
      </c>
      <c r="C389" t="s">
        <v>168</v>
      </c>
      <c r="D389" t="s">
        <v>173</v>
      </c>
      <c r="E389" s="78">
        <v>-4309.5</v>
      </c>
      <c r="F389">
        <v>517441</v>
      </c>
    </row>
    <row r="390" spans="1:6" hidden="1" x14ac:dyDescent="0.25">
      <c r="A390">
        <v>19</v>
      </c>
      <c r="B390" s="77">
        <v>45093</v>
      </c>
      <c r="C390" t="s">
        <v>168</v>
      </c>
      <c r="D390" t="s">
        <v>198</v>
      </c>
      <c r="E390" s="78">
        <v>-1050</v>
      </c>
      <c r="F390">
        <v>43914</v>
      </c>
    </row>
    <row r="391" spans="1:6" hidden="1" x14ac:dyDescent="0.25">
      <c r="A391">
        <v>18</v>
      </c>
      <c r="B391" s="77">
        <v>45093</v>
      </c>
      <c r="C391" t="s">
        <v>168</v>
      </c>
      <c r="D391" t="s">
        <v>444</v>
      </c>
      <c r="E391" s="78">
        <v>-3800</v>
      </c>
      <c r="F391">
        <v>40152</v>
      </c>
    </row>
    <row r="392" spans="1:6" hidden="1" x14ac:dyDescent="0.25">
      <c r="A392">
        <v>17</v>
      </c>
      <c r="B392" s="77">
        <v>45098</v>
      </c>
      <c r="C392" t="s">
        <v>168</v>
      </c>
      <c r="D392" t="s">
        <v>198</v>
      </c>
      <c r="E392" s="78">
        <v>-1530</v>
      </c>
      <c r="F392">
        <v>43940</v>
      </c>
    </row>
    <row r="393" spans="1:6" hidden="1" x14ac:dyDescent="0.25">
      <c r="A393">
        <v>16</v>
      </c>
      <c r="B393" s="77">
        <v>45098</v>
      </c>
      <c r="C393" t="s">
        <v>168</v>
      </c>
      <c r="D393" t="s">
        <v>437</v>
      </c>
      <c r="E393" s="78">
        <v>-8760</v>
      </c>
      <c r="F393">
        <v>20367</v>
      </c>
    </row>
    <row r="394" spans="1:6" hidden="1" x14ac:dyDescent="0.25">
      <c r="A394">
        <v>7</v>
      </c>
      <c r="B394" s="77">
        <v>45103</v>
      </c>
      <c r="C394" t="s">
        <v>168</v>
      </c>
      <c r="D394" t="s">
        <v>198</v>
      </c>
      <c r="E394" s="78">
        <v>-1345</v>
      </c>
      <c r="F394">
        <v>44168</v>
      </c>
    </row>
    <row r="395" spans="1:6" hidden="1" x14ac:dyDescent="0.25">
      <c r="A395">
        <v>6</v>
      </c>
      <c r="B395" s="77">
        <v>45103</v>
      </c>
      <c r="C395" t="s">
        <v>168</v>
      </c>
      <c r="D395" t="s">
        <v>221</v>
      </c>
      <c r="E395" s="78">
        <v>-1612</v>
      </c>
      <c r="F395">
        <v>134197</v>
      </c>
    </row>
    <row r="396" spans="1:6" hidden="1" x14ac:dyDescent="0.25">
      <c r="A396">
        <v>15</v>
      </c>
      <c r="B396" s="77">
        <v>45098</v>
      </c>
      <c r="C396" t="s">
        <v>168</v>
      </c>
      <c r="D396" t="s">
        <v>208</v>
      </c>
      <c r="E396" s="78">
        <v>-1000</v>
      </c>
      <c r="F396">
        <v>642523</v>
      </c>
    </row>
    <row r="397" spans="1:6" hidden="1" x14ac:dyDescent="0.25">
      <c r="A397">
        <v>14</v>
      </c>
      <c r="B397" s="77">
        <v>45099</v>
      </c>
      <c r="C397" t="s">
        <v>168</v>
      </c>
      <c r="D397" t="s">
        <v>375</v>
      </c>
      <c r="E397" s="78">
        <v>-3260</v>
      </c>
      <c r="F397">
        <v>57813</v>
      </c>
    </row>
    <row r="398" spans="1:6" hidden="1" x14ac:dyDescent="0.25">
      <c r="A398">
        <v>13</v>
      </c>
      <c r="B398" s="77">
        <v>45099</v>
      </c>
      <c r="C398" t="s">
        <v>168</v>
      </c>
      <c r="D398" t="s">
        <v>213</v>
      </c>
      <c r="E398" s="78">
        <v>-5193.03</v>
      </c>
      <c r="F398">
        <v>287585</v>
      </c>
    </row>
    <row r="399" spans="1:6" hidden="1" x14ac:dyDescent="0.25">
      <c r="A399">
        <v>58</v>
      </c>
      <c r="B399" s="77">
        <v>45083</v>
      </c>
      <c r="C399" t="s">
        <v>336</v>
      </c>
      <c r="D399" t="s">
        <v>378</v>
      </c>
      <c r="E399" s="78">
        <v>-296181.01</v>
      </c>
      <c r="F399">
        <v>690718</v>
      </c>
    </row>
    <row r="400" spans="1:6" hidden="1" x14ac:dyDescent="0.25">
      <c r="A400">
        <v>46</v>
      </c>
      <c r="B400" s="77">
        <v>45084</v>
      </c>
      <c r="C400" t="s">
        <v>379</v>
      </c>
      <c r="E400" s="78">
        <v>-50700</v>
      </c>
      <c r="F400">
        <v>721573</v>
      </c>
    </row>
    <row r="401" spans="1:6" hidden="1" x14ac:dyDescent="0.25">
      <c r="A401">
        <v>31</v>
      </c>
      <c r="B401" s="77">
        <v>45090</v>
      </c>
      <c r="C401" t="s">
        <v>185</v>
      </c>
      <c r="D401" t="s">
        <v>186</v>
      </c>
      <c r="E401" s="78">
        <v>-12000</v>
      </c>
      <c r="F401">
        <v>5028</v>
      </c>
    </row>
    <row r="402" spans="1:6" hidden="1" x14ac:dyDescent="0.25">
      <c r="A402">
        <v>30</v>
      </c>
      <c r="B402" s="77">
        <v>45090</v>
      </c>
      <c r="C402" t="s">
        <v>185</v>
      </c>
      <c r="D402" t="s">
        <v>186</v>
      </c>
      <c r="E402" s="78">
        <v>-5000</v>
      </c>
      <c r="F402">
        <v>5030</v>
      </c>
    </row>
    <row r="403" spans="1:6" hidden="1" x14ac:dyDescent="0.25">
      <c r="A403">
        <v>8</v>
      </c>
      <c r="B403" s="77">
        <v>45100</v>
      </c>
      <c r="C403" t="s">
        <v>185</v>
      </c>
      <c r="D403" t="s">
        <v>186</v>
      </c>
      <c r="E403" s="78">
        <v>-12000</v>
      </c>
      <c r="F403">
        <v>6865</v>
      </c>
    </row>
    <row r="404" spans="1:6" hidden="1" x14ac:dyDescent="0.25">
      <c r="A404">
        <v>41</v>
      </c>
      <c r="B404" s="77">
        <v>45085</v>
      </c>
      <c r="C404" t="s">
        <v>285</v>
      </c>
      <c r="D404" t="s">
        <v>288</v>
      </c>
      <c r="E404" s="78">
        <v>-10000</v>
      </c>
      <c r="F404">
        <v>9071</v>
      </c>
    </row>
    <row r="405" spans="1:6" hidden="1" x14ac:dyDescent="0.25">
      <c r="A405">
        <v>11</v>
      </c>
      <c r="B405" s="77">
        <v>45100</v>
      </c>
      <c r="C405" t="s">
        <v>285</v>
      </c>
      <c r="D405" t="s">
        <v>288</v>
      </c>
      <c r="E405" s="78">
        <v>-10000</v>
      </c>
      <c r="F405">
        <v>2166</v>
      </c>
    </row>
    <row r="406" spans="1:6" hidden="1" x14ac:dyDescent="0.25">
      <c r="A406">
        <v>10</v>
      </c>
      <c r="B406" s="77">
        <v>45100</v>
      </c>
      <c r="C406" t="s">
        <v>285</v>
      </c>
      <c r="D406" t="s">
        <v>288</v>
      </c>
      <c r="E406" s="78">
        <v>-5000</v>
      </c>
      <c r="F406">
        <v>2167</v>
      </c>
    </row>
    <row r="407" spans="1:6" hidden="1" x14ac:dyDescent="0.25">
      <c r="A407">
        <v>38</v>
      </c>
      <c r="B407" s="77">
        <v>45089</v>
      </c>
      <c r="C407" t="s">
        <v>285</v>
      </c>
      <c r="D407" t="s">
        <v>288</v>
      </c>
      <c r="E407" s="78">
        <v>-1000</v>
      </c>
      <c r="F407">
        <v>461</v>
      </c>
    </row>
    <row r="408" spans="1:6" hidden="1" x14ac:dyDescent="0.25">
      <c r="A408">
        <v>5</v>
      </c>
      <c r="B408" s="77">
        <v>45104</v>
      </c>
      <c r="C408" t="s">
        <v>285</v>
      </c>
      <c r="D408" t="s">
        <v>288</v>
      </c>
      <c r="E408" s="78">
        <v>-5000</v>
      </c>
      <c r="F408">
        <v>2222</v>
      </c>
    </row>
    <row r="409" spans="1:6" hidden="1" x14ac:dyDescent="0.25">
      <c r="A409">
        <v>4</v>
      </c>
      <c r="B409" s="77">
        <v>45104</v>
      </c>
      <c r="C409" t="s">
        <v>285</v>
      </c>
      <c r="D409" t="s">
        <v>288</v>
      </c>
      <c r="E409" s="78">
        <v>-1000</v>
      </c>
      <c r="F409">
        <v>2223</v>
      </c>
    </row>
    <row r="410" spans="1:6" hidden="1" x14ac:dyDescent="0.25">
      <c r="A410">
        <v>70</v>
      </c>
      <c r="B410" s="77">
        <v>45078</v>
      </c>
      <c r="C410" t="s">
        <v>285</v>
      </c>
      <c r="D410" t="s">
        <v>288</v>
      </c>
      <c r="E410" s="78">
        <v>-5000</v>
      </c>
      <c r="F410">
        <v>8303</v>
      </c>
    </row>
    <row r="411" spans="1:6" hidden="1" x14ac:dyDescent="0.25">
      <c r="A411">
        <v>9</v>
      </c>
      <c r="B411" s="77">
        <v>45100</v>
      </c>
      <c r="C411" t="s">
        <v>285</v>
      </c>
      <c r="D411" t="s">
        <v>288</v>
      </c>
      <c r="E411" s="78">
        <v>-5000</v>
      </c>
      <c r="F411">
        <v>2170</v>
      </c>
    </row>
    <row r="412" spans="1:6" hidden="1" x14ac:dyDescent="0.25">
      <c r="A412">
        <v>21</v>
      </c>
      <c r="B412" s="77">
        <v>45092</v>
      </c>
      <c r="C412" t="s">
        <v>285</v>
      </c>
      <c r="D412" t="s">
        <v>288</v>
      </c>
      <c r="E412" s="78">
        <v>-10000</v>
      </c>
      <c r="F412">
        <v>1176</v>
      </c>
    </row>
    <row r="413" spans="1:6" hidden="1" x14ac:dyDescent="0.25">
      <c r="A413">
        <v>54</v>
      </c>
      <c r="B413" s="77">
        <v>45084</v>
      </c>
      <c r="C413" t="s">
        <v>380</v>
      </c>
      <c r="E413" s="78">
        <v>-15210</v>
      </c>
      <c r="F413">
        <v>721573</v>
      </c>
    </row>
    <row r="414" spans="1:6" hidden="1" x14ac:dyDescent="0.25">
      <c r="A414">
        <v>24</v>
      </c>
      <c r="B414" s="77">
        <v>45091</v>
      </c>
      <c r="C414" t="s">
        <v>172</v>
      </c>
      <c r="E414" s="78">
        <v>-18437.419999999998</v>
      </c>
      <c r="F414">
        <v>1329817</v>
      </c>
    </row>
    <row r="415" spans="1:6" hidden="1" x14ac:dyDescent="0.25">
      <c r="A415">
        <v>2</v>
      </c>
      <c r="B415" s="77">
        <v>45107</v>
      </c>
      <c r="C415" t="s">
        <v>172</v>
      </c>
      <c r="E415" s="78">
        <v>-494.42</v>
      </c>
      <c r="F415">
        <v>0</v>
      </c>
    </row>
    <row r="416" spans="1:6" hidden="1" x14ac:dyDescent="0.25">
      <c r="A416">
        <v>72</v>
      </c>
      <c r="B416" s="77">
        <v>45078</v>
      </c>
      <c r="C416" t="s">
        <v>187</v>
      </c>
      <c r="E416" s="78">
        <v>50.82</v>
      </c>
      <c r="F416">
        <v>0</v>
      </c>
    </row>
    <row r="417" spans="1:6" hidden="1" x14ac:dyDescent="0.25">
      <c r="A417">
        <v>23</v>
      </c>
      <c r="B417" s="77">
        <v>45091</v>
      </c>
      <c r="C417" t="s">
        <v>445</v>
      </c>
      <c r="E417" s="78">
        <v>-87797.25</v>
      </c>
      <c r="F417">
        <v>1329818</v>
      </c>
    </row>
    <row r="418" spans="1:6" hidden="1" x14ac:dyDescent="0.25">
      <c r="A418">
        <v>1</v>
      </c>
      <c r="B418" s="77">
        <v>45107</v>
      </c>
      <c r="C418" t="s">
        <v>171</v>
      </c>
      <c r="E418" s="78">
        <v>-2354.39</v>
      </c>
      <c r="F418">
        <v>0</v>
      </c>
    </row>
    <row r="419" spans="1:6" hidden="1" x14ac:dyDescent="0.25">
      <c r="A419">
        <v>55</v>
      </c>
      <c r="B419" s="77">
        <v>45084</v>
      </c>
      <c r="C419" t="s">
        <v>381</v>
      </c>
      <c r="E419" s="78">
        <v>-17745</v>
      </c>
      <c r="F419">
        <v>721573</v>
      </c>
    </row>
    <row r="420" spans="1:6" hidden="1" x14ac:dyDescent="0.25">
      <c r="A420">
        <v>56</v>
      </c>
      <c r="B420" s="77">
        <v>45083</v>
      </c>
      <c r="C420" t="s">
        <v>180</v>
      </c>
      <c r="D420" t="s">
        <v>181</v>
      </c>
      <c r="E420" s="78">
        <v>-84741.32</v>
      </c>
      <c r="F420">
        <v>285262</v>
      </c>
    </row>
    <row r="421" spans="1:6" hidden="1" x14ac:dyDescent="0.25">
      <c r="A421">
        <v>53</v>
      </c>
      <c r="B421" s="77">
        <v>45084</v>
      </c>
      <c r="C421" t="s">
        <v>338</v>
      </c>
      <c r="D421" t="s">
        <v>446</v>
      </c>
      <c r="E421" s="78">
        <v>645.69000000000005</v>
      </c>
      <c r="F421">
        <v>61939</v>
      </c>
    </row>
    <row r="422" spans="1:6" hidden="1" x14ac:dyDescent="0.25">
      <c r="A422">
        <v>66</v>
      </c>
      <c r="B422" s="77">
        <v>45083</v>
      </c>
      <c r="C422" t="s">
        <v>338</v>
      </c>
      <c r="D422" t="s">
        <v>447</v>
      </c>
      <c r="E422" s="78">
        <v>470.73</v>
      </c>
      <c r="F422">
        <v>751559</v>
      </c>
    </row>
    <row r="423" spans="1:6" hidden="1" x14ac:dyDescent="0.25">
      <c r="A423">
        <v>65</v>
      </c>
      <c r="B423" s="77">
        <v>45083</v>
      </c>
      <c r="C423" t="s">
        <v>338</v>
      </c>
      <c r="D423" t="s">
        <v>448</v>
      </c>
      <c r="E423" s="78">
        <v>444.62</v>
      </c>
      <c r="F423">
        <v>923717</v>
      </c>
    </row>
    <row r="424" spans="1:6" hidden="1" x14ac:dyDescent="0.25">
      <c r="A424">
        <v>64</v>
      </c>
      <c r="B424" s="77">
        <v>45083</v>
      </c>
      <c r="C424" t="s">
        <v>338</v>
      </c>
      <c r="D424" t="s">
        <v>449</v>
      </c>
      <c r="E424" s="78">
        <v>400</v>
      </c>
      <c r="F424">
        <v>861519</v>
      </c>
    </row>
    <row r="425" spans="1:6" hidden="1" x14ac:dyDescent="0.25">
      <c r="A425">
        <v>63</v>
      </c>
      <c r="B425" s="77">
        <v>45083</v>
      </c>
      <c r="C425" t="s">
        <v>338</v>
      </c>
      <c r="D425" t="s">
        <v>450</v>
      </c>
      <c r="E425" s="78">
        <v>384.77</v>
      </c>
      <c r="F425">
        <v>973593</v>
      </c>
    </row>
    <row r="426" spans="1:6" hidden="1" x14ac:dyDescent="0.25">
      <c r="A426">
        <v>52</v>
      </c>
      <c r="B426" s="77">
        <v>45084</v>
      </c>
      <c r="C426" t="s">
        <v>338</v>
      </c>
      <c r="D426" t="s">
        <v>451</v>
      </c>
      <c r="E426" s="78">
        <v>463.25</v>
      </c>
      <c r="F426">
        <v>217407</v>
      </c>
    </row>
    <row r="427" spans="1:6" hidden="1" x14ac:dyDescent="0.25">
      <c r="A427">
        <v>62</v>
      </c>
      <c r="B427" s="77">
        <v>45083</v>
      </c>
      <c r="C427" t="s">
        <v>338</v>
      </c>
      <c r="D427" t="s">
        <v>452</v>
      </c>
      <c r="E427" s="78">
        <v>230</v>
      </c>
      <c r="F427">
        <v>279635</v>
      </c>
    </row>
    <row r="428" spans="1:6" hidden="1" x14ac:dyDescent="0.25">
      <c r="A428">
        <v>48</v>
      </c>
      <c r="B428" s="77">
        <v>45084</v>
      </c>
      <c r="C428" t="s">
        <v>338</v>
      </c>
      <c r="D428" t="s">
        <v>453</v>
      </c>
      <c r="E428" s="78">
        <v>255</v>
      </c>
      <c r="F428">
        <v>49273</v>
      </c>
    </row>
    <row r="429" spans="1:6" hidden="1" x14ac:dyDescent="0.25">
      <c r="A429">
        <v>49</v>
      </c>
      <c r="B429" s="77">
        <v>45084</v>
      </c>
      <c r="C429" t="s">
        <v>338</v>
      </c>
      <c r="D429" t="s">
        <v>454</v>
      </c>
      <c r="E429" s="78">
        <v>316.61</v>
      </c>
      <c r="F429">
        <v>563773</v>
      </c>
    </row>
    <row r="430" spans="1:6" hidden="1" x14ac:dyDescent="0.25">
      <c r="A430">
        <v>50</v>
      </c>
      <c r="B430" s="77">
        <v>45084</v>
      </c>
      <c r="C430" t="s">
        <v>338</v>
      </c>
      <c r="D430" t="s">
        <v>455</v>
      </c>
      <c r="E430" s="78">
        <v>427</v>
      </c>
      <c r="F430">
        <v>728336</v>
      </c>
    </row>
    <row r="431" spans="1:6" hidden="1" x14ac:dyDescent="0.25">
      <c r="A431">
        <v>51</v>
      </c>
      <c r="B431" s="77">
        <v>45084</v>
      </c>
      <c r="C431" t="s">
        <v>338</v>
      </c>
      <c r="D431" t="s">
        <v>456</v>
      </c>
      <c r="E431" s="78">
        <v>448.14</v>
      </c>
      <c r="F431">
        <v>293243</v>
      </c>
    </row>
    <row r="432" spans="1:6" hidden="1" x14ac:dyDescent="0.25">
      <c r="A432">
        <v>61</v>
      </c>
      <c r="B432" s="77">
        <v>45083</v>
      </c>
      <c r="C432" t="s">
        <v>338</v>
      </c>
      <c r="D432" t="s">
        <v>453</v>
      </c>
      <c r="E432" s="78">
        <v>69.88</v>
      </c>
      <c r="F432">
        <v>477163</v>
      </c>
    </row>
    <row r="433" spans="1:6" hidden="1" x14ac:dyDescent="0.25">
      <c r="A433">
        <v>47</v>
      </c>
      <c r="B433" s="77">
        <v>45084</v>
      </c>
      <c r="C433" t="s">
        <v>338</v>
      </c>
      <c r="D433" t="s">
        <v>341</v>
      </c>
      <c r="E433" s="78">
        <v>90</v>
      </c>
      <c r="F433">
        <v>461475</v>
      </c>
    </row>
    <row r="434" spans="1:6" hidden="1" x14ac:dyDescent="0.25">
      <c r="A434">
        <v>60</v>
      </c>
      <c r="B434" s="77">
        <v>45083</v>
      </c>
      <c r="C434" t="s">
        <v>174</v>
      </c>
      <c r="D434" t="s">
        <v>387</v>
      </c>
      <c r="E434" s="78">
        <v>-7000</v>
      </c>
      <c r="F434">
        <v>137045</v>
      </c>
    </row>
    <row r="435" spans="1:6" hidden="1" x14ac:dyDescent="0.25">
      <c r="A435">
        <v>45</v>
      </c>
      <c r="B435" s="77">
        <v>45084</v>
      </c>
      <c r="C435" t="s">
        <v>174</v>
      </c>
      <c r="D435" t="s">
        <v>457</v>
      </c>
      <c r="E435" s="78">
        <v>-7756.31</v>
      </c>
      <c r="F435">
        <v>566406</v>
      </c>
    </row>
    <row r="436" spans="1:6" hidden="1" x14ac:dyDescent="0.25">
      <c r="A436">
        <v>71</v>
      </c>
      <c r="B436" s="77">
        <v>45078</v>
      </c>
      <c r="C436" t="s">
        <v>174</v>
      </c>
      <c r="D436" t="s">
        <v>386</v>
      </c>
      <c r="E436" s="78">
        <v>-3000</v>
      </c>
      <c r="F436">
        <v>2160</v>
      </c>
    </row>
    <row r="437" spans="1:6" hidden="1" x14ac:dyDescent="0.25">
      <c r="A437">
        <v>20</v>
      </c>
      <c r="B437" s="77">
        <v>45093</v>
      </c>
      <c r="C437" t="s">
        <v>174</v>
      </c>
      <c r="D437" t="s">
        <v>197</v>
      </c>
      <c r="E437" s="78">
        <v>-10000</v>
      </c>
      <c r="F437">
        <v>330554</v>
      </c>
    </row>
    <row r="438" spans="1:6" hidden="1" x14ac:dyDescent="0.25">
      <c r="A438">
        <v>80</v>
      </c>
      <c r="B438" s="77">
        <v>45108</v>
      </c>
      <c r="C438" t="s">
        <v>187</v>
      </c>
      <c r="E438" s="78">
        <v>24.87</v>
      </c>
      <c r="F438">
        <v>0</v>
      </c>
    </row>
    <row r="439" spans="1:6" hidden="1" x14ac:dyDescent="0.25">
      <c r="A439">
        <v>76</v>
      </c>
      <c r="B439" s="77">
        <v>45110</v>
      </c>
      <c r="C439" t="s">
        <v>168</v>
      </c>
      <c r="D439" t="s">
        <v>198</v>
      </c>
      <c r="E439" s="78">
        <v>-1340</v>
      </c>
      <c r="F439">
        <v>44498</v>
      </c>
    </row>
    <row r="440" spans="1:6" hidden="1" x14ac:dyDescent="0.25">
      <c r="A440">
        <v>77</v>
      </c>
      <c r="B440" s="77">
        <v>45110</v>
      </c>
      <c r="C440" t="s">
        <v>285</v>
      </c>
      <c r="D440" t="s">
        <v>311</v>
      </c>
      <c r="E440" s="78">
        <v>-3000</v>
      </c>
      <c r="F440">
        <v>4081</v>
      </c>
    </row>
    <row r="441" spans="1:6" hidden="1" x14ac:dyDescent="0.25">
      <c r="A441">
        <v>79</v>
      </c>
      <c r="B441" s="77">
        <v>45110</v>
      </c>
      <c r="C441" t="s">
        <v>267</v>
      </c>
      <c r="D441" t="s">
        <v>268</v>
      </c>
      <c r="E441" s="78">
        <v>30000</v>
      </c>
      <c r="F441">
        <v>805265</v>
      </c>
    </row>
    <row r="442" spans="1:6" hidden="1" x14ac:dyDescent="0.25">
      <c r="A442">
        <v>78</v>
      </c>
      <c r="B442" s="77">
        <v>45110</v>
      </c>
      <c r="C442" t="s">
        <v>267</v>
      </c>
      <c r="D442" t="s">
        <v>197</v>
      </c>
      <c r="E442" s="78">
        <v>30000</v>
      </c>
      <c r="F442">
        <v>149151</v>
      </c>
    </row>
    <row r="443" spans="1:6" hidden="1" x14ac:dyDescent="0.25">
      <c r="A443">
        <v>73</v>
      </c>
      <c r="B443" s="77">
        <v>45111</v>
      </c>
      <c r="C443" t="s">
        <v>168</v>
      </c>
      <c r="D443" t="s">
        <v>479</v>
      </c>
      <c r="E443" s="78">
        <v>-2942.65</v>
      </c>
      <c r="F443">
        <v>40079</v>
      </c>
    </row>
    <row r="444" spans="1:6" hidden="1" x14ac:dyDescent="0.25">
      <c r="A444">
        <v>74</v>
      </c>
      <c r="B444" s="77">
        <v>45111</v>
      </c>
      <c r="C444" t="s">
        <v>168</v>
      </c>
      <c r="D444" t="s">
        <v>208</v>
      </c>
      <c r="E444" s="78">
        <v>-2810</v>
      </c>
      <c r="F444">
        <v>464743</v>
      </c>
    </row>
    <row r="445" spans="1:6" hidden="1" x14ac:dyDescent="0.25">
      <c r="A445">
        <v>75</v>
      </c>
      <c r="B445" s="77">
        <v>45111</v>
      </c>
      <c r="C445" t="s">
        <v>285</v>
      </c>
      <c r="D445" t="s">
        <v>288</v>
      </c>
      <c r="E445" s="78">
        <v>-10000</v>
      </c>
      <c r="F445">
        <v>4086</v>
      </c>
    </row>
    <row r="446" spans="1:6" hidden="1" x14ac:dyDescent="0.25">
      <c r="A446">
        <v>70</v>
      </c>
      <c r="B446" s="77">
        <v>45112</v>
      </c>
      <c r="C446" t="s">
        <v>182</v>
      </c>
      <c r="D446" t="s">
        <v>183</v>
      </c>
      <c r="E446" s="78">
        <v>319803.76</v>
      </c>
      <c r="F446">
        <v>0</v>
      </c>
    </row>
    <row r="447" spans="1:6" hidden="1" x14ac:dyDescent="0.25">
      <c r="A447">
        <v>71</v>
      </c>
      <c r="B447" s="77">
        <v>45112</v>
      </c>
      <c r="C447" t="s">
        <v>182</v>
      </c>
      <c r="D447" t="s">
        <v>183</v>
      </c>
      <c r="E447" s="78">
        <v>500106.03</v>
      </c>
      <c r="F447">
        <v>0</v>
      </c>
    </row>
    <row r="448" spans="1:6" hidden="1" x14ac:dyDescent="0.25">
      <c r="A448">
        <v>72</v>
      </c>
      <c r="B448" s="77">
        <v>45112</v>
      </c>
      <c r="C448" t="s">
        <v>478</v>
      </c>
      <c r="E448" s="78">
        <v>-12072</v>
      </c>
      <c r="F448">
        <v>0</v>
      </c>
    </row>
    <row r="449" spans="1:6" hidden="1" x14ac:dyDescent="0.25">
      <c r="A449">
        <v>69</v>
      </c>
      <c r="B449" s="77">
        <v>45112</v>
      </c>
      <c r="C449" t="s">
        <v>336</v>
      </c>
      <c r="D449" t="s">
        <v>378</v>
      </c>
      <c r="E449" s="78">
        <v>-341947.88</v>
      </c>
      <c r="F449">
        <v>821100</v>
      </c>
    </row>
    <row r="450" spans="1:6" hidden="1" x14ac:dyDescent="0.25">
      <c r="A450">
        <v>68</v>
      </c>
      <c r="B450" s="77">
        <v>45113</v>
      </c>
      <c r="C450" t="s">
        <v>182</v>
      </c>
      <c r="D450" t="s">
        <v>183</v>
      </c>
      <c r="E450" s="78">
        <v>14202</v>
      </c>
      <c r="F450">
        <v>0</v>
      </c>
    </row>
    <row r="451" spans="1:6" hidden="1" x14ac:dyDescent="0.25">
      <c r="A451">
        <v>67</v>
      </c>
      <c r="B451" s="77">
        <v>45113</v>
      </c>
      <c r="C451" t="s">
        <v>168</v>
      </c>
      <c r="D451" t="s">
        <v>198</v>
      </c>
      <c r="E451" s="78">
        <v>-1160</v>
      </c>
      <c r="F451">
        <v>39376</v>
      </c>
    </row>
    <row r="452" spans="1:6" hidden="1" x14ac:dyDescent="0.25">
      <c r="A452">
        <v>62</v>
      </c>
      <c r="B452" s="77">
        <v>45114</v>
      </c>
      <c r="C452" t="s">
        <v>168</v>
      </c>
      <c r="D452" t="s">
        <v>263</v>
      </c>
      <c r="E452" s="78">
        <v>-1200</v>
      </c>
      <c r="F452">
        <v>95923</v>
      </c>
    </row>
    <row r="453" spans="1:6" hidden="1" x14ac:dyDescent="0.25">
      <c r="A453">
        <v>63</v>
      </c>
      <c r="B453" s="77">
        <v>45114</v>
      </c>
      <c r="C453" t="s">
        <v>168</v>
      </c>
      <c r="D453" t="s">
        <v>483</v>
      </c>
      <c r="E453" s="78">
        <v>-2550</v>
      </c>
      <c r="F453">
        <v>896481</v>
      </c>
    </row>
    <row r="454" spans="1:6" hidden="1" x14ac:dyDescent="0.25">
      <c r="A454">
        <v>64</v>
      </c>
      <c r="B454" s="77">
        <v>45114</v>
      </c>
      <c r="C454" t="s">
        <v>168</v>
      </c>
      <c r="D454" t="s">
        <v>213</v>
      </c>
      <c r="E454" s="78">
        <v>-5480.56</v>
      </c>
      <c r="F454">
        <v>484663</v>
      </c>
    </row>
    <row r="455" spans="1:6" hidden="1" x14ac:dyDescent="0.25">
      <c r="A455">
        <v>65</v>
      </c>
      <c r="B455" s="77">
        <v>45114</v>
      </c>
      <c r="C455" t="s">
        <v>168</v>
      </c>
      <c r="D455" t="s">
        <v>198</v>
      </c>
      <c r="E455" s="78">
        <v>-1185</v>
      </c>
      <c r="F455">
        <v>39461</v>
      </c>
    </row>
    <row r="456" spans="1:6" hidden="1" x14ac:dyDescent="0.25">
      <c r="A456">
        <v>66</v>
      </c>
      <c r="B456" s="77">
        <v>45114</v>
      </c>
      <c r="C456" t="s">
        <v>174</v>
      </c>
      <c r="D456" t="s">
        <v>502</v>
      </c>
      <c r="E456" s="78">
        <v>-28000</v>
      </c>
      <c r="F456">
        <v>673628</v>
      </c>
    </row>
    <row r="457" spans="1:6" hidden="1" x14ac:dyDescent="0.25">
      <c r="A457">
        <v>53</v>
      </c>
      <c r="B457" s="77">
        <v>45117</v>
      </c>
      <c r="C457" t="s">
        <v>168</v>
      </c>
      <c r="D457" t="s">
        <v>201</v>
      </c>
      <c r="E457" s="78">
        <v>-4385.05</v>
      </c>
      <c r="F457">
        <v>37027</v>
      </c>
    </row>
    <row r="458" spans="1:6" hidden="1" x14ac:dyDescent="0.25">
      <c r="A458">
        <v>52</v>
      </c>
      <c r="B458" s="77">
        <v>45117</v>
      </c>
      <c r="C458" t="s">
        <v>168</v>
      </c>
      <c r="D458" t="s">
        <v>198</v>
      </c>
      <c r="E458" s="78">
        <v>-650</v>
      </c>
      <c r="F458">
        <v>39630</v>
      </c>
    </row>
    <row r="459" spans="1:6" hidden="1" x14ac:dyDescent="0.25">
      <c r="A459">
        <v>54</v>
      </c>
      <c r="B459" s="77">
        <v>45117</v>
      </c>
      <c r="C459" t="s">
        <v>168</v>
      </c>
      <c r="D459" t="s">
        <v>198</v>
      </c>
      <c r="E459" s="78">
        <v>-1340</v>
      </c>
      <c r="F459">
        <v>39543</v>
      </c>
    </row>
    <row r="460" spans="1:6" hidden="1" x14ac:dyDescent="0.25">
      <c r="A460">
        <v>51</v>
      </c>
      <c r="B460" s="77">
        <v>45117</v>
      </c>
      <c r="C460" t="s">
        <v>180</v>
      </c>
      <c r="D460" t="s">
        <v>181</v>
      </c>
      <c r="E460" s="78">
        <v>-83962.87</v>
      </c>
      <c r="F460">
        <v>367728</v>
      </c>
    </row>
    <row r="461" spans="1:6" hidden="1" x14ac:dyDescent="0.25">
      <c r="A461">
        <v>61</v>
      </c>
      <c r="B461" s="77">
        <v>45117</v>
      </c>
      <c r="C461" t="s">
        <v>338</v>
      </c>
      <c r="D461" t="s">
        <v>495</v>
      </c>
      <c r="E461" s="78">
        <v>565.49</v>
      </c>
      <c r="F461">
        <v>896059</v>
      </c>
    </row>
    <row r="462" spans="1:6" hidden="1" x14ac:dyDescent="0.25">
      <c r="A462">
        <v>56</v>
      </c>
      <c r="B462" s="77">
        <v>45117</v>
      </c>
      <c r="C462" t="s">
        <v>338</v>
      </c>
      <c r="D462" t="s">
        <v>496</v>
      </c>
      <c r="E462" s="78">
        <v>161.19999999999999</v>
      </c>
      <c r="F462">
        <v>134197</v>
      </c>
    </row>
    <row r="463" spans="1:6" hidden="1" x14ac:dyDescent="0.25">
      <c r="A463">
        <v>60</v>
      </c>
      <c r="B463" s="77">
        <v>45117</v>
      </c>
      <c r="C463" t="s">
        <v>338</v>
      </c>
      <c r="D463" t="s">
        <v>497</v>
      </c>
      <c r="E463" s="78">
        <v>519.29999999999995</v>
      </c>
      <c r="F463">
        <v>287585</v>
      </c>
    </row>
    <row r="464" spans="1:6" hidden="1" x14ac:dyDescent="0.25">
      <c r="A464">
        <v>58</v>
      </c>
      <c r="B464" s="77">
        <v>45117</v>
      </c>
      <c r="C464" t="s">
        <v>338</v>
      </c>
      <c r="D464" t="s">
        <v>498</v>
      </c>
      <c r="E464" s="78">
        <v>233.91</v>
      </c>
      <c r="F464">
        <v>546851</v>
      </c>
    </row>
    <row r="465" spans="1:6" hidden="1" x14ac:dyDescent="0.25">
      <c r="A465">
        <v>59</v>
      </c>
      <c r="B465" s="77">
        <v>45117</v>
      </c>
      <c r="C465" t="s">
        <v>338</v>
      </c>
      <c r="D465" t="s">
        <v>499</v>
      </c>
      <c r="E465" s="78">
        <v>378</v>
      </c>
      <c r="F465">
        <v>136375</v>
      </c>
    </row>
    <row r="466" spans="1:6" hidden="1" x14ac:dyDescent="0.25">
      <c r="A466">
        <v>57</v>
      </c>
      <c r="B466" s="77">
        <v>45117</v>
      </c>
      <c r="C466" t="s">
        <v>338</v>
      </c>
      <c r="D466" t="s">
        <v>500</v>
      </c>
      <c r="E466" s="78">
        <v>203.3</v>
      </c>
      <c r="F466">
        <v>517441</v>
      </c>
    </row>
    <row r="467" spans="1:6" hidden="1" x14ac:dyDescent="0.25">
      <c r="A467">
        <v>55</v>
      </c>
      <c r="B467" s="77">
        <v>45117</v>
      </c>
      <c r="C467" t="s">
        <v>338</v>
      </c>
      <c r="D467" t="s">
        <v>501</v>
      </c>
      <c r="E467" s="78">
        <v>100</v>
      </c>
      <c r="F467">
        <v>642523</v>
      </c>
    </row>
    <row r="468" spans="1:6" hidden="1" x14ac:dyDescent="0.25">
      <c r="A468">
        <v>48</v>
      </c>
      <c r="B468" s="77">
        <v>45119</v>
      </c>
      <c r="C468" t="s">
        <v>168</v>
      </c>
      <c r="D468" t="s">
        <v>481</v>
      </c>
      <c r="E468" s="78">
        <v>-3300</v>
      </c>
      <c r="F468">
        <v>104289</v>
      </c>
    </row>
    <row r="469" spans="1:6" hidden="1" x14ac:dyDescent="0.25">
      <c r="A469">
        <v>49</v>
      </c>
      <c r="B469" s="77">
        <v>45119</v>
      </c>
      <c r="C469" t="s">
        <v>168</v>
      </c>
      <c r="D469" t="s">
        <v>438</v>
      </c>
      <c r="E469" s="78">
        <v>-2000</v>
      </c>
      <c r="F469">
        <v>99550</v>
      </c>
    </row>
    <row r="470" spans="1:6" hidden="1" x14ac:dyDescent="0.25">
      <c r="A470">
        <v>50</v>
      </c>
      <c r="B470" s="77">
        <v>45119</v>
      </c>
      <c r="C470" t="s">
        <v>168</v>
      </c>
      <c r="D470" t="s">
        <v>374</v>
      </c>
      <c r="E470" s="78">
        <v>-434.01</v>
      </c>
      <c r="F470">
        <v>96979</v>
      </c>
    </row>
    <row r="471" spans="1:6" hidden="1" x14ac:dyDescent="0.25">
      <c r="A471">
        <v>46</v>
      </c>
      <c r="B471" s="77">
        <v>45120</v>
      </c>
      <c r="C471" t="s">
        <v>168</v>
      </c>
      <c r="D471" t="s">
        <v>326</v>
      </c>
      <c r="E471" s="78">
        <v>-1840</v>
      </c>
      <c r="F471">
        <v>101755</v>
      </c>
    </row>
    <row r="472" spans="1:6" hidden="1" x14ac:dyDescent="0.25">
      <c r="A472">
        <v>47</v>
      </c>
      <c r="B472" s="77">
        <v>45120</v>
      </c>
      <c r="C472" t="s">
        <v>174</v>
      </c>
      <c r="D472" t="s">
        <v>504</v>
      </c>
      <c r="E472" s="78">
        <v>-3890</v>
      </c>
      <c r="F472">
        <v>770610</v>
      </c>
    </row>
    <row r="473" spans="1:6" hidden="1" x14ac:dyDescent="0.25">
      <c r="A473">
        <v>41</v>
      </c>
      <c r="B473" s="77">
        <v>45121</v>
      </c>
      <c r="C473" t="s">
        <v>168</v>
      </c>
      <c r="D473" t="s">
        <v>218</v>
      </c>
      <c r="E473" s="78">
        <v>-251.03</v>
      </c>
      <c r="F473">
        <v>60226</v>
      </c>
    </row>
    <row r="474" spans="1:6" hidden="1" x14ac:dyDescent="0.25">
      <c r="A474">
        <v>42</v>
      </c>
      <c r="B474" s="77">
        <v>45121</v>
      </c>
      <c r="C474" t="s">
        <v>168</v>
      </c>
      <c r="D474" t="s">
        <v>208</v>
      </c>
      <c r="E474" s="78">
        <v>-7570</v>
      </c>
      <c r="F474">
        <v>67606</v>
      </c>
    </row>
    <row r="475" spans="1:6" hidden="1" x14ac:dyDescent="0.25">
      <c r="A475">
        <v>43</v>
      </c>
      <c r="B475" s="77">
        <v>45121</v>
      </c>
      <c r="C475" t="s">
        <v>168</v>
      </c>
      <c r="D475" t="s">
        <v>218</v>
      </c>
      <c r="E475" s="78">
        <v>-2092.77</v>
      </c>
      <c r="F475">
        <v>60205</v>
      </c>
    </row>
    <row r="476" spans="1:6" hidden="1" x14ac:dyDescent="0.25">
      <c r="A476">
        <v>44</v>
      </c>
      <c r="B476" s="77">
        <v>45121</v>
      </c>
      <c r="C476" t="s">
        <v>168</v>
      </c>
      <c r="D476" t="s">
        <v>198</v>
      </c>
      <c r="E476" s="78">
        <v>-1520</v>
      </c>
      <c r="F476">
        <v>39911</v>
      </c>
    </row>
    <row r="477" spans="1:6" hidden="1" x14ac:dyDescent="0.25">
      <c r="A477">
        <v>45</v>
      </c>
      <c r="B477" s="77">
        <v>45121</v>
      </c>
      <c r="C477" t="s">
        <v>185</v>
      </c>
      <c r="D477" t="s">
        <v>186</v>
      </c>
      <c r="E477" s="78">
        <v>-22000</v>
      </c>
      <c r="F477">
        <v>1814</v>
      </c>
    </row>
    <row r="478" spans="1:6" hidden="1" x14ac:dyDescent="0.25">
      <c r="A478">
        <v>40</v>
      </c>
      <c r="B478" s="77">
        <v>45124</v>
      </c>
      <c r="C478" t="s">
        <v>182</v>
      </c>
      <c r="D478" t="s">
        <v>183</v>
      </c>
      <c r="E478" s="78">
        <v>138717.65</v>
      </c>
      <c r="F478">
        <v>0</v>
      </c>
    </row>
    <row r="479" spans="1:6" hidden="1" x14ac:dyDescent="0.25">
      <c r="A479">
        <v>38</v>
      </c>
      <c r="B479" s="77">
        <v>45124</v>
      </c>
      <c r="C479" t="s">
        <v>168</v>
      </c>
      <c r="D479" t="s">
        <v>480</v>
      </c>
      <c r="E479" s="78">
        <v>-3780</v>
      </c>
      <c r="F479">
        <v>18231</v>
      </c>
    </row>
    <row r="480" spans="1:6" hidden="1" x14ac:dyDescent="0.25">
      <c r="A480">
        <v>39</v>
      </c>
      <c r="B480" s="77">
        <v>45124</v>
      </c>
      <c r="C480" t="s">
        <v>200</v>
      </c>
      <c r="D480" t="s">
        <v>489</v>
      </c>
      <c r="E480" s="78">
        <v>-1800</v>
      </c>
      <c r="F480">
        <v>512098</v>
      </c>
    </row>
    <row r="481" spans="1:6" hidden="1" x14ac:dyDescent="0.25">
      <c r="A481">
        <v>33</v>
      </c>
      <c r="B481" s="77">
        <v>45125</v>
      </c>
      <c r="C481" t="s">
        <v>168</v>
      </c>
      <c r="D481" t="s">
        <v>198</v>
      </c>
      <c r="E481" s="78">
        <v>-1700</v>
      </c>
      <c r="F481">
        <v>45026</v>
      </c>
    </row>
    <row r="482" spans="1:6" hidden="1" x14ac:dyDescent="0.25">
      <c r="A482">
        <v>32</v>
      </c>
      <c r="B482" s="77">
        <v>45125</v>
      </c>
      <c r="C482" t="s">
        <v>168</v>
      </c>
      <c r="D482" t="s">
        <v>482</v>
      </c>
      <c r="E482" s="78">
        <v>-6000</v>
      </c>
      <c r="F482">
        <v>94067</v>
      </c>
    </row>
    <row r="483" spans="1:6" hidden="1" x14ac:dyDescent="0.25">
      <c r="A483">
        <v>34</v>
      </c>
      <c r="B483" s="77">
        <v>45125</v>
      </c>
      <c r="C483" t="s">
        <v>200</v>
      </c>
      <c r="D483" t="s">
        <v>490</v>
      </c>
      <c r="E483" s="78">
        <v>-8000</v>
      </c>
      <c r="F483">
        <v>530059</v>
      </c>
    </row>
    <row r="484" spans="1:6" hidden="1" x14ac:dyDescent="0.25">
      <c r="A484">
        <v>35</v>
      </c>
      <c r="B484" s="77">
        <v>45125</v>
      </c>
      <c r="C484" t="s">
        <v>379</v>
      </c>
      <c r="E484" s="78">
        <v>-56000</v>
      </c>
      <c r="F484">
        <v>623635</v>
      </c>
    </row>
    <row r="485" spans="1:6" hidden="1" x14ac:dyDescent="0.25">
      <c r="A485">
        <v>36</v>
      </c>
      <c r="B485" s="77">
        <v>45125</v>
      </c>
      <c r="C485" t="s">
        <v>380</v>
      </c>
      <c r="E485" s="78">
        <v>-16800</v>
      </c>
      <c r="F485">
        <v>623635</v>
      </c>
    </row>
    <row r="486" spans="1:6" hidden="1" x14ac:dyDescent="0.25">
      <c r="A486">
        <v>37</v>
      </c>
      <c r="B486" s="77">
        <v>45125</v>
      </c>
      <c r="C486" t="s">
        <v>381</v>
      </c>
      <c r="E486" s="78">
        <v>-19600</v>
      </c>
      <c r="F486">
        <v>623635</v>
      </c>
    </row>
    <row r="487" spans="1:6" hidden="1" x14ac:dyDescent="0.25">
      <c r="A487">
        <v>29</v>
      </c>
      <c r="B487" s="77">
        <v>45126</v>
      </c>
      <c r="C487" t="s">
        <v>168</v>
      </c>
      <c r="D487" t="s">
        <v>365</v>
      </c>
      <c r="E487" s="78">
        <v>-760</v>
      </c>
      <c r="F487">
        <v>93479</v>
      </c>
    </row>
    <row r="488" spans="1:6" hidden="1" x14ac:dyDescent="0.25">
      <c r="A488">
        <v>31</v>
      </c>
      <c r="B488" s="77">
        <v>45126</v>
      </c>
      <c r="C488" t="s">
        <v>285</v>
      </c>
      <c r="D488" t="s">
        <v>288</v>
      </c>
      <c r="E488" s="78">
        <v>-10000</v>
      </c>
      <c r="F488">
        <v>6346</v>
      </c>
    </row>
    <row r="489" spans="1:6" hidden="1" x14ac:dyDescent="0.25">
      <c r="A489">
        <v>30</v>
      </c>
      <c r="B489" s="77">
        <v>45126</v>
      </c>
      <c r="C489" t="s">
        <v>285</v>
      </c>
      <c r="D489" t="s">
        <v>288</v>
      </c>
      <c r="E489" s="78">
        <v>-10000</v>
      </c>
      <c r="F489">
        <v>6347</v>
      </c>
    </row>
    <row r="490" spans="1:6" hidden="1" x14ac:dyDescent="0.25">
      <c r="A490">
        <v>28</v>
      </c>
      <c r="B490" s="77">
        <v>45128</v>
      </c>
      <c r="C490" t="s">
        <v>182</v>
      </c>
      <c r="D490" t="s">
        <v>183</v>
      </c>
      <c r="E490" s="78">
        <v>14202</v>
      </c>
      <c r="F490">
        <v>0</v>
      </c>
    </row>
    <row r="491" spans="1:6" hidden="1" x14ac:dyDescent="0.25">
      <c r="A491">
        <v>24</v>
      </c>
      <c r="B491" s="77">
        <v>45128</v>
      </c>
      <c r="C491" t="s">
        <v>168</v>
      </c>
      <c r="D491" t="s">
        <v>485</v>
      </c>
      <c r="E491" s="78">
        <v>-2500</v>
      </c>
      <c r="F491">
        <v>10160</v>
      </c>
    </row>
    <row r="492" spans="1:6" hidden="1" x14ac:dyDescent="0.25">
      <c r="A492">
        <v>23</v>
      </c>
      <c r="B492" s="77">
        <v>45128</v>
      </c>
      <c r="C492" t="s">
        <v>168</v>
      </c>
      <c r="D492" t="s">
        <v>213</v>
      </c>
      <c r="E492" s="78">
        <v>-5887.01</v>
      </c>
      <c r="F492">
        <v>833390</v>
      </c>
    </row>
    <row r="493" spans="1:6" hidden="1" x14ac:dyDescent="0.25">
      <c r="A493">
        <v>25</v>
      </c>
      <c r="B493" s="77">
        <v>45128</v>
      </c>
      <c r="C493" t="s">
        <v>168</v>
      </c>
      <c r="D493" t="s">
        <v>198</v>
      </c>
      <c r="E493" s="78">
        <v>-1050</v>
      </c>
      <c r="F493">
        <v>40392</v>
      </c>
    </row>
    <row r="494" spans="1:6" hidden="1" x14ac:dyDescent="0.25">
      <c r="A494">
        <v>26</v>
      </c>
      <c r="B494" s="77">
        <v>45128</v>
      </c>
      <c r="C494" t="s">
        <v>168</v>
      </c>
      <c r="D494" t="s">
        <v>301</v>
      </c>
      <c r="E494" s="78">
        <v>-1960</v>
      </c>
      <c r="F494">
        <v>36355</v>
      </c>
    </row>
    <row r="495" spans="1:6" hidden="1" x14ac:dyDescent="0.25">
      <c r="A495">
        <v>27</v>
      </c>
      <c r="B495" s="77">
        <v>45128</v>
      </c>
      <c r="C495" t="s">
        <v>168</v>
      </c>
      <c r="D495" t="s">
        <v>335</v>
      </c>
      <c r="E495" s="78">
        <v>-2900</v>
      </c>
      <c r="F495">
        <v>181956</v>
      </c>
    </row>
    <row r="496" spans="1:6" hidden="1" x14ac:dyDescent="0.25">
      <c r="A496">
        <v>17</v>
      </c>
      <c r="B496" s="77">
        <v>45131</v>
      </c>
      <c r="C496" t="s">
        <v>168</v>
      </c>
      <c r="D496" t="s">
        <v>198</v>
      </c>
      <c r="E496" s="78">
        <v>-1790</v>
      </c>
      <c r="F496">
        <v>40548</v>
      </c>
    </row>
    <row r="497" spans="1:6" hidden="1" x14ac:dyDescent="0.25">
      <c r="A497">
        <v>18</v>
      </c>
      <c r="B497" s="77">
        <v>45131</v>
      </c>
      <c r="C497" t="s">
        <v>168</v>
      </c>
      <c r="D497" t="s">
        <v>219</v>
      </c>
      <c r="E497" s="78">
        <v>-1800</v>
      </c>
      <c r="F497">
        <v>976939</v>
      </c>
    </row>
    <row r="498" spans="1:6" hidden="1" x14ac:dyDescent="0.25">
      <c r="A498">
        <v>19</v>
      </c>
      <c r="B498" s="77">
        <v>45131</v>
      </c>
      <c r="C498" t="s">
        <v>168</v>
      </c>
      <c r="D498" t="s">
        <v>486</v>
      </c>
      <c r="E498" s="78">
        <v>-4380</v>
      </c>
      <c r="F498">
        <v>70844</v>
      </c>
    </row>
    <row r="499" spans="1:6" hidden="1" x14ac:dyDescent="0.25">
      <c r="A499">
        <v>20</v>
      </c>
      <c r="B499" s="77">
        <v>45131</v>
      </c>
      <c r="C499" t="s">
        <v>168</v>
      </c>
      <c r="D499" t="s">
        <v>238</v>
      </c>
      <c r="E499" s="78">
        <v>-1210</v>
      </c>
      <c r="F499">
        <v>11230</v>
      </c>
    </row>
    <row r="500" spans="1:6" hidden="1" x14ac:dyDescent="0.25">
      <c r="A500">
        <v>21</v>
      </c>
      <c r="B500" s="77">
        <v>45131</v>
      </c>
      <c r="C500" t="s">
        <v>174</v>
      </c>
      <c r="D500" t="s">
        <v>505</v>
      </c>
      <c r="E500" s="78">
        <v>-1200</v>
      </c>
      <c r="F500">
        <v>720905</v>
      </c>
    </row>
    <row r="501" spans="1:6" hidden="1" x14ac:dyDescent="0.25">
      <c r="A501">
        <v>22</v>
      </c>
      <c r="B501" s="77">
        <v>45131</v>
      </c>
      <c r="C501" t="s">
        <v>174</v>
      </c>
      <c r="D501" t="s">
        <v>387</v>
      </c>
      <c r="E501" s="78">
        <v>-9000</v>
      </c>
      <c r="F501">
        <v>710703</v>
      </c>
    </row>
    <row r="502" spans="1:6" hidden="1" x14ac:dyDescent="0.25">
      <c r="A502">
        <v>16</v>
      </c>
      <c r="B502" s="77">
        <v>45132</v>
      </c>
      <c r="C502" t="s">
        <v>174</v>
      </c>
      <c r="D502" t="s">
        <v>503</v>
      </c>
      <c r="E502" s="78">
        <v>-18500</v>
      </c>
      <c r="F502">
        <v>789051</v>
      </c>
    </row>
    <row r="503" spans="1:6" hidden="1" x14ac:dyDescent="0.25">
      <c r="A503">
        <v>14</v>
      </c>
      <c r="B503" s="77">
        <v>45133</v>
      </c>
      <c r="C503" t="s">
        <v>285</v>
      </c>
      <c r="D503" t="s">
        <v>288</v>
      </c>
      <c r="E503" s="78">
        <v>-10000</v>
      </c>
      <c r="F503">
        <v>7300</v>
      </c>
    </row>
    <row r="504" spans="1:6" hidden="1" x14ac:dyDescent="0.25">
      <c r="A504">
        <v>15</v>
      </c>
      <c r="B504" s="77">
        <v>45133</v>
      </c>
      <c r="C504" t="s">
        <v>174</v>
      </c>
      <c r="D504" t="s">
        <v>387</v>
      </c>
      <c r="E504" s="78">
        <v>-4800</v>
      </c>
      <c r="F504">
        <v>916585</v>
      </c>
    </row>
    <row r="505" spans="1:6" hidden="1" x14ac:dyDescent="0.25">
      <c r="A505">
        <v>12</v>
      </c>
      <c r="B505" s="77">
        <v>45134</v>
      </c>
      <c r="C505" t="s">
        <v>168</v>
      </c>
      <c r="D505" t="s">
        <v>487</v>
      </c>
      <c r="E505" s="78">
        <v>-5434.99</v>
      </c>
      <c r="F505">
        <v>759333</v>
      </c>
    </row>
    <row r="506" spans="1:6" hidden="1" x14ac:dyDescent="0.25">
      <c r="A506">
        <v>11</v>
      </c>
      <c r="B506" s="77">
        <v>45134</v>
      </c>
      <c r="C506" t="s">
        <v>168</v>
      </c>
      <c r="D506" t="s">
        <v>176</v>
      </c>
      <c r="E506" s="78">
        <v>-3742.02</v>
      </c>
      <c r="F506">
        <v>292523</v>
      </c>
    </row>
    <row r="507" spans="1:6" hidden="1" x14ac:dyDescent="0.25">
      <c r="A507">
        <v>13</v>
      </c>
      <c r="B507" s="77">
        <v>45134</v>
      </c>
      <c r="C507" t="s">
        <v>185</v>
      </c>
      <c r="D507" t="s">
        <v>186</v>
      </c>
      <c r="E507" s="78">
        <v>-13000</v>
      </c>
      <c r="F507">
        <v>4496</v>
      </c>
    </row>
    <row r="508" spans="1:6" hidden="1" x14ac:dyDescent="0.25">
      <c r="A508">
        <v>9</v>
      </c>
      <c r="B508" s="77">
        <v>45135</v>
      </c>
      <c r="C508" t="s">
        <v>182</v>
      </c>
      <c r="D508" t="s">
        <v>183</v>
      </c>
      <c r="E508" s="78">
        <v>18936</v>
      </c>
      <c r="F508">
        <v>0</v>
      </c>
    </row>
    <row r="509" spans="1:6" hidden="1" x14ac:dyDescent="0.25">
      <c r="A509">
        <v>5</v>
      </c>
      <c r="B509" s="77">
        <v>45135</v>
      </c>
      <c r="C509" t="s">
        <v>168</v>
      </c>
      <c r="D509" t="s">
        <v>173</v>
      </c>
      <c r="E509" s="78">
        <v>-3145.33</v>
      </c>
      <c r="F509">
        <v>191327</v>
      </c>
    </row>
    <row r="510" spans="1:6" hidden="1" x14ac:dyDescent="0.25">
      <c r="A510">
        <v>6</v>
      </c>
      <c r="B510" s="77">
        <v>45135</v>
      </c>
      <c r="C510" t="s">
        <v>168</v>
      </c>
      <c r="D510" t="s">
        <v>220</v>
      </c>
      <c r="E510" s="78">
        <v>-2100</v>
      </c>
      <c r="F510">
        <v>83726</v>
      </c>
    </row>
    <row r="511" spans="1:6" hidden="1" x14ac:dyDescent="0.25">
      <c r="A511">
        <v>7</v>
      </c>
      <c r="B511" s="77">
        <v>45135</v>
      </c>
      <c r="C511" t="s">
        <v>491</v>
      </c>
      <c r="D511" t="s">
        <v>492</v>
      </c>
      <c r="E511" s="78">
        <v>-144556.35999999999</v>
      </c>
      <c r="F511">
        <v>0</v>
      </c>
    </row>
    <row r="512" spans="1:6" hidden="1" x14ac:dyDescent="0.25">
      <c r="A512">
        <v>8</v>
      </c>
      <c r="B512" s="77">
        <v>45135</v>
      </c>
      <c r="C512" t="s">
        <v>493</v>
      </c>
      <c r="D512" t="s">
        <v>494</v>
      </c>
      <c r="E512" s="78">
        <v>-17714</v>
      </c>
      <c r="F512">
        <v>0</v>
      </c>
    </row>
    <row r="513" spans="1:6" hidden="1" x14ac:dyDescent="0.25">
      <c r="A513">
        <v>10</v>
      </c>
      <c r="B513" s="77">
        <v>45135</v>
      </c>
      <c r="C513" t="s">
        <v>174</v>
      </c>
      <c r="D513" t="s">
        <v>355</v>
      </c>
      <c r="E513" s="78">
        <v>-9900</v>
      </c>
      <c r="F513">
        <v>1148</v>
      </c>
    </row>
    <row r="514" spans="1:6" hidden="1" x14ac:dyDescent="0.25">
      <c r="A514">
        <v>0</v>
      </c>
      <c r="B514" s="77">
        <v>45138</v>
      </c>
      <c r="C514" t="s">
        <v>168</v>
      </c>
      <c r="D514" t="s">
        <v>484</v>
      </c>
      <c r="E514" s="78">
        <v>-5400</v>
      </c>
      <c r="F514">
        <v>73762</v>
      </c>
    </row>
    <row r="515" spans="1:6" hidden="1" x14ac:dyDescent="0.25">
      <c r="A515">
        <v>2</v>
      </c>
      <c r="B515" s="77">
        <v>45138</v>
      </c>
      <c r="C515" t="s">
        <v>168</v>
      </c>
      <c r="D515" t="s">
        <v>201</v>
      </c>
      <c r="E515" s="78">
        <v>-1350</v>
      </c>
      <c r="F515">
        <v>37875</v>
      </c>
    </row>
    <row r="516" spans="1:6" hidden="1" x14ac:dyDescent="0.25">
      <c r="A516">
        <v>1</v>
      </c>
      <c r="B516" s="77">
        <v>45138</v>
      </c>
      <c r="C516" t="s">
        <v>168</v>
      </c>
      <c r="D516" t="s">
        <v>488</v>
      </c>
      <c r="E516" s="78">
        <v>-2300</v>
      </c>
      <c r="F516">
        <v>40812</v>
      </c>
    </row>
    <row r="517" spans="1:6" hidden="1" x14ac:dyDescent="0.25">
      <c r="A517">
        <v>4</v>
      </c>
      <c r="B517" s="77">
        <v>45138</v>
      </c>
      <c r="C517" t="s">
        <v>172</v>
      </c>
      <c r="E517" s="78">
        <v>-603.19000000000005</v>
      </c>
      <c r="F517">
        <v>0</v>
      </c>
    </row>
    <row r="518" spans="1:6" hidden="1" x14ac:dyDescent="0.25">
      <c r="A518">
        <v>3</v>
      </c>
      <c r="B518" s="77">
        <v>45138</v>
      </c>
      <c r="C518" t="s">
        <v>171</v>
      </c>
      <c r="E518" s="78">
        <v>-2872.35</v>
      </c>
      <c r="F518">
        <v>0</v>
      </c>
    </row>
    <row r="519" spans="1:6" hidden="1" x14ac:dyDescent="0.25">
      <c r="A519">
        <v>60</v>
      </c>
      <c r="B519" s="77">
        <v>45139</v>
      </c>
      <c r="C519" t="s">
        <v>172</v>
      </c>
      <c r="E519" s="78">
        <v>-14.98</v>
      </c>
      <c r="F519">
        <v>0</v>
      </c>
    </row>
    <row r="520" spans="1:6" hidden="1" x14ac:dyDescent="0.25">
      <c r="A520">
        <v>59</v>
      </c>
      <c r="B520" s="77">
        <v>45139</v>
      </c>
      <c r="C520" t="s">
        <v>187</v>
      </c>
      <c r="E520" s="78">
        <v>39.1</v>
      </c>
      <c r="F520">
        <v>0</v>
      </c>
    </row>
    <row r="521" spans="1:6" hidden="1" x14ac:dyDescent="0.25">
      <c r="A521">
        <v>58</v>
      </c>
      <c r="B521" s="77">
        <v>45139</v>
      </c>
      <c r="C521" t="s">
        <v>526</v>
      </c>
      <c r="E521" s="78">
        <v>-71.33</v>
      </c>
      <c r="F521">
        <v>0</v>
      </c>
    </row>
    <row r="522" spans="1:6" hidden="1" x14ac:dyDescent="0.25">
      <c r="A522">
        <v>57</v>
      </c>
      <c r="B522" s="77">
        <v>45140</v>
      </c>
      <c r="C522" t="s">
        <v>200</v>
      </c>
      <c r="D522" t="s">
        <v>214</v>
      </c>
      <c r="E522" s="78">
        <v>-6300</v>
      </c>
      <c r="F522">
        <v>657483</v>
      </c>
    </row>
    <row r="523" spans="1:6" hidden="1" x14ac:dyDescent="0.25">
      <c r="A523">
        <v>56</v>
      </c>
      <c r="B523" s="77">
        <v>45140</v>
      </c>
      <c r="C523" t="s">
        <v>285</v>
      </c>
      <c r="D523" t="s">
        <v>288</v>
      </c>
      <c r="E523" s="78">
        <v>-4000</v>
      </c>
      <c r="F523">
        <v>9252</v>
      </c>
    </row>
    <row r="524" spans="1:6" hidden="1" x14ac:dyDescent="0.25">
      <c r="A524">
        <v>55</v>
      </c>
      <c r="B524" s="77">
        <v>45140</v>
      </c>
      <c r="C524" t="s">
        <v>285</v>
      </c>
      <c r="D524" t="s">
        <v>288</v>
      </c>
      <c r="E524" s="78">
        <v>-1000</v>
      </c>
      <c r="F524">
        <v>9253</v>
      </c>
    </row>
    <row r="525" spans="1:6" hidden="1" x14ac:dyDescent="0.25">
      <c r="A525">
        <v>54</v>
      </c>
      <c r="B525" s="77">
        <v>45140</v>
      </c>
      <c r="C525" t="s">
        <v>168</v>
      </c>
      <c r="D525" t="s">
        <v>173</v>
      </c>
      <c r="E525" s="78">
        <v>-812.25</v>
      </c>
      <c r="F525">
        <v>877185</v>
      </c>
    </row>
    <row r="526" spans="1:6" hidden="1" x14ac:dyDescent="0.25">
      <c r="A526">
        <v>53</v>
      </c>
      <c r="B526" s="77">
        <v>45141</v>
      </c>
      <c r="C526" t="s">
        <v>382</v>
      </c>
      <c r="D526" t="s">
        <v>383</v>
      </c>
      <c r="E526" s="78">
        <v>80000</v>
      </c>
      <c r="F526">
        <v>354590</v>
      </c>
    </row>
    <row r="527" spans="1:6" hidden="1" x14ac:dyDescent="0.25">
      <c r="A527">
        <v>52</v>
      </c>
      <c r="B527" s="77">
        <v>45141</v>
      </c>
      <c r="C527" t="s">
        <v>168</v>
      </c>
      <c r="D527" t="s">
        <v>208</v>
      </c>
      <c r="E527" s="78">
        <v>-2700</v>
      </c>
      <c r="F527">
        <v>673022</v>
      </c>
    </row>
    <row r="528" spans="1:6" hidden="1" x14ac:dyDescent="0.25">
      <c r="A528">
        <v>46</v>
      </c>
      <c r="B528" s="77">
        <v>45142</v>
      </c>
      <c r="C528" t="s">
        <v>168</v>
      </c>
      <c r="D528" t="s">
        <v>198</v>
      </c>
      <c r="E528" s="78">
        <v>-1320</v>
      </c>
      <c r="F528">
        <v>41248</v>
      </c>
    </row>
    <row r="529" spans="1:6" hidden="1" x14ac:dyDescent="0.25">
      <c r="A529">
        <v>47</v>
      </c>
      <c r="B529" s="77">
        <v>45142</v>
      </c>
      <c r="C529" t="s">
        <v>168</v>
      </c>
      <c r="D529" t="s">
        <v>213</v>
      </c>
      <c r="E529" s="78">
        <v>-6000</v>
      </c>
      <c r="F529">
        <v>383652</v>
      </c>
    </row>
    <row r="530" spans="1:6" hidden="1" x14ac:dyDescent="0.25">
      <c r="A530">
        <v>49</v>
      </c>
      <c r="B530" s="77">
        <v>45142</v>
      </c>
      <c r="C530" t="s">
        <v>182</v>
      </c>
      <c r="D530" t="s">
        <v>183</v>
      </c>
      <c r="E530" s="78">
        <v>14849</v>
      </c>
      <c r="F530">
        <v>0</v>
      </c>
    </row>
    <row r="531" spans="1:6" hidden="1" x14ac:dyDescent="0.25">
      <c r="A531">
        <v>50</v>
      </c>
      <c r="B531" s="77">
        <v>45142</v>
      </c>
      <c r="C531" t="s">
        <v>182</v>
      </c>
      <c r="D531" t="s">
        <v>183</v>
      </c>
      <c r="E531" s="78">
        <v>512534.75</v>
      </c>
      <c r="F531">
        <v>0</v>
      </c>
    </row>
    <row r="532" spans="1:6" hidden="1" x14ac:dyDescent="0.25">
      <c r="A532">
        <v>51</v>
      </c>
      <c r="B532" s="77">
        <v>45142</v>
      </c>
      <c r="C532" t="s">
        <v>174</v>
      </c>
      <c r="D532" t="s">
        <v>527</v>
      </c>
      <c r="E532" s="78">
        <v>-4100</v>
      </c>
      <c r="F532">
        <v>570273</v>
      </c>
    </row>
    <row r="533" spans="1:6" hidden="1" x14ac:dyDescent="0.25">
      <c r="A533">
        <v>48</v>
      </c>
      <c r="B533" s="77">
        <v>45142</v>
      </c>
      <c r="C533" t="s">
        <v>168</v>
      </c>
      <c r="D533" t="s">
        <v>483</v>
      </c>
      <c r="E533" s="78">
        <v>-1350</v>
      </c>
      <c r="F533">
        <v>392393</v>
      </c>
    </row>
    <row r="534" spans="1:6" hidden="1" x14ac:dyDescent="0.25">
      <c r="A534">
        <v>37</v>
      </c>
      <c r="B534" s="77">
        <v>45145</v>
      </c>
      <c r="C534" t="s">
        <v>168</v>
      </c>
      <c r="D534" t="s">
        <v>444</v>
      </c>
      <c r="E534" s="78">
        <v>-2400</v>
      </c>
      <c r="F534">
        <v>15077</v>
      </c>
    </row>
    <row r="535" spans="1:6" hidden="1" x14ac:dyDescent="0.25">
      <c r="A535">
        <v>34</v>
      </c>
      <c r="B535" s="77">
        <v>45145</v>
      </c>
      <c r="C535" t="s">
        <v>180</v>
      </c>
      <c r="D535" t="s">
        <v>181</v>
      </c>
      <c r="E535" s="78">
        <v>-64789.440000000002</v>
      </c>
      <c r="F535">
        <v>431055</v>
      </c>
    </row>
    <row r="536" spans="1:6" hidden="1" x14ac:dyDescent="0.25">
      <c r="A536">
        <v>35</v>
      </c>
      <c r="B536" s="77">
        <v>45145</v>
      </c>
      <c r="C536" t="s">
        <v>168</v>
      </c>
      <c r="D536" t="s">
        <v>528</v>
      </c>
      <c r="E536" s="78">
        <v>-8950</v>
      </c>
      <c r="F536">
        <v>109012</v>
      </c>
    </row>
    <row r="537" spans="1:6" hidden="1" x14ac:dyDescent="0.25">
      <c r="A537">
        <v>36</v>
      </c>
      <c r="B537" s="77">
        <v>45145</v>
      </c>
      <c r="C537" t="s">
        <v>168</v>
      </c>
      <c r="D537" t="s">
        <v>209</v>
      </c>
      <c r="E537" s="78">
        <v>-980</v>
      </c>
      <c r="F537">
        <v>99353</v>
      </c>
    </row>
    <row r="538" spans="1:6" hidden="1" x14ac:dyDescent="0.25">
      <c r="A538">
        <v>38</v>
      </c>
      <c r="B538" s="77">
        <v>45145</v>
      </c>
      <c r="C538" t="s">
        <v>285</v>
      </c>
      <c r="D538" t="s">
        <v>288</v>
      </c>
      <c r="E538" s="78">
        <v>-10000</v>
      </c>
      <c r="F538">
        <v>9435</v>
      </c>
    </row>
    <row r="539" spans="1:6" hidden="1" x14ac:dyDescent="0.25">
      <c r="A539">
        <v>44</v>
      </c>
      <c r="B539" s="77">
        <v>45145</v>
      </c>
      <c r="C539" t="s">
        <v>338</v>
      </c>
      <c r="D539" t="s">
        <v>529</v>
      </c>
      <c r="E539" s="78">
        <v>548.04999999999995</v>
      </c>
      <c r="F539">
        <v>484663</v>
      </c>
    </row>
    <row r="540" spans="1:6" hidden="1" x14ac:dyDescent="0.25">
      <c r="A540">
        <v>40</v>
      </c>
      <c r="B540" s="77">
        <v>45145</v>
      </c>
      <c r="C540" t="s">
        <v>338</v>
      </c>
      <c r="D540" t="s">
        <v>530</v>
      </c>
      <c r="E540" s="78">
        <v>135</v>
      </c>
      <c r="F540">
        <v>37875</v>
      </c>
    </row>
    <row r="541" spans="1:6" hidden="1" x14ac:dyDescent="0.25">
      <c r="A541">
        <v>41</v>
      </c>
      <c r="B541" s="77">
        <v>45145</v>
      </c>
      <c r="C541" t="s">
        <v>338</v>
      </c>
      <c r="D541" t="s">
        <v>531</v>
      </c>
      <c r="E541" s="78">
        <v>281</v>
      </c>
      <c r="F541">
        <v>464743</v>
      </c>
    </row>
    <row r="542" spans="1:6" hidden="1" x14ac:dyDescent="0.25">
      <c r="A542">
        <v>42</v>
      </c>
      <c r="B542" s="77">
        <v>45145</v>
      </c>
      <c r="C542" t="s">
        <v>338</v>
      </c>
      <c r="D542" t="s">
        <v>532</v>
      </c>
      <c r="E542" s="78">
        <v>413.95</v>
      </c>
      <c r="F542">
        <v>833390</v>
      </c>
    </row>
    <row r="543" spans="1:6" hidden="1" x14ac:dyDescent="0.25">
      <c r="A543">
        <v>43</v>
      </c>
      <c r="B543" s="77">
        <v>45145</v>
      </c>
      <c r="C543" t="s">
        <v>338</v>
      </c>
      <c r="D543" t="s">
        <v>533</v>
      </c>
      <c r="E543" s="78">
        <v>438.5</v>
      </c>
      <c r="F543">
        <v>37027</v>
      </c>
    </row>
    <row r="544" spans="1:6" hidden="1" x14ac:dyDescent="0.25">
      <c r="A544">
        <v>39</v>
      </c>
      <c r="B544" s="77">
        <v>45145</v>
      </c>
      <c r="C544" t="s">
        <v>336</v>
      </c>
      <c r="D544" t="s">
        <v>378</v>
      </c>
      <c r="E544" s="78">
        <v>-282828.75</v>
      </c>
      <c r="F544">
        <v>828009</v>
      </c>
    </row>
    <row r="545" spans="1:6" hidden="1" x14ac:dyDescent="0.25">
      <c r="A545">
        <v>45</v>
      </c>
      <c r="B545" s="77">
        <v>45145</v>
      </c>
      <c r="C545" t="s">
        <v>338</v>
      </c>
      <c r="D545" t="s">
        <v>534</v>
      </c>
      <c r="E545" s="78">
        <v>757</v>
      </c>
      <c r="F545">
        <v>67606</v>
      </c>
    </row>
    <row r="546" spans="1:6" hidden="1" x14ac:dyDescent="0.25">
      <c r="A546">
        <v>33</v>
      </c>
      <c r="B546" s="77">
        <v>45146</v>
      </c>
      <c r="C546" t="s">
        <v>285</v>
      </c>
      <c r="D546" t="s">
        <v>288</v>
      </c>
      <c r="E546" s="78">
        <v>-5000</v>
      </c>
      <c r="F546">
        <v>9687</v>
      </c>
    </row>
    <row r="547" spans="1:6" hidden="1" x14ac:dyDescent="0.25">
      <c r="A547">
        <v>32</v>
      </c>
      <c r="B547" s="77">
        <v>45146</v>
      </c>
      <c r="C547" t="s">
        <v>168</v>
      </c>
      <c r="D547" t="s">
        <v>326</v>
      </c>
      <c r="E547" s="78">
        <v>-2050</v>
      </c>
      <c r="F547">
        <v>101903</v>
      </c>
    </row>
    <row r="548" spans="1:6" hidden="1" x14ac:dyDescent="0.25">
      <c r="A548">
        <v>31</v>
      </c>
      <c r="B548" s="77">
        <v>45148</v>
      </c>
      <c r="C548" t="s">
        <v>381</v>
      </c>
      <c r="E548" s="78">
        <v>-26730</v>
      </c>
      <c r="F548">
        <v>302781</v>
      </c>
    </row>
    <row r="549" spans="1:6" hidden="1" x14ac:dyDescent="0.25">
      <c r="A549">
        <v>30</v>
      </c>
      <c r="B549" s="77">
        <v>45148</v>
      </c>
      <c r="C549" t="s">
        <v>380</v>
      </c>
      <c r="E549" s="78">
        <v>-17820</v>
      </c>
      <c r="F549">
        <v>302781</v>
      </c>
    </row>
    <row r="550" spans="1:6" hidden="1" x14ac:dyDescent="0.25">
      <c r="A550">
        <v>28</v>
      </c>
      <c r="B550" s="77">
        <v>45148</v>
      </c>
      <c r="C550" t="s">
        <v>285</v>
      </c>
      <c r="D550" t="s">
        <v>288</v>
      </c>
      <c r="E550" s="78">
        <v>-10000</v>
      </c>
      <c r="F550">
        <v>189</v>
      </c>
    </row>
    <row r="551" spans="1:6" hidden="1" x14ac:dyDescent="0.25">
      <c r="A551">
        <v>27</v>
      </c>
      <c r="B551" s="77">
        <v>45148</v>
      </c>
      <c r="C551" t="s">
        <v>285</v>
      </c>
      <c r="D551" t="s">
        <v>288</v>
      </c>
      <c r="E551" s="78">
        <v>-5000</v>
      </c>
      <c r="F551">
        <v>190</v>
      </c>
    </row>
    <row r="552" spans="1:6" hidden="1" x14ac:dyDescent="0.25">
      <c r="A552">
        <v>29</v>
      </c>
      <c r="B552" s="77">
        <v>45148</v>
      </c>
      <c r="C552" t="s">
        <v>379</v>
      </c>
      <c r="E552" s="78">
        <v>-59400</v>
      </c>
      <c r="F552">
        <v>302781</v>
      </c>
    </row>
    <row r="553" spans="1:6" hidden="1" x14ac:dyDescent="0.25">
      <c r="A553">
        <v>26</v>
      </c>
      <c r="B553" s="77">
        <v>45149</v>
      </c>
      <c r="C553" t="s">
        <v>174</v>
      </c>
      <c r="D553" t="s">
        <v>535</v>
      </c>
      <c r="E553" s="78">
        <v>-3000</v>
      </c>
      <c r="F553">
        <v>174406</v>
      </c>
    </row>
    <row r="554" spans="1:6" hidden="1" x14ac:dyDescent="0.25">
      <c r="A554">
        <v>25</v>
      </c>
      <c r="B554" s="77">
        <v>45152</v>
      </c>
      <c r="C554" t="s">
        <v>174</v>
      </c>
      <c r="D554" t="s">
        <v>291</v>
      </c>
      <c r="E554" s="78">
        <v>-8000</v>
      </c>
      <c r="F554">
        <v>190485</v>
      </c>
    </row>
    <row r="555" spans="1:6" hidden="1" x14ac:dyDescent="0.25">
      <c r="A555">
        <v>24</v>
      </c>
      <c r="B555" s="77">
        <v>45152</v>
      </c>
      <c r="C555" t="s">
        <v>285</v>
      </c>
      <c r="D555" t="s">
        <v>311</v>
      </c>
      <c r="E555" s="78">
        <v>-6000</v>
      </c>
      <c r="F555">
        <v>650</v>
      </c>
    </row>
    <row r="556" spans="1:6" hidden="1" x14ac:dyDescent="0.25">
      <c r="A556">
        <v>23</v>
      </c>
      <c r="B556" s="77">
        <v>45152</v>
      </c>
      <c r="C556" t="s">
        <v>168</v>
      </c>
      <c r="D556" t="s">
        <v>198</v>
      </c>
      <c r="E556" s="78">
        <v>-1510</v>
      </c>
      <c r="F556">
        <v>45948</v>
      </c>
    </row>
    <row r="557" spans="1:6" hidden="1" x14ac:dyDescent="0.25">
      <c r="A557">
        <v>22</v>
      </c>
      <c r="B557" s="77">
        <v>45152</v>
      </c>
      <c r="C557" t="s">
        <v>168</v>
      </c>
      <c r="D557" t="s">
        <v>208</v>
      </c>
      <c r="E557" s="78">
        <v>-4830</v>
      </c>
      <c r="F557">
        <v>916795</v>
      </c>
    </row>
    <row r="558" spans="1:6" hidden="1" x14ac:dyDescent="0.25">
      <c r="A558">
        <v>21</v>
      </c>
      <c r="B558" s="77">
        <v>45152</v>
      </c>
      <c r="C558" t="s">
        <v>168</v>
      </c>
      <c r="D558" t="s">
        <v>198</v>
      </c>
      <c r="E558" s="78">
        <v>-380</v>
      </c>
      <c r="F558">
        <v>41861</v>
      </c>
    </row>
    <row r="559" spans="1:6" hidden="1" x14ac:dyDescent="0.25">
      <c r="A559">
        <v>20</v>
      </c>
      <c r="B559" s="77">
        <v>45155</v>
      </c>
      <c r="C559" t="s">
        <v>174</v>
      </c>
      <c r="D559" t="s">
        <v>536</v>
      </c>
      <c r="E559" s="78">
        <v>-18100</v>
      </c>
      <c r="F559">
        <v>259611</v>
      </c>
    </row>
    <row r="560" spans="1:6" hidden="1" x14ac:dyDescent="0.25">
      <c r="A560">
        <v>19</v>
      </c>
      <c r="B560" s="77">
        <v>45155</v>
      </c>
      <c r="C560" t="s">
        <v>285</v>
      </c>
      <c r="D560" t="s">
        <v>288</v>
      </c>
      <c r="E560" s="78">
        <v>-10000</v>
      </c>
      <c r="F560">
        <v>1480</v>
      </c>
    </row>
    <row r="561" spans="1:6" hidden="1" x14ac:dyDescent="0.25">
      <c r="A561">
        <v>18</v>
      </c>
      <c r="B561" s="77">
        <v>45155</v>
      </c>
      <c r="C561" t="s">
        <v>168</v>
      </c>
      <c r="D561" t="s">
        <v>253</v>
      </c>
      <c r="E561" s="78">
        <v>-6780</v>
      </c>
      <c r="F561">
        <v>15159</v>
      </c>
    </row>
    <row r="562" spans="1:6" hidden="1" x14ac:dyDescent="0.25">
      <c r="A562">
        <v>17</v>
      </c>
      <c r="B562" s="77">
        <v>45155</v>
      </c>
      <c r="C562" t="s">
        <v>168</v>
      </c>
      <c r="D562" t="s">
        <v>537</v>
      </c>
      <c r="E562" s="78">
        <v>-10900</v>
      </c>
      <c r="F562">
        <v>69899</v>
      </c>
    </row>
    <row r="563" spans="1:6" hidden="1" x14ac:dyDescent="0.25">
      <c r="A563">
        <v>16</v>
      </c>
      <c r="B563" s="77">
        <v>45155</v>
      </c>
      <c r="C563" t="s">
        <v>168</v>
      </c>
      <c r="D563" t="s">
        <v>538</v>
      </c>
      <c r="E563" s="78">
        <v>-1250</v>
      </c>
      <c r="F563">
        <v>90347</v>
      </c>
    </row>
    <row r="564" spans="1:6" hidden="1" x14ac:dyDescent="0.25">
      <c r="A564">
        <v>13</v>
      </c>
      <c r="B564" s="77">
        <v>45156</v>
      </c>
      <c r="C564" t="s">
        <v>168</v>
      </c>
      <c r="D564" t="s">
        <v>173</v>
      </c>
      <c r="E564" s="78">
        <v>-3441.75</v>
      </c>
      <c r="F564">
        <v>304945</v>
      </c>
    </row>
    <row r="565" spans="1:6" hidden="1" x14ac:dyDescent="0.25">
      <c r="A565">
        <v>14</v>
      </c>
      <c r="B565" s="77">
        <v>45156</v>
      </c>
      <c r="C565" t="s">
        <v>168</v>
      </c>
      <c r="D565" t="s">
        <v>208</v>
      </c>
      <c r="E565" s="78">
        <v>-4000</v>
      </c>
      <c r="F565">
        <v>650541</v>
      </c>
    </row>
    <row r="566" spans="1:6" hidden="1" x14ac:dyDescent="0.25">
      <c r="A566">
        <v>15</v>
      </c>
      <c r="B566" s="77">
        <v>45156</v>
      </c>
      <c r="C566" t="s">
        <v>200</v>
      </c>
      <c r="D566" t="s">
        <v>539</v>
      </c>
      <c r="E566" s="78">
        <v>-1500</v>
      </c>
      <c r="F566">
        <v>871720</v>
      </c>
    </row>
    <row r="567" spans="1:6" hidden="1" x14ac:dyDescent="0.25">
      <c r="A567">
        <v>12</v>
      </c>
      <c r="B567" s="77">
        <v>45160</v>
      </c>
      <c r="C567" t="s">
        <v>200</v>
      </c>
      <c r="D567" t="s">
        <v>214</v>
      </c>
      <c r="E567" s="78">
        <v>-14000</v>
      </c>
      <c r="F567">
        <v>901840</v>
      </c>
    </row>
    <row r="568" spans="1:6" hidden="1" x14ac:dyDescent="0.25">
      <c r="A568">
        <v>11</v>
      </c>
      <c r="B568" s="77">
        <v>45160</v>
      </c>
      <c r="C568" t="s">
        <v>285</v>
      </c>
      <c r="D568" t="s">
        <v>288</v>
      </c>
      <c r="E568" s="78">
        <v>-10000</v>
      </c>
      <c r="F568">
        <v>2070</v>
      </c>
    </row>
    <row r="569" spans="1:6" hidden="1" x14ac:dyDescent="0.25">
      <c r="A569">
        <v>10</v>
      </c>
      <c r="B569" s="77">
        <v>45160</v>
      </c>
      <c r="C569" t="s">
        <v>168</v>
      </c>
      <c r="D569" t="s">
        <v>201</v>
      </c>
      <c r="E569" s="78">
        <v>-8806.5</v>
      </c>
      <c r="F569">
        <v>38665</v>
      </c>
    </row>
    <row r="570" spans="1:6" hidden="1" x14ac:dyDescent="0.25">
      <c r="A570">
        <v>9</v>
      </c>
      <c r="B570" s="77">
        <v>45160</v>
      </c>
      <c r="C570" t="s">
        <v>168</v>
      </c>
      <c r="D570" t="s">
        <v>540</v>
      </c>
      <c r="E570" s="78">
        <v>-2100</v>
      </c>
      <c r="F570">
        <v>111608</v>
      </c>
    </row>
    <row r="571" spans="1:6" hidden="1" x14ac:dyDescent="0.25">
      <c r="A571">
        <v>8</v>
      </c>
      <c r="B571" s="77">
        <v>45160</v>
      </c>
      <c r="C571" t="s">
        <v>168</v>
      </c>
      <c r="D571" t="s">
        <v>198</v>
      </c>
      <c r="E571" s="78">
        <v>-2520</v>
      </c>
      <c r="F571">
        <v>42284</v>
      </c>
    </row>
    <row r="572" spans="1:6" hidden="1" x14ac:dyDescent="0.25">
      <c r="A572">
        <v>7</v>
      </c>
      <c r="B572" s="77">
        <v>45160</v>
      </c>
      <c r="C572" t="s">
        <v>168</v>
      </c>
      <c r="D572" t="s">
        <v>541</v>
      </c>
      <c r="E572" s="78">
        <v>-4250</v>
      </c>
      <c r="F572">
        <v>731777</v>
      </c>
    </row>
    <row r="573" spans="1:6" hidden="1" x14ac:dyDescent="0.25">
      <c r="A573">
        <v>6</v>
      </c>
      <c r="B573" s="77">
        <v>45162</v>
      </c>
      <c r="C573" t="s">
        <v>174</v>
      </c>
      <c r="D573" t="s">
        <v>542</v>
      </c>
      <c r="E573" s="78">
        <v>-188800</v>
      </c>
      <c r="F573">
        <v>988147</v>
      </c>
    </row>
    <row r="574" spans="1:6" hidden="1" x14ac:dyDescent="0.25">
      <c r="A574">
        <v>5</v>
      </c>
      <c r="B574" s="77">
        <v>45163</v>
      </c>
      <c r="C574" t="s">
        <v>182</v>
      </c>
      <c r="D574" t="s">
        <v>183</v>
      </c>
      <c r="E574" s="78">
        <v>9899</v>
      </c>
      <c r="F574">
        <v>0</v>
      </c>
    </row>
    <row r="575" spans="1:6" hidden="1" x14ac:dyDescent="0.25">
      <c r="A575">
        <v>4</v>
      </c>
      <c r="B575" s="77">
        <v>45163</v>
      </c>
      <c r="C575" t="s">
        <v>168</v>
      </c>
      <c r="D575" t="s">
        <v>208</v>
      </c>
      <c r="E575" s="78">
        <v>-3500</v>
      </c>
      <c r="F575">
        <v>873550</v>
      </c>
    </row>
    <row r="576" spans="1:6" hidden="1" x14ac:dyDescent="0.25">
      <c r="A576">
        <v>3</v>
      </c>
      <c r="B576" s="77">
        <v>45163</v>
      </c>
      <c r="C576" t="s">
        <v>168</v>
      </c>
      <c r="D576" t="s">
        <v>253</v>
      </c>
      <c r="E576" s="78">
        <v>-3700</v>
      </c>
      <c r="F576">
        <v>26416</v>
      </c>
    </row>
    <row r="577" spans="1:6" hidden="1" x14ac:dyDescent="0.25">
      <c r="A577">
        <v>2</v>
      </c>
      <c r="B577" s="77">
        <v>45163</v>
      </c>
      <c r="C577" t="s">
        <v>168</v>
      </c>
      <c r="D577" t="s">
        <v>219</v>
      </c>
      <c r="E577" s="78">
        <v>-2300</v>
      </c>
      <c r="F577">
        <v>52796</v>
      </c>
    </row>
    <row r="578" spans="1:6" hidden="1" x14ac:dyDescent="0.25">
      <c r="A578">
        <v>1</v>
      </c>
      <c r="B578" s="77">
        <v>45163</v>
      </c>
      <c r="C578" t="s">
        <v>168</v>
      </c>
      <c r="D578" t="s">
        <v>201</v>
      </c>
      <c r="E578" s="78">
        <v>-790</v>
      </c>
      <c r="F578">
        <v>65718</v>
      </c>
    </row>
    <row r="579" spans="1:6" hidden="1" x14ac:dyDescent="0.25">
      <c r="A579">
        <v>0</v>
      </c>
      <c r="B579" s="77">
        <v>45166</v>
      </c>
      <c r="C579" t="s">
        <v>267</v>
      </c>
      <c r="D579" t="s">
        <v>543</v>
      </c>
      <c r="E579" s="78">
        <v>100000</v>
      </c>
      <c r="F579">
        <v>209109</v>
      </c>
    </row>
    <row r="580" spans="1:6" hidden="1" x14ac:dyDescent="0.25">
      <c r="A580">
        <v>79</v>
      </c>
      <c r="B580" s="77">
        <v>45170</v>
      </c>
      <c r="C580" t="s">
        <v>187</v>
      </c>
      <c r="E580" s="78">
        <v>26.28</v>
      </c>
      <c r="F580">
        <v>0</v>
      </c>
    </row>
    <row r="581" spans="1:6" hidden="1" x14ac:dyDescent="0.25">
      <c r="A581">
        <v>78</v>
      </c>
      <c r="B581" s="77">
        <v>45170</v>
      </c>
      <c r="C581" t="s">
        <v>168</v>
      </c>
      <c r="D581" t="s">
        <v>648</v>
      </c>
      <c r="E581" s="78">
        <v>-1532.88</v>
      </c>
      <c r="F581">
        <v>450100</v>
      </c>
    </row>
    <row r="582" spans="1:6" hidden="1" x14ac:dyDescent="0.25">
      <c r="A582">
        <v>77</v>
      </c>
      <c r="B582" s="77">
        <v>45170</v>
      </c>
      <c r="C582" t="s">
        <v>168</v>
      </c>
      <c r="D582" t="s">
        <v>208</v>
      </c>
      <c r="E582" s="78">
        <v>-4200</v>
      </c>
      <c r="F582">
        <v>470797</v>
      </c>
    </row>
    <row r="583" spans="1:6" hidden="1" x14ac:dyDescent="0.25">
      <c r="A583">
        <v>64</v>
      </c>
      <c r="B583" s="77">
        <v>45173</v>
      </c>
      <c r="C583" t="s">
        <v>168</v>
      </c>
      <c r="D583" t="s">
        <v>649</v>
      </c>
      <c r="E583" s="78">
        <v>-900</v>
      </c>
      <c r="F583">
        <v>62797</v>
      </c>
    </row>
    <row r="584" spans="1:6" hidden="1" x14ac:dyDescent="0.25">
      <c r="A584">
        <v>65</v>
      </c>
      <c r="B584" s="77">
        <v>45173</v>
      </c>
      <c r="C584" t="s">
        <v>168</v>
      </c>
      <c r="D584" t="s">
        <v>650</v>
      </c>
      <c r="E584" s="78">
        <v>-1800</v>
      </c>
      <c r="F584">
        <v>124138</v>
      </c>
    </row>
    <row r="585" spans="1:6" hidden="1" x14ac:dyDescent="0.25">
      <c r="A585">
        <v>66</v>
      </c>
      <c r="B585" s="77">
        <v>45173</v>
      </c>
      <c r="C585" t="s">
        <v>168</v>
      </c>
      <c r="D585" t="s">
        <v>651</v>
      </c>
      <c r="E585" s="78">
        <v>-1300</v>
      </c>
      <c r="F585">
        <v>62092</v>
      </c>
    </row>
    <row r="586" spans="1:6" hidden="1" x14ac:dyDescent="0.25">
      <c r="A586">
        <v>68</v>
      </c>
      <c r="B586" s="77">
        <v>45173</v>
      </c>
      <c r="C586" t="s">
        <v>168</v>
      </c>
      <c r="D586" t="s">
        <v>652</v>
      </c>
      <c r="E586" s="78">
        <v>-5500</v>
      </c>
      <c r="F586">
        <v>83122</v>
      </c>
    </row>
    <row r="587" spans="1:6" hidden="1" x14ac:dyDescent="0.25">
      <c r="A587">
        <v>69</v>
      </c>
      <c r="B587" s="77">
        <v>45173</v>
      </c>
      <c r="C587" t="s">
        <v>168</v>
      </c>
      <c r="D587" t="s">
        <v>653</v>
      </c>
      <c r="E587" s="78">
        <v>-1200</v>
      </c>
      <c r="F587">
        <v>61510</v>
      </c>
    </row>
    <row r="588" spans="1:6" hidden="1" x14ac:dyDescent="0.25">
      <c r="A588">
        <v>76</v>
      </c>
      <c r="B588" s="77">
        <v>45173</v>
      </c>
      <c r="C588" t="s">
        <v>382</v>
      </c>
      <c r="D588" t="s">
        <v>383</v>
      </c>
      <c r="E588" s="78">
        <v>80000</v>
      </c>
      <c r="F588">
        <v>691153</v>
      </c>
    </row>
    <row r="589" spans="1:6" hidden="1" x14ac:dyDescent="0.25">
      <c r="A589">
        <v>71</v>
      </c>
      <c r="B589" s="77">
        <v>45173</v>
      </c>
      <c r="C589" t="s">
        <v>168</v>
      </c>
      <c r="D589" t="s">
        <v>650</v>
      </c>
      <c r="E589" s="78">
        <v>-15450</v>
      </c>
      <c r="F589">
        <v>68738</v>
      </c>
    </row>
    <row r="590" spans="1:6" hidden="1" x14ac:dyDescent="0.25">
      <c r="A590">
        <v>72</v>
      </c>
      <c r="B590" s="77">
        <v>45173</v>
      </c>
      <c r="C590" t="s">
        <v>168</v>
      </c>
      <c r="D590" t="s">
        <v>654</v>
      </c>
      <c r="E590" s="78">
        <v>-400</v>
      </c>
      <c r="F590">
        <v>146697</v>
      </c>
    </row>
    <row r="591" spans="1:6" hidden="1" x14ac:dyDescent="0.25">
      <c r="A591">
        <v>73</v>
      </c>
      <c r="B591" s="77">
        <v>45173</v>
      </c>
      <c r="C591" t="s">
        <v>168</v>
      </c>
      <c r="D591" t="s">
        <v>655</v>
      </c>
      <c r="E591" s="78">
        <v>-1170</v>
      </c>
      <c r="F591">
        <v>29412</v>
      </c>
    </row>
    <row r="592" spans="1:6" hidden="1" x14ac:dyDescent="0.25">
      <c r="A592">
        <v>74</v>
      </c>
      <c r="B592" s="77">
        <v>45173</v>
      </c>
      <c r="C592" t="s">
        <v>168</v>
      </c>
      <c r="D592" t="s">
        <v>213</v>
      </c>
      <c r="E592" s="78">
        <v>-6565.45</v>
      </c>
      <c r="F592">
        <v>904898</v>
      </c>
    </row>
    <row r="593" spans="1:6" hidden="1" x14ac:dyDescent="0.25">
      <c r="A593">
        <v>75</v>
      </c>
      <c r="B593" s="77">
        <v>45173</v>
      </c>
      <c r="C593" t="s">
        <v>168</v>
      </c>
      <c r="D593" t="s">
        <v>648</v>
      </c>
      <c r="E593" s="78">
        <v>-1730.07</v>
      </c>
      <c r="F593">
        <v>805793</v>
      </c>
    </row>
    <row r="594" spans="1:6" hidden="1" x14ac:dyDescent="0.25">
      <c r="A594">
        <v>70</v>
      </c>
      <c r="B594" s="77">
        <v>45173</v>
      </c>
      <c r="C594" t="s">
        <v>168</v>
      </c>
      <c r="D594" t="s">
        <v>650</v>
      </c>
      <c r="E594" s="78">
        <v>-2700</v>
      </c>
      <c r="F594">
        <v>114732</v>
      </c>
    </row>
    <row r="595" spans="1:6" hidden="1" x14ac:dyDescent="0.25">
      <c r="A595">
        <v>67</v>
      </c>
      <c r="B595" s="77">
        <v>45173</v>
      </c>
      <c r="C595" t="s">
        <v>168</v>
      </c>
      <c r="D595" t="s">
        <v>656</v>
      </c>
      <c r="E595" s="78">
        <v>-350</v>
      </c>
      <c r="F595">
        <v>806575</v>
      </c>
    </row>
    <row r="596" spans="1:6" hidden="1" x14ac:dyDescent="0.25">
      <c r="A596">
        <v>57</v>
      </c>
      <c r="B596" s="77">
        <v>45174</v>
      </c>
      <c r="C596" t="s">
        <v>338</v>
      </c>
      <c r="D596" t="s">
        <v>657</v>
      </c>
      <c r="E596" s="78">
        <v>81.22</v>
      </c>
      <c r="F596">
        <v>877185</v>
      </c>
    </row>
    <row r="597" spans="1:6" hidden="1" x14ac:dyDescent="0.25">
      <c r="A597">
        <v>53</v>
      </c>
      <c r="B597" s="77">
        <v>45174</v>
      </c>
      <c r="C597" t="s">
        <v>168</v>
      </c>
      <c r="D597" t="s">
        <v>651</v>
      </c>
      <c r="E597" s="78">
        <v>-2390</v>
      </c>
      <c r="F597">
        <v>31921</v>
      </c>
    </row>
    <row r="598" spans="1:6" hidden="1" x14ac:dyDescent="0.25">
      <c r="A598">
        <v>54</v>
      </c>
      <c r="B598" s="77">
        <v>45174</v>
      </c>
      <c r="C598" t="s">
        <v>168</v>
      </c>
      <c r="D598" t="s">
        <v>658</v>
      </c>
      <c r="E598" s="78">
        <v>-690</v>
      </c>
      <c r="F598">
        <v>74559</v>
      </c>
    </row>
    <row r="599" spans="1:6" hidden="1" x14ac:dyDescent="0.25">
      <c r="A599">
        <v>55</v>
      </c>
      <c r="B599" s="77">
        <v>45174</v>
      </c>
      <c r="C599" t="s">
        <v>174</v>
      </c>
      <c r="D599" t="s">
        <v>659</v>
      </c>
      <c r="E599" s="78">
        <v>-32400</v>
      </c>
      <c r="F599">
        <v>765967</v>
      </c>
    </row>
    <row r="600" spans="1:6" hidden="1" x14ac:dyDescent="0.25">
      <c r="A600">
        <v>56</v>
      </c>
      <c r="B600" s="77">
        <v>45174</v>
      </c>
      <c r="C600" t="s">
        <v>338</v>
      </c>
      <c r="D600" t="s">
        <v>660</v>
      </c>
      <c r="E600" s="78">
        <v>79</v>
      </c>
      <c r="F600">
        <v>65718</v>
      </c>
    </row>
    <row r="601" spans="1:6" hidden="1" x14ac:dyDescent="0.25">
      <c r="A601">
        <v>58</v>
      </c>
      <c r="B601" s="77">
        <v>45174</v>
      </c>
      <c r="C601" t="s">
        <v>338</v>
      </c>
      <c r="D601" t="s">
        <v>449</v>
      </c>
      <c r="E601" s="78">
        <v>221.61</v>
      </c>
      <c r="F601">
        <v>650541</v>
      </c>
    </row>
    <row r="602" spans="1:6" hidden="1" x14ac:dyDescent="0.25">
      <c r="A602">
        <v>60</v>
      </c>
      <c r="B602" s="77">
        <v>45174</v>
      </c>
      <c r="C602" t="s">
        <v>338</v>
      </c>
      <c r="D602" t="s">
        <v>661</v>
      </c>
      <c r="E602" s="78">
        <v>344.17</v>
      </c>
      <c r="F602">
        <v>304945</v>
      </c>
    </row>
    <row r="603" spans="1:6" hidden="1" x14ac:dyDescent="0.25">
      <c r="A603">
        <v>63</v>
      </c>
      <c r="B603" s="77">
        <v>45174</v>
      </c>
      <c r="C603" t="s">
        <v>338</v>
      </c>
      <c r="D603" t="s">
        <v>662</v>
      </c>
      <c r="E603" s="78">
        <v>880.65</v>
      </c>
      <c r="F603">
        <v>38665</v>
      </c>
    </row>
    <row r="604" spans="1:6" hidden="1" x14ac:dyDescent="0.25">
      <c r="A604">
        <v>59</v>
      </c>
      <c r="B604" s="77">
        <v>45174</v>
      </c>
      <c r="C604" t="s">
        <v>338</v>
      </c>
      <c r="D604" t="s">
        <v>663</v>
      </c>
      <c r="E604" s="78">
        <v>270</v>
      </c>
      <c r="F604">
        <v>673022</v>
      </c>
    </row>
    <row r="605" spans="1:6" hidden="1" x14ac:dyDescent="0.25">
      <c r="A605">
        <v>61</v>
      </c>
      <c r="B605" s="77">
        <v>45174</v>
      </c>
      <c r="C605" t="s">
        <v>338</v>
      </c>
      <c r="D605" t="s">
        <v>664</v>
      </c>
      <c r="E605" s="78">
        <v>483</v>
      </c>
      <c r="F605">
        <v>916795</v>
      </c>
    </row>
    <row r="606" spans="1:6" hidden="1" x14ac:dyDescent="0.25">
      <c r="A606">
        <v>62</v>
      </c>
      <c r="B606" s="77">
        <v>45174</v>
      </c>
      <c r="C606" t="s">
        <v>338</v>
      </c>
      <c r="D606" t="s">
        <v>665</v>
      </c>
      <c r="E606" s="78">
        <v>600</v>
      </c>
      <c r="F606">
        <v>383652</v>
      </c>
    </row>
    <row r="607" spans="1:6" hidden="1" x14ac:dyDescent="0.25">
      <c r="A607">
        <v>52</v>
      </c>
      <c r="B607" s="77">
        <v>45175</v>
      </c>
      <c r="C607" t="s">
        <v>174</v>
      </c>
      <c r="D607" t="s">
        <v>666</v>
      </c>
      <c r="E607" s="78">
        <v>-36000</v>
      </c>
      <c r="F607">
        <v>816667</v>
      </c>
    </row>
    <row r="608" spans="1:6" hidden="1" x14ac:dyDescent="0.25">
      <c r="A608">
        <v>51</v>
      </c>
      <c r="B608" s="77">
        <v>45175</v>
      </c>
      <c r="C608" t="s">
        <v>182</v>
      </c>
      <c r="D608" t="s">
        <v>183</v>
      </c>
      <c r="E608" s="78">
        <v>673544.66</v>
      </c>
      <c r="F608">
        <v>0</v>
      </c>
    </row>
    <row r="609" spans="1:6" hidden="1" x14ac:dyDescent="0.25">
      <c r="A609">
        <v>50</v>
      </c>
      <c r="B609" s="77">
        <v>45175</v>
      </c>
      <c r="C609" t="s">
        <v>168</v>
      </c>
      <c r="D609" t="s">
        <v>667</v>
      </c>
      <c r="E609" s="78">
        <v>-1970</v>
      </c>
      <c r="F609">
        <v>18966</v>
      </c>
    </row>
    <row r="610" spans="1:6" hidden="1" x14ac:dyDescent="0.25">
      <c r="A610">
        <v>49</v>
      </c>
      <c r="B610" s="77">
        <v>45175</v>
      </c>
      <c r="C610" t="s">
        <v>168</v>
      </c>
      <c r="D610" t="s">
        <v>668</v>
      </c>
      <c r="E610" s="78">
        <v>-450</v>
      </c>
      <c r="F610">
        <v>76326</v>
      </c>
    </row>
    <row r="611" spans="1:6" hidden="1" x14ac:dyDescent="0.25">
      <c r="A611">
        <v>47</v>
      </c>
      <c r="B611" s="77">
        <v>45176</v>
      </c>
      <c r="C611" t="s">
        <v>168</v>
      </c>
      <c r="D611" t="s">
        <v>669</v>
      </c>
      <c r="E611" s="78">
        <v>-1450</v>
      </c>
      <c r="F611">
        <v>402709</v>
      </c>
    </row>
    <row r="612" spans="1:6" hidden="1" x14ac:dyDescent="0.25">
      <c r="A612">
        <v>46</v>
      </c>
      <c r="B612" s="77">
        <v>45176</v>
      </c>
      <c r="C612" t="s">
        <v>168</v>
      </c>
      <c r="D612" t="s">
        <v>670</v>
      </c>
      <c r="E612" s="78">
        <v>-1200</v>
      </c>
      <c r="F612">
        <v>681976</v>
      </c>
    </row>
    <row r="613" spans="1:6" hidden="1" x14ac:dyDescent="0.25">
      <c r="A613">
        <v>48</v>
      </c>
      <c r="B613" s="77">
        <v>45176</v>
      </c>
      <c r="C613" t="s">
        <v>168</v>
      </c>
      <c r="D613" t="s">
        <v>671</v>
      </c>
      <c r="E613" s="78">
        <v>-3000</v>
      </c>
      <c r="F613">
        <v>113833</v>
      </c>
    </row>
    <row r="614" spans="1:6" hidden="1" x14ac:dyDescent="0.25">
      <c r="A614">
        <v>45</v>
      </c>
      <c r="B614" s="77">
        <v>45177</v>
      </c>
      <c r="C614" t="s">
        <v>182</v>
      </c>
      <c r="D614" t="s">
        <v>183</v>
      </c>
      <c r="E614" s="78">
        <v>36660</v>
      </c>
      <c r="F614">
        <v>0</v>
      </c>
    </row>
    <row r="615" spans="1:6" hidden="1" x14ac:dyDescent="0.25">
      <c r="A615">
        <v>44</v>
      </c>
      <c r="B615" s="77">
        <v>45177</v>
      </c>
      <c r="C615" t="s">
        <v>336</v>
      </c>
      <c r="D615" t="s">
        <v>378</v>
      </c>
      <c r="E615" s="78">
        <v>-311303.65000000002</v>
      </c>
      <c r="F615">
        <v>645001</v>
      </c>
    </row>
    <row r="616" spans="1:6" hidden="1" x14ac:dyDescent="0.25">
      <c r="A616">
        <v>43</v>
      </c>
      <c r="B616" s="77">
        <v>45177</v>
      </c>
      <c r="C616" t="s">
        <v>200</v>
      </c>
      <c r="D616" t="s">
        <v>214</v>
      </c>
      <c r="E616" s="78">
        <v>-10000</v>
      </c>
      <c r="F616">
        <v>123059</v>
      </c>
    </row>
    <row r="617" spans="1:6" hidden="1" x14ac:dyDescent="0.25">
      <c r="A617">
        <v>42</v>
      </c>
      <c r="B617" s="77">
        <v>45177</v>
      </c>
      <c r="C617" t="s">
        <v>177</v>
      </c>
      <c r="D617" t="s">
        <v>672</v>
      </c>
      <c r="E617" s="78">
        <v>16085.72</v>
      </c>
      <c r="F617">
        <v>171186</v>
      </c>
    </row>
    <row r="618" spans="1:6" hidden="1" x14ac:dyDescent="0.25">
      <c r="A618">
        <v>41</v>
      </c>
      <c r="B618" s="77">
        <v>45177</v>
      </c>
      <c r="C618" t="s">
        <v>180</v>
      </c>
      <c r="D618" t="s">
        <v>181</v>
      </c>
      <c r="E618" s="78">
        <v>-94474.21</v>
      </c>
      <c r="F618">
        <v>230014</v>
      </c>
    </row>
    <row r="619" spans="1:6" hidden="1" x14ac:dyDescent="0.25">
      <c r="A619">
        <v>40</v>
      </c>
      <c r="B619" s="77">
        <v>45180</v>
      </c>
      <c r="C619" t="s">
        <v>168</v>
      </c>
      <c r="D619" t="s">
        <v>198</v>
      </c>
      <c r="E619" s="78">
        <v>-1880</v>
      </c>
      <c r="F619">
        <v>43670</v>
      </c>
    </row>
    <row r="620" spans="1:6" hidden="1" x14ac:dyDescent="0.25">
      <c r="A620">
        <v>39</v>
      </c>
      <c r="B620" s="77">
        <v>45180</v>
      </c>
      <c r="C620" t="s">
        <v>168</v>
      </c>
      <c r="D620" t="s">
        <v>603</v>
      </c>
      <c r="E620" s="78">
        <v>-12689.99</v>
      </c>
      <c r="F620">
        <v>546381</v>
      </c>
    </row>
    <row r="621" spans="1:6" hidden="1" x14ac:dyDescent="0.25">
      <c r="A621">
        <v>37</v>
      </c>
      <c r="B621" s="77">
        <v>45180</v>
      </c>
      <c r="C621" t="s">
        <v>168</v>
      </c>
      <c r="D621" t="s">
        <v>201</v>
      </c>
      <c r="E621" s="78">
        <v>-4294.75</v>
      </c>
      <c r="F621">
        <v>66302</v>
      </c>
    </row>
    <row r="622" spans="1:6" hidden="1" x14ac:dyDescent="0.25">
      <c r="A622">
        <v>38</v>
      </c>
      <c r="B622" s="77">
        <v>45180</v>
      </c>
      <c r="C622" t="s">
        <v>168</v>
      </c>
      <c r="D622" t="s">
        <v>208</v>
      </c>
      <c r="E622" s="78">
        <v>-5800</v>
      </c>
      <c r="F622">
        <v>990976</v>
      </c>
    </row>
    <row r="623" spans="1:6" hidden="1" x14ac:dyDescent="0.25">
      <c r="A623">
        <v>36</v>
      </c>
      <c r="B623" s="77">
        <v>45182</v>
      </c>
      <c r="C623" t="s">
        <v>200</v>
      </c>
      <c r="D623" t="s">
        <v>673</v>
      </c>
      <c r="E623" s="78">
        <v>-85000</v>
      </c>
      <c r="F623">
        <v>179742</v>
      </c>
    </row>
    <row r="624" spans="1:6" hidden="1" x14ac:dyDescent="0.25">
      <c r="A624">
        <v>35</v>
      </c>
      <c r="B624" s="77">
        <v>45182</v>
      </c>
      <c r="C624" t="s">
        <v>285</v>
      </c>
      <c r="D624" t="s">
        <v>288</v>
      </c>
      <c r="E624" s="78">
        <v>-10000</v>
      </c>
      <c r="F624">
        <v>7803</v>
      </c>
    </row>
    <row r="625" spans="1:6" hidden="1" x14ac:dyDescent="0.25">
      <c r="A625">
        <v>34</v>
      </c>
      <c r="B625" s="77">
        <v>45184</v>
      </c>
      <c r="C625" t="s">
        <v>285</v>
      </c>
      <c r="D625" t="s">
        <v>288</v>
      </c>
      <c r="E625" s="78">
        <v>-5000</v>
      </c>
      <c r="F625">
        <v>8375</v>
      </c>
    </row>
    <row r="626" spans="1:6" hidden="1" x14ac:dyDescent="0.25">
      <c r="A626">
        <v>33</v>
      </c>
      <c r="B626" s="77">
        <v>45184</v>
      </c>
      <c r="C626" t="s">
        <v>168</v>
      </c>
      <c r="D626" t="s">
        <v>253</v>
      </c>
      <c r="E626" s="78">
        <v>-3800</v>
      </c>
      <c r="F626">
        <v>25631</v>
      </c>
    </row>
    <row r="627" spans="1:6" hidden="1" x14ac:dyDescent="0.25">
      <c r="A627">
        <v>32</v>
      </c>
      <c r="B627" s="77">
        <v>45184</v>
      </c>
      <c r="C627" t="s">
        <v>168</v>
      </c>
      <c r="D627" t="s">
        <v>213</v>
      </c>
      <c r="E627" s="78">
        <v>-5588.77</v>
      </c>
      <c r="F627">
        <v>9509</v>
      </c>
    </row>
    <row r="628" spans="1:6" hidden="1" x14ac:dyDescent="0.25">
      <c r="A628">
        <v>31</v>
      </c>
      <c r="B628" s="77">
        <v>45184</v>
      </c>
      <c r="C628" t="s">
        <v>168</v>
      </c>
      <c r="D628" t="s">
        <v>198</v>
      </c>
      <c r="E628" s="78">
        <v>-930</v>
      </c>
      <c r="F628">
        <v>44080</v>
      </c>
    </row>
    <row r="629" spans="1:6" hidden="1" x14ac:dyDescent="0.25">
      <c r="A629">
        <v>25</v>
      </c>
      <c r="B629" s="77">
        <v>45187</v>
      </c>
      <c r="C629" t="s">
        <v>234</v>
      </c>
      <c r="D629" t="s">
        <v>674</v>
      </c>
      <c r="E629" s="78">
        <v>15000</v>
      </c>
      <c r="F629">
        <v>303954</v>
      </c>
    </row>
    <row r="630" spans="1:6" hidden="1" x14ac:dyDescent="0.25">
      <c r="A630">
        <v>26</v>
      </c>
      <c r="B630" s="77">
        <v>45187</v>
      </c>
      <c r="C630" t="s">
        <v>168</v>
      </c>
      <c r="D630" t="s">
        <v>283</v>
      </c>
      <c r="E630" s="78">
        <v>-3300</v>
      </c>
      <c r="F630">
        <v>284291</v>
      </c>
    </row>
    <row r="631" spans="1:6" hidden="1" x14ac:dyDescent="0.25">
      <c r="A631">
        <v>27</v>
      </c>
      <c r="B631" s="77">
        <v>45187</v>
      </c>
      <c r="C631" t="s">
        <v>168</v>
      </c>
      <c r="D631" t="s">
        <v>198</v>
      </c>
      <c r="E631" s="78">
        <v>-1330</v>
      </c>
      <c r="F631">
        <v>44217</v>
      </c>
    </row>
    <row r="632" spans="1:6" hidden="1" x14ac:dyDescent="0.25">
      <c r="A632">
        <v>29</v>
      </c>
      <c r="B632" s="77">
        <v>45187</v>
      </c>
      <c r="C632" t="s">
        <v>177</v>
      </c>
      <c r="D632" t="s">
        <v>206</v>
      </c>
      <c r="E632" s="78">
        <v>15000</v>
      </c>
      <c r="F632">
        <v>69914</v>
      </c>
    </row>
    <row r="633" spans="1:6" hidden="1" x14ac:dyDescent="0.25">
      <c r="A633">
        <v>30</v>
      </c>
      <c r="B633" s="77">
        <v>45187</v>
      </c>
      <c r="C633" t="s">
        <v>285</v>
      </c>
      <c r="D633" t="s">
        <v>288</v>
      </c>
      <c r="E633" s="78">
        <v>-20000</v>
      </c>
      <c r="F633">
        <v>8691</v>
      </c>
    </row>
    <row r="634" spans="1:6" hidden="1" x14ac:dyDescent="0.25">
      <c r="A634">
        <v>28</v>
      </c>
      <c r="B634" s="77">
        <v>45187</v>
      </c>
      <c r="C634" t="s">
        <v>168</v>
      </c>
      <c r="D634" t="s">
        <v>675</v>
      </c>
      <c r="E634" s="78">
        <v>-7455</v>
      </c>
      <c r="F634">
        <v>348658</v>
      </c>
    </row>
    <row r="635" spans="1:6" hidden="1" x14ac:dyDescent="0.25">
      <c r="A635">
        <v>24</v>
      </c>
      <c r="B635" s="77">
        <v>45188</v>
      </c>
      <c r="C635" t="s">
        <v>174</v>
      </c>
      <c r="D635" t="s">
        <v>676</v>
      </c>
      <c r="E635" s="78">
        <v>-1400</v>
      </c>
      <c r="F635">
        <v>912576</v>
      </c>
    </row>
    <row r="636" spans="1:6" hidden="1" x14ac:dyDescent="0.25">
      <c r="A636">
        <v>23</v>
      </c>
      <c r="B636" s="77">
        <v>45188</v>
      </c>
      <c r="C636" t="s">
        <v>168</v>
      </c>
      <c r="D636" t="s">
        <v>208</v>
      </c>
      <c r="E636" s="78">
        <v>-4000</v>
      </c>
      <c r="F636">
        <v>443210</v>
      </c>
    </row>
    <row r="637" spans="1:6" hidden="1" x14ac:dyDescent="0.25">
      <c r="A637">
        <v>22</v>
      </c>
      <c r="B637" s="77">
        <v>45188</v>
      </c>
      <c r="C637" t="s">
        <v>168</v>
      </c>
      <c r="D637" t="s">
        <v>198</v>
      </c>
      <c r="E637" s="78">
        <v>-1010</v>
      </c>
      <c r="F637">
        <v>44325</v>
      </c>
    </row>
    <row r="638" spans="1:6" hidden="1" x14ac:dyDescent="0.25">
      <c r="A638">
        <v>21</v>
      </c>
      <c r="B638" s="77">
        <v>45188</v>
      </c>
      <c r="C638" t="s">
        <v>168</v>
      </c>
      <c r="D638" t="s">
        <v>365</v>
      </c>
      <c r="E638" s="78">
        <v>-6200</v>
      </c>
      <c r="F638">
        <v>94869</v>
      </c>
    </row>
    <row r="639" spans="1:6" hidden="1" x14ac:dyDescent="0.25">
      <c r="A639">
        <v>20</v>
      </c>
      <c r="B639" s="77">
        <v>45189</v>
      </c>
      <c r="C639" t="s">
        <v>200</v>
      </c>
      <c r="D639" t="s">
        <v>271</v>
      </c>
      <c r="E639" s="78">
        <v>-17000</v>
      </c>
      <c r="F639">
        <v>273265</v>
      </c>
    </row>
    <row r="640" spans="1:6" hidden="1" x14ac:dyDescent="0.25">
      <c r="A640">
        <v>15</v>
      </c>
      <c r="B640" s="77">
        <v>45190</v>
      </c>
      <c r="C640" t="s">
        <v>168</v>
      </c>
      <c r="D640" t="s">
        <v>485</v>
      </c>
      <c r="E640" s="78">
        <v>-2600</v>
      </c>
      <c r="F640">
        <v>53927</v>
      </c>
    </row>
    <row r="641" spans="1:6" hidden="1" x14ac:dyDescent="0.25">
      <c r="A641">
        <v>16</v>
      </c>
      <c r="B641" s="77">
        <v>45190</v>
      </c>
      <c r="C641" t="s">
        <v>168</v>
      </c>
      <c r="D641" t="s">
        <v>213</v>
      </c>
      <c r="E641" s="78">
        <v>-1691.5</v>
      </c>
      <c r="F641">
        <v>202313</v>
      </c>
    </row>
    <row r="642" spans="1:6" hidden="1" x14ac:dyDescent="0.25">
      <c r="A642">
        <v>18</v>
      </c>
      <c r="B642" s="77">
        <v>45190</v>
      </c>
      <c r="C642" t="s">
        <v>174</v>
      </c>
      <c r="D642" t="s">
        <v>197</v>
      </c>
      <c r="E642" s="78">
        <v>-100000</v>
      </c>
      <c r="F642">
        <v>73390</v>
      </c>
    </row>
    <row r="643" spans="1:6" hidden="1" x14ac:dyDescent="0.25">
      <c r="A643">
        <v>19</v>
      </c>
      <c r="B643" s="77">
        <v>45190</v>
      </c>
      <c r="C643" t="s">
        <v>174</v>
      </c>
      <c r="D643" t="s">
        <v>317</v>
      </c>
      <c r="E643" s="78">
        <v>-25000</v>
      </c>
      <c r="F643">
        <v>65473</v>
      </c>
    </row>
    <row r="644" spans="1:6" hidden="1" x14ac:dyDescent="0.25">
      <c r="A644">
        <v>17</v>
      </c>
      <c r="B644" s="77">
        <v>45190</v>
      </c>
      <c r="C644" t="s">
        <v>168</v>
      </c>
      <c r="D644" t="s">
        <v>441</v>
      </c>
      <c r="E644" s="78">
        <v>-5400</v>
      </c>
      <c r="F644">
        <v>17269</v>
      </c>
    </row>
    <row r="645" spans="1:6" hidden="1" x14ac:dyDescent="0.25">
      <c r="A645">
        <v>14</v>
      </c>
      <c r="B645" s="77">
        <v>45191</v>
      </c>
      <c r="C645" t="s">
        <v>285</v>
      </c>
      <c r="D645" t="s">
        <v>288</v>
      </c>
      <c r="E645" s="78">
        <v>-10000</v>
      </c>
      <c r="F645">
        <v>9558</v>
      </c>
    </row>
    <row r="646" spans="1:6" hidden="1" x14ac:dyDescent="0.25">
      <c r="A646">
        <v>13</v>
      </c>
      <c r="B646" s="77">
        <v>45191</v>
      </c>
      <c r="C646" t="s">
        <v>168</v>
      </c>
      <c r="D646" t="s">
        <v>677</v>
      </c>
      <c r="E646" s="78">
        <v>-2700</v>
      </c>
      <c r="F646">
        <v>46997</v>
      </c>
    </row>
    <row r="647" spans="1:6" hidden="1" x14ac:dyDescent="0.25">
      <c r="A647">
        <v>12</v>
      </c>
      <c r="B647" s="77">
        <v>45194</v>
      </c>
      <c r="C647" t="s">
        <v>168</v>
      </c>
      <c r="D647" t="s">
        <v>198</v>
      </c>
      <c r="E647" s="78">
        <v>-1501.5</v>
      </c>
      <c r="F647">
        <v>47413</v>
      </c>
    </row>
    <row r="648" spans="1:6" hidden="1" x14ac:dyDescent="0.25">
      <c r="A648">
        <v>11</v>
      </c>
      <c r="B648" s="77">
        <v>45194</v>
      </c>
      <c r="C648" t="s">
        <v>168</v>
      </c>
      <c r="D648" t="s">
        <v>213</v>
      </c>
      <c r="E648" s="78">
        <v>-3165</v>
      </c>
      <c r="F648">
        <v>111949</v>
      </c>
    </row>
    <row r="649" spans="1:6" hidden="1" x14ac:dyDescent="0.25">
      <c r="A649">
        <v>10</v>
      </c>
      <c r="B649" s="77">
        <v>45194</v>
      </c>
      <c r="C649" t="s">
        <v>168</v>
      </c>
      <c r="D649" t="s">
        <v>678</v>
      </c>
      <c r="E649" s="78">
        <v>-1550</v>
      </c>
      <c r="F649">
        <v>10480</v>
      </c>
    </row>
    <row r="650" spans="1:6" hidden="1" x14ac:dyDescent="0.25">
      <c r="A650">
        <v>9</v>
      </c>
      <c r="B650" s="77">
        <v>45196</v>
      </c>
      <c r="C650" t="s">
        <v>168</v>
      </c>
      <c r="D650" t="s">
        <v>326</v>
      </c>
      <c r="E650" s="78">
        <v>-1780</v>
      </c>
      <c r="F650">
        <v>102020</v>
      </c>
    </row>
    <row r="651" spans="1:6" hidden="1" x14ac:dyDescent="0.25">
      <c r="A651">
        <v>5</v>
      </c>
      <c r="B651" s="77">
        <v>45197</v>
      </c>
      <c r="C651" t="s">
        <v>234</v>
      </c>
      <c r="D651" t="s">
        <v>679</v>
      </c>
      <c r="E651" s="78">
        <v>50000</v>
      </c>
      <c r="F651">
        <v>936165</v>
      </c>
    </row>
    <row r="652" spans="1:6" hidden="1" x14ac:dyDescent="0.25">
      <c r="A652">
        <v>7</v>
      </c>
      <c r="B652" s="77">
        <v>45197</v>
      </c>
      <c r="C652" t="s">
        <v>168</v>
      </c>
      <c r="D652" t="s">
        <v>680</v>
      </c>
      <c r="E652" s="78">
        <v>-2000</v>
      </c>
      <c r="F652">
        <v>128682</v>
      </c>
    </row>
    <row r="653" spans="1:6" hidden="1" x14ac:dyDescent="0.25">
      <c r="A653">
        <v>8</v>
      </c>
      <c r="B653" s="77">
        <v>45197</v>
      </c>
      <c r="C653" t="s">
        <v>168</v>
      </c>
      <c r="D653" t="s">
        <v>208</v>
      </c>
      <c r="E653" s="78">
        <v>-3120</v>
      </c>
      <c r="F653">
        <v>85771</v>
      </c>
    </row>
    <row r="654" spans="1:6" hidden="1" x14ac:dyDescent="0.25">
      <c r="A654">
        <v>6</v>
      </c>
      <c r="B654" s="77">
        <v>45197</v>
      </c>
      <c r="C654" t="s">
        <v>234</v>
      </c>
      <c r="D654" t="s">
        <v>681</v>
      </c>
      <c r="E654" s="78">
        <v>30000</v>
      </c>
      <c r="F654">
        <v>235246</v>
      </c>
    </row>
    <row r="655" spans="1:6" hidden="1" x14ac:dyDescent="0.25">
      <c r="A655">
        <v>4</v>
      </c>
      <c r="B655" s="77">
        <v>45198</v>
      </c>
      <c r="C655" t="s">
        <v>172</v>
      </c>
      <c r="E655" s="78">
        <v>-796.22</v>
      </c>
      <c r="F655">
        <v>0</v>
      </c>
    </row>
    <row r="656" spans="1:6" hidden="1" x14ac:dyDescent="0.25">
      <c r="A656">
        <v>3</v>
      </c>
      <c r="B656" s="77">
        <v>45198</v>
      </c>
      <c r="C656" t="s">
        <v>171</v>
      </c>
      <c r="E656" s="78">
        <v>-3791.5</v>
      </c>
      <c r="F656">
        <v>0</v>
      </c>
    </row>
    <row r="657" spans="1:6" hidden="1" x14ac:dyDescent="0.25">
      <c r="A657">
        <v>2</v>
      </c>
      <c r="B657" s="77">
        <v>45198</v>
      </c>
      <c r="C657" t="s">
        <v>174</v>
      </c>
      <c r="D657" t="s">
        <v>210</v>
      </c>
      <c r="E657" s="78">
        <v>-8400</v>
      </c>
      <c r="F657">
        <v>589588</v>
      </c>
    </row>
    <row r="658" spans="1:6" hidden="1" x14ac:dyDescent="0.25">
      <c r="A658">
        <v>1</v>
      </c>
      <c r="B658" s="77">
        <v>45198</v>
      </c>
      <c r="C658" t="s">
        <v>182</v>
      </c>
      <c r="D658" t="s">
        <v>183</v>
      </c>
      <c r="E658" s="78">
        <v>5237</v>
      </c>
      <c r="F658">
        <v>0</v>
      </c>
    </row>
    <row r="659" spans="1:6" hidden="1" x14ac:dyDescent="0.25">
      <c r="A659">
        <v>0</v>
      </c>
      <c r="B659" s="77">
        <v>45198</v>
      </c>
      <c r="C659" t="s">
        <v>168</v>
      </c>
      <c r="D659" t="s">
        <v>326</v>
      </c>
      <c r="E659" s="78">
        <v>-1600</v>
      </c>
      <c r="F659">
        <v>102031</v>
      </c>
    </row>
    <row r="660" spans="1:6" hidden="1" x14ac:dyDescent="0.25">
      <c r="A660">
        <v>76</v>
      </c>
      <c r="B660" s="77">
        <v>45200</v>
      </c>
      <c r="C660" t="s">
        <v>187</v>
      </c>
      <c r="E660" s="78">
        <v>19.309999999999999</v>
      </c>
      <c r="F660">
        <v>0</v>
      </c>
    </row>
    <row r="661" spans="1:6" hidden="1" x14ac:dyDescent="0.25">
      <c r="A661">
        <v>75</v>
      </c>
      <c r="B661" s="77">
        <v>45201</v>
      </c>
      <c r="C661" t="s">
        <v>174</v>
      </c>
      <c r="D661" t="s">
        <v>210</v>
      </c>
      <c r="E661" s="78">
        <v>-4600</v>
      </c>
      <c r="F661">
        <v>824849</v>
      </c>
    </row>
    <row r="662" spans="1:6" hidden="1" x14ac:dyDescent="0.25">
      <c r="A662">
        <v>74</v>
      </c>
      <c r="B662" s="77">
        <v>45201</v>
      </c>
      <c r="C662" t="s">
        <v>168</v>
      </c>
      <c r="D662" t="s">
        <v>219</v>
      </c>
      <c r="E662" s="78">
        <v>-4500</v>
      </c>
      <c r="F662">
        <v>250300</v>
      </c>
    </row>
    <row r="663" spans="1:6" hidden="1" x14ac:dyDescent="0.25">
      <c r="A663">
        <v>73</v>
      </c>
      <c r="B663" s="77">
        <v>45202</v>
      </c>
      <c r="C663" t="s">
        <v>338</v>
      </c>
      <c r="D663" t="s">
        <v>716</v>
      </c>
      <c r="E663" s="78">
        <v>656.54</v>
      </c>
      <c r="F663">
        <v>904898</v>
      </c>
    </row>
    <row r="664" spans="1:6" hidden="1" x14ac:dyDescent="0.25">
      <c r="A664">
        <v>72</v>
      </c>
      <c r="B664" s="77">
        <v>45202</v>
      </c>
      <c r="C664" t="s">
        <v>338</v>
      </c>
      <c r="D664" t="s">
        <v>717</v>
      </c>
      <c r="E664" s="78">
        <v>580</v>
      </c>
      <c r="F664">
        <v>990976</v>
      </c>
    </row>
    <row r="665" spans="1:6" hidden="1" x14ac:dyDescent="0.25">
      <c r="A665">
        <v>71</v>
      </c>
      <c r="B665" s="77">
        <v>45202</v>
      </c>
      <c r="C665" t="s">
        <v>338</v>
      </c>
      <c r="D665" t="s">
        <v>718</v>
      </c>
      <c r="E665" s="78">
        <v>429.47</v>
      </c>
      <c r="F665">
        <v>66302</v>
      </c>
    </row>
    <row r="666" spans="1:6" hidden="1" x14ac:dyDescent="0.25">
      <c r="A666">
        <v>70</v>
      </c>
      <c r="B666" s="77">
        <v>45202</v>
      </c>
      <c r="C666" t="s">
        <v>338</v>
      </c>
      <c r="D666" t="s">
        <v>719</v>
      </c>
      <c r="E666" s="78">
        <v>420</v>
      </c>
      <c r="F666">
        <v>470797</v>
      </c>
    </row>
    <row r="667" spans="1:6" hidden="1" x14ac:dyDescent="0.25">
      <c r="A667">
        <v>69</v>
      </c>
      <c r="B667" s="77">
        <v>45202</v>
      </c>
      <c r="C667" t="s">
        <v>338</v>
      </c>
      <c r="D667" t="s">
        <v>720</v>
      </c>
      <c r="E667" s="78">
        <v>343.46</v>
      </c>
      <c r="F667">
        <v>9509</v>
      </c>
    </row>
    <row r="668" spans="1:6" hidden="1" x14ac:dyDescent="0.25">
      <c r="A668">
        <v>68</v>
      </c>
      <c r="B668" s="77">
        <v>45202</v>
      </c>
      <c r="C668" t="s">
        <v>338</v>
      </c>
      <c r="D668" t="s">
        <v>721</v>
      </c>
      <c r="E668" s="78">
        <v>197</v>
      </c>
      <c r="F668">
        <v>18966</v>
      </c>
    </row>
    <row r="669" spans="1:6" hidden="1" x14ac:dyDescent="0.25">
      <c r="A669">
        <v>67</v>
      </c>
      <c r="B669" s="77">
        <v>45202</v>
      </c>
      <c r="C669" t="s">
        <v>174</v>
      </c>
      <c r="D669" t="s">
        <v>722</v>
      </c>
      <c r="E669" s="78">
        <v>-11000</v>
      </c>
      <c r="F669">
        <v>535686</v>
      </c>
    </row>
    <row r="670" spans="1:6" hidden="1" x14ac:dyDescent="0.25">
      <c r="A670">
        <v>66</v>
      </c>
      <c r="B670" s="77">
        <v>45202</v>
      </c>
      <c r="C670" t="s">
        <v>285</v>
      </c>
      <c r="D670" t="s">
        <v>311</v>
      </c>
      <c r="E670" s="78">
        <v>-10000</v>
      </c>
      <c r="F670">
        <v>1330</v>
      </c>
    </row>
    <row r="671" spans="1:6" hidden="1" x14ac:dyDescent="0.25">
      <c r="A671">
        <v>65</v>
      </c>
      <c r="B671" s="77">
        <v>45202</v>
      </c>
      <c r="C671" t="s">
        <v>285</v>
      </c>
      <c r="D671" t="s">
        <v>288</v>
      </c>
      <c r="E671" s="78">
        <v>-10000</v>
      </c>
      <c r="F671">
        <v>1575</v>
      </c>
    </row>
    <row r="672" spans="1:6" hidden="1" x14ac:dyDescent="0.25">
      <c r="A672">
        <v>64</v>
      </c>
      <c r="B672" s="77">
        <v>45202</v>
      </c>
      <c r="C672" t="s">
        <v>168</v>
      </c>
      <c r="D672" t="s">
        <v>253</v>
      </c>
      <c r="E672" s="78">
        <v>-3000</v>
      </c>
      <c r="F672">
        <v>65886</v>
      </c>
    </row>
    <row r="673" spans="1:6" hidden="1" x14ac:dyDescent="0.25">
      <c r="A673">
        <v>63</v>
      </c>
      <c r="B673" s="77">
        <v>45203</v>
      </c>
      <c r="C673" t="s">
        <v>168</v>
      </c>
      <c r="D673" t="s">
        <v>198</v>
      </c>
      <c r="E673" s="78">
        <v>-1370</v>
      </c>
      <c r="F673">
        <v>47853</v>
      </c>
    </row>
    <row r="674" spans="1:6" hidden="1" x14ac:dyDescent="0.25">
      <c r="A674">
        <v>62</v>
      </c>
      <c r="B674" s="77">
        <v>45203</v>
      </c>
      <c r="C674" t="s">
        <v>168</v>
      </c>
      <c r="D674" t="s">
        <v>213</v>
      </c>
      <c r="E674" s="78">
        <v>-8997.2800000000007</v>
      </c>
      <c r="F674">
        <v>768016</v>
      </c>
    </row>
    <row r="675" spans="1:6" hidden="1" x14ac:dyDescent="0.25">
      <c r="A675">
        <v>55</v>
      </c>
      <c r="B675" s="77">
        <v>45204</v>
      </c>
      <c r="C675" t="s">
        <v>180</v>
      </c>
      <c r="D675" t="s">
        <v>181</v>
      </c>
      <c r="E675" s="78">
        <v>-98958.47</v>
      </c>
      <c r="F675">
        <v>77333</v>
      </c>
    </row>
    <row r="676" spans="1:6" hidden="1" x14ac:dyDescent="0.25">
      <c r="A676">
        <v>58</v>
      </c>
      <c r="B676" s="77">
        <v>45204</v>
      </c>
      <c r="C676" t="s">
        <v>182</v>
      </c>
      <c r="D676" t="s">
        <v>183</v>
      </c>
      <c r="E676" s="78">
        <v>566904.44999999995</v>
      </c>
      <c r="F676">
        <v>0</v>
      </c>
    </row>
    <row r="677" spans="1:6" hidden="1" x14ac:dyDescent="0.25">
      <c r="A677">
        <v>56</v>
      </c>
      <c r="B677" s="77">
        <v>45204</v>
      </c>
      <c r="C677" t="s">
        <v>168</v>
      </c>
      <c r="D677" t="s">
        <v>208</v>
      </c>
      <c r="E677" s="78">
        <v>-5400</v>
      </c>
      <c r="F677">
        <v>706592</v>
      </c>
    </row>
    <row r="678" spans="1:6" hidden="1" x14ac:dyDescent="0.25">
      <c r="A678">
        <v>57</v>
      </c>
      <c r="B678" s="77">
        <v>45204</v>
      </c>
      <c r="C678" t="s">
        <v>336</v>
      </c>
      <c r="D678" t="s">
        <v>378</v>
      </c>
      <c r="E678" s="78">
        <v>-277323.13</v>
      </c>
      <c r="F678">
        <v>727385</v>
      </c>
    </row>
    <row r="679" spans="1:6" hidden="1" x14ac:dyDescent="0.25">
      <c r="A679">
        <v>60</v>
      </c>
      <c r="B679" s="77">
        <v>45204</v>
      </c>
      <c r="C679" t="s">
        <v>380</v>
      </c>
      <c r="E679" s="78">
        <v>-22020</v>
      </c>
      <c r="F679">
        <v>501575</v>
      </c>
    </row>
    <row r="680" spans="1:6" hidden="1" x14ac:dyDescent="0.25">
      <c r="A680">
        <v>61</v>
      </c>
      <c r="B680" s="77">
        <v>45204</v>
      </c>
      <c r="C680" t="s">
        <v>381</v>
      </c>
      <c r="E680" s="78">
        <v>-33030</v>
      </c>
      <c r="F680">
        <v>501575</v>
      </c>
    </row>
    <row r="681" spans="1:6" hidden="1" x14ac:dyDescent="0.25">
      <c r="A681">
        <v>59</v>
      </c>
      <c r="B681" s="77">
        <v>45204</v>
      </c>
      <c r="C681" t="s">
        <v>379</v>
      </c>
      <c r="E681" s="78">
        <v>-73400</v>
      </c>
      <c r="F681">
        <v>501575</v>
      </c>
    </row>
    <row r="682" spans="1:6" hidden="1" x14ac:dyDescent="0.25">
      <c r="A682">
        <v>54</v>
      </c>
      <c r="B682" s="77">
        <v>45205</v>
      </c>
      <c r="C682" t="s">
        <v>207</v>
      </c>
      <c r="E682" s="78">
        <v>-30000</v>
      </c>
      <c r="F682">
        <v>6</v>
      </c>
    </row>
    <row r="683" spans="1:6" hidden="1" x14ac:dyDescent="0.25">
      <c r="A683">
        <v>53</v>
      </c>
      <c r="B683" s="77">
        <v>45205</v>
      </c>
      <c r="C683" t="s">
        <v>200</v>
      </c>
      <c r="D683" t="s">
        <v>490</v>
      </c>
      <c r="E683" s="78">
        <v>-20000</v>
      </c>
      <c r="F683">
        <v>473073</v>
      </c>
    </row>
    <row r="684" spans="1:6" hidden="1" x14ac:dyDescent="0.25">
      <c r="A684">
        <v>52</v>
      </c>
      <c r="B684" s="77">
        <v>45205</v>
      </c>
      <c r="C684" t="s">
        <v>177</v>
      </c>
      <c r="D684" t="s">
        <v>672</v>
      </c>
      <c r="E684" s="78">
        <v>27412.38</v>
      </c>
      <c r="F684">
        <v>62457</v>
      </c>
    </row>
    <row r="685" spans="1:6" hidden="1" x14ac:dyDescent="0.25">
      <c r="A685">
        <v>51</v>
      </c>
      <c r="B685" s="77">
        <v>45205</v>
      </c>
      <c r="C685" t="s">
        <v>168</v>
      </c>
      <c r="D685" t="s">
        <v>219</v>
      </c>
      <c r="E685" s="78">
        <v>-1900</v>
      </c>
      <c r="F685">
        <v>122873</v>
      </c>
    </row>
    <row r="686" spans="1:6" hidden="1" x14ac:dyDescent="0.25">
      <c r="A686">
        <v>50</v>
      </c>
      <c r="B686" s="77">
        <v>45205</v>
      </c>
      <c r="C686" t="s">
        <v>168</v>
      </c>
      <c r="D686" t="s">
        <v>173</v>
      </c>
      <c r="E686" s="78">
        <v>-3719.25</v>
      </c>
      <c r="F686">
        <v>625313</v>
      </c>
    </row>
    <row r="687" spans="1:6" hidden="1" x14ac:dyDescent="0.25">
      <c r="A687">
        <v>49</v>
      </c>
      <c r="B687" s="77">
        <v>45205</v>
      </c>
      <c r="C687" t="s">
        <v>234</v>
      </c>
      <c r="D687" t="s">
        <v>681</v>
      </c>
      <c r="E687" s="78">
        <v>10000</v>
      </c>
      <c r="F687">
        <v>243636</v>
      </c>
    </row>
    <row r="688" spans="1:6" hidden="1" x14ac:dyDescent="0.25">
      <c r="A688">
        <v>43</v>
      </c>
      <c r="B688" s="77">
        <v>45208</v>
      </c>
      <c r="C688" t="s">
        <v>168</v>
      </c>
      <c r="D688" t="s">
        <v>335</v>
      </c>
      <c r="E688" s="78">
        <v>-12000</v>
      </c>
      <c r="F688">
        <v>32040</v>
      </c>
    </row>
    <row r="689" spans="1:6" hidden="1" x14ac:dyDescent="0.25">
      <c r="A689">
        <v>44</v>
      </c>
      <c r="B689" s="77">
        <v>45208</v>
      </c>
      <c r="C689" t="s">
        <v>168</v>
      </c>
      <c r="D689" t="s">
        <v>219</v>
      </c>
      <c r="E689" s="78">
        <v>-8300</v>
      </c>
      <c r="F689">
        <v>888383</v>
      </c>
    </row>
    <row r="690" spans="1:6" hidden="1" x14ac:dyDescent="0.25">
      <c r="A690">
        <v>48</v>
      </c>
      <c r="B690" s="77">
        <v>45208</v>
      </c>
      <c r="C690" t="s">
        <v>723</v>
      </c>
      <c r="D690" t="s">
        <v>724</v>
      </c>
      <c r="E690" s="78">
        <v>781.04</v>
      </c>
      <c r="F690">
        <v>625313</v>
      </c>
    </row>
    <row r="691" spans="1:6" hidden="1" x14ac:dyDescent="0.25">
      <c r="A691">
        <v>46</v>
      </c>
      <c r="B691" s="77">
        <v>45208</v>
      </c>
      <c r="C691" t="s">
        <v>723</v>
      </c>
      <c r="D691" t="s">
        <v>725</v>
      </c>
      <c r="E691" s="78">
        <v>2520</v>
      </c>
      <c r="F691">
        <v>32040</v>
      </c>
    </row>
    <row r="692" spans="1:6" hidden="1" x14ac:dyDescent="0.25">
      <c r="A692">
        <v>47</v>
      </c>
      <c r="B692" s="77">
        <v>45208</v>
      </c>
      <c r="C692" t="s">
        <v>723</v>
      </c>
      <c r="D692" t="s">
        <v>726</v>
      </c>
      <c r="E692" s="78">
        <v>399</v>
      </c>
      <c r="F692">
        <v>122873</v>
      </c>
    </row>
    <row r="693" spans="1:6" hidden="1" x14ac:dyDescent="0.25">
      <c r="A693">
        <v>45</v>
      </c>
      <c r="B693" s="77">
        <v>45208</v>
      </c>
      <c r="C693" t="s">
        <v>723</v>
      </c>
      <c r="D693" t="s">
        <v>727</v>
      </c>
      <c r="E693" s="78">
        <v>1743</v>
      </c>
      <c r="F693">
        <v>888383</v>
      </c>
    </row>
    <row r="694" spans="1:6" hidden="1" x14ac:dyDescent="0.25">
      <c r="A694">
        <v>42</v>
      </c>
      <c r="B694" s="77">
        <v>45209</v>
      </c>
      <c r="C694" t="s">
        <v>285</v>
      </c>
      <c r="D694" t="s">
        <v>288</v>
      </c>
      <c r="E694" s="78">
        <v>-2000</v>
      </c>
      <c r="F694">
        <v>3592</v>
      </c>
    </row>
    <row r="695" spans="1:6" hidden="1" x14ac:dyDescent="0.25">
      <c r="A695">
        <v>41</v>
      </c>
      <c r="B695" s="77">
        <v>45210</v>
      </c>
      <c r="C695" t="s">
        <v>168</v>
      </c>
      <c r="D695" t="s">
        <v>213</v>
      </c>
      <c r="E695" s="78">
        <v>-1393</v>
      </c>
      <c r="F695">
        <v>653120</v>
      </c>
    </row>
    <row r="696" spans="1:6" hidden="1" x14ac:dyDescent="0.25">
      <c r="A696">
        <v>40</v>
      </c>
      <c r="B696" s="77">
        <v>45211</v>
      </c>
      <c r="C696" t="s">
        <v>723</v>
      </c>
      <c r="D696" t="s">
        <v>728</v>
      </c>
      <c r="E696" s="78">
        <v>292.52999999999997</v>
      </c>
      <c r="F696">
        <v>653120</v>
      </c>
    </row>
    <row r="697" spans="1:6" hidden="1" x14ac:dyDescent="0.25">
      <c r="A697">
        <v>39</v>
      </c>
      <c r="B697" s="77">
        <v>45211</v>
      </c>
      <c r="C697" t="s">
        <v>168</v>
      </c>
      <c r="D697" t="s">
        <v>198</v>
      </c>
      <c r="E697" s="78">
        <v>-1545</v>
      </c>
      <c r="F697">
        <v>46074</v>
      </c>
    </row>
    <row r="698" spans="1:6" hidden="1" x14ac:dyDescent="0.25">
      <c r="A698">
        <v>38</v>
      </c>
      <c r="B698" s="77">
        <v>45211</v>
      </c>
      <c r="C698" t="s">
        <v>168</v>
      </c>
      <c r="D698" t="s">
        <v>213</v>
      </c>
      <c r="E698" s="78">
        <v>-5459</v>
      </c>
      <c r="F698">
        <v>688811</v>
      </c>
    </row>
    <row r="699" spans="1:6" hidden="1" x14ac:dyDescent="0.25">
      <c r="A699">
        <v>37</v>
      </c>
      <c r="B699" s="77">
        <v>45211</v>
      </c>
      <c r="C699" t="s">
        <v>168</v>
      </c>
      <c r="D699" t="s">
        <v>208</v>
      </c>
      <c r="E699" s="78">
        <v>-3910</v>
      </c>
      <c r="F699">
        <v>714728</v>
      </c>
    </row>
    <row r="700" spans="1:6" hidden="1" x14ac:dyDescent="0.25">
      <c r="A700">
        <v>36</v>
      </c>
      <c r="B700" s="77">
        <v>45216</v>
      </c>
      <c r="C700" t="s">
        <v>723</v>
      </c>
      <c r="D700" t="s">
        <v>729</v>
      </c>
      <c r="E700" s="78">
        <v>1146.3900000000001</v>
      </c>
      <c r="F700">
        <v>688811</v>
      </c>
    </row>
    <row r="701" spans="1:6" hidden="1" x14ac:dyDescent="0.25">
      <c r="A701">
        <v>24</v>
      </c>
      <c r="B701" s="77">
        <v>45216</v>
      </c>
      <c r="C701" t="s">
        <v>234</v>
      </c>
      <c r="D701" t="s">
        <v>674</v>
      </c>
      <c r="E701" s="78">
        <v>1500</v>
      </c>
      <c r="F701">
        <v>138574</v>
      </c>
    </row>
    <row r="702" spans="1:6" hidden="1" x14ac:dyDescent="0.25">
      <c r="A702">
        <v>25</v>
      </c>
      <c r="B702" s="77">
        <v>45216</v>
      </c>
      <c r="C702" t="s">
        <v>168</v>
      </c>
      <c r="D702" t="s">
        <v>201</v>
      </c>
      <c r="E702" s="78">
        <v>-2227</v>
      </c>
      <c r="F702">
        <v>68036</v>
      </c>
    </row>
    <row r="703" spans="1:6" hidden="1" x14ac:dyDescent="0.25">
      <c r="A703">
        <v>26</v>
      </c>
      <c r="B703" s="77">
        <v>45216</v>
      </c>
      <c r="C703" t="s">
        <v>168</v>
      </c>
      <c r="D703" t="s">
        <v>480</v>
      </c>
      <c r="E703" s="78">
        <v>-3650</v>
      </c>
      <c r="F703">
        <v>916249</v>
      </c>
    </row>
    <row r="704" spans="1:6" hidden="1" x14ac:dyDescent="0.25">
      <c r="A704">
        <v>27</v>
      </c>
      <c r="B704" s="77">
        <v>45216</v>
      </c>
      <c r="C704" t="s">
        <v>168</v>
      </c>
      <c r="D704" t="s">
        <v>201</v>
      </c>
      <c r="E704" s="78">
        <v>-6150</v>
      </c>
      <c r="F704">
        <v>117526</v>
      </c>
    </row>
    <row r="705" spans="1:6" hidden="1" x14ac:dyDescent="0.25">
      <c r="A705">
        <v>29</v>
      </c>
      <c r="B705" s="77">
        <v>45216</v>
      </c>
      <c r="C705" t="s">
        <v>285</v>
      </c>
      <c r="D705" t="s">
        <v>288</v>
      </c>
      <c r="E705" s="78">
        <v>-10000</v>
      </c>
      <c r="F705">
        <v>4765</v>
      </c>
    </row>
    <row r="706" spans="1:6" hidden="1" x14ac:dyDescent="0.25">
      <c r="A706">
        <v>28</v>
      </c>
      <c r="B706" s="77">
        <v>45216</v>
      </c>
      <c r="C706" t="s">
        <v>168</v>
      </c>
      <c r="D706" t="s">
        <v>198</v>
      </c>
      <c r="E706" s="78">
        <v>-1632.5</v>
      </c>
      <c r="F706">
        <v>46233</v>
      </c>
    </row>
    <row r="707" spans="1:6" hidden="1" x14ac:dyDescent="0.25">
      <c r="A707">
        <v>31</v>
      </c>
      <c r="B707" s="77">
        <v>45216</v>
      </c>
      <c r="C707" t="s">
        <v>723</v>
      </c>
      <c r="D707" t="s">
        <v>730</v>
      </c>
      <c r="E707" s="78">
        <v>467.67</v>
      </c>
      <c r="F707">
        <v>68036</v>
      </c>
    </row>
    <row r="708" spans="1:6" hidden="1" x14ac:dyDescent="0.25">
      <c r="A708">
        <v>32</v>
      </c>
      <c r="B708" s="77">
        <v>45216</v>
      </c>
      <c r="C708" t="s">
        <v>723</v>
      </c>
      <c r="D708" t="s">
        <v>731</v>
      </c>
      <c r="E708" s="78">
        <v>342.83</v>
      </c>
      <c r="F708">
        <v>46233</v>
      </c>
    </row>
    <row r="709" spans="1:6" hidden="1" x14ac:dyDescent="0.25">
      <c r="A709">
        <v>33</v>
      </c>
      <c r="B709" s="77">
        <v>45216</v>
      </c>
      <c r="C709" t="s">
        <v>723</v>
      </c>
      <c r="D709" t="s">
        <v>732</v>
      </c>
      <c r="E709" s="78">
        <v>1291.5</v>
      </c>
      <c r="F709">
        <v>117526</v>
      </c>
    </row>
    <row r="710" spans="1:6" hidden="1" x14ac:dyDescent="0.25">
      <c r="A710">
        <v>34</v>
      </c>
      <c r="B710" s="77">
        <v>45216</v>
      </c>
      <c r="C710" t="s">
        <v>723</v>
      </c>
      <c r="D710" t="s">
        <v>733</v>
      </c>
      <c r="E710" s="78">
        <v>324.45</v>
      </c>
      <c r="F710">
        <v>46074</v>
      </c>
    </row>
    <row r="711" spans="1:6" hidden="1" x14ac:dyDescent="0.25">
      <c r="A711">
        <v>35</v>
      </c>
      <c r="B711" s="77">
        <v>45216</v>
      </c>
      <c r="C711" t="s">
        <v>723</v>
      </c>
      <c r="D711" t="s">
        <v>734</v>
      </c>
      <c r="E711" s="78">
        <v>821.1</v>
      </c>
      <c r="F711">
        <v>714728</v>
      </c>
    </row>
    <row r="712" spans="1:6" hidden="1" x14ac:dyDescent="0.25">
      <c r="A712">
        <v>30</v>
      </c>
      <c r="B712" s="77">
        <v>45216</v>
      </c>
      <c r="C712" t="s">
        <v>174</v>
      </c>
      <c r="D712" t="s">
        <v>210</v>
      </c>
      <c r="E712" s="78">
        <v>-15000</v>
      </c>
      <c r="F712">
        <v>182171</v>
      </c>
    </row>
    <row r="713" spans="1:6" hidden="1" x14ac:dyDescent="0.25">
      <c r="A713">
        <v>23</v>
      </c>
      <c r="B713" s="77">
        <v>45218</v>
      </c>
      <c r="C713" t="s">
        <v>174</v>
      </c>
      <c r="D713" t="s">
        <v>735</v>
      </c>
      <c r="E713" s="78">
        <v>-7000</v>
      </c>
      <c r="F713">
        <v>335311</v>
      </c>
    </row>
    <row r="714" spans="1:6" hidden="1" x14ac:dyDescent="0.25">
      <c r="A714">
        <v>22</v>
      </c>
      <c r="B714" s="77">
        <v>45218</v>
      </c>
      <c r="C714" t="s">
        <v>168</v>
      </c>
      <c r="D714" t="s">
        <v>209</v>
      </c>
      <c r="E714" s="78">
        <v>-500</v>
      </c>
      <c r="F714">
        <v>103802</v>
      </c>
    </row>
    <row r="715" spans="1:6" hidden="1" x14ac:dyDescent="0.25">
      <c r="A715">
        <v>19</v>
      </c>
      <c r="B715" s="77">
        <v>45219</v>
      </c>
      <c r="C715" t="s">
        <v>168</v>
      </c>
      <c r="D715" t="s">
        <v>375</v>
      </c>
      <c r="E715" s="78">
        <v>-1980</v>
      </c>
      <c r="F715">
        <v>74095</v>
      </c>
    </row>
    <row r="716" spans="1:6" hidden="1" x14ac:dyDescent="0.25">
      <c r="A716">
        <v>18</v>
      </c>
      <c r="B716" s="77">
        <v>45219</v>
      </c>
      <c r="C716" t="s">
        <v>168</v>
      </c>
      <c r="D716" t="s">
        <v>198</v>
      </c>
      <c r="E716" s="78">
        <v>-1050</v>
      </c>
      <c r="F716">
        <v>46679</v>
      </c>
    </row>
    <row r="717" spans="1:6" hidden="1" x14ac:dyDescent="0.25">
      <c r="A717">
        <v>21</v>
      </c>
      <c r="B717" s="77">
        <v>45219</v>
      </c>
      <c r="C717" t="s">
        <v>723</v>
      </c>
      <c r="D717" t="s">
        <v>736</v>
      </c>
      <c r="E717" s="78">
        <v>105</v>
      </c>
      <c r="F717">
        <v>103802</v>
      </c>
    </row>
    <row r="718" spans="1:6" hidden="1" x14ac:dyDescent="0.25">
      <c r="A718">
        <v>20</v>
      </c>
      <c r="B718" s="77">
        <v>45219</v>
      </c>
      <c r="C718" t="s">
        <v>168</v>
      </c>
      <c r="D718" t="s">
        <v>213</v>
      </c>
      <c r="E718" s="78">
        <v>-7014.43</v>
      </c>
      <c r="F718">
        <v>91552</v>
      </c>
    </row>
    <row r="719" spans="1:6" hidden="1" x14ac:dyDescent="0.25">
      <c r="A719">
        <v>17</v>
      </c>
      <c r="B719" s="77">
        <v>45222</v>
      </c>
      <c r="C719" t="s">
        <v>723</v>
      </c>
      <c r="D719" t="s">
        <v>737</v>
      </c>
      <c r="E719" s="78">
        <v>1473.03</v>
      </c>
      <c r="F719">
        <v>91552</v>
      </c>
    </row>
    <row r="720" spans="1:6" hidden="1" x14ac:dyDescent="0.25">
      <c r="A720">
        <v>16</v>
      </c>
      <c r="B720" s="77">
        <v>45222</v>
      </c>
      <c r="C720" t="s">
        <v>723</v>
      </c>
      <c r="D720" t="s">
        <v>738</v>
      </c>
      <c r="E720" s="78">
        <v>415.8</v>
      </c>
      <c r="F720">
        <v>74095</v>
      </c>
    </row>
    <row r="721" spans="1:6" hidden="1" x14ac:dyDescent="0.25">
      <c r="A721">
        <v>15</v>
      </c>
      <c r="B721" s="77">
        <v>45222</v>
      </c>
      <c r="C721" t="s">
        <v>723</v>
      </c>
      <c r="D721" t="s">
        <v>739</v>
      </c>
      <c r="E721" s="78">
        <v>220.5</v>
      </c>
      <c r="F721">
        <v>46679</v>
      </c>
    </row>
    <row r="722" spans="1:6" hidden="1" x14ac:dyDescent="0.25">
      <c r="A722">
        <v>14</v>
      </c>
      <c r="B722" s="77">
        <v>45222</v>
      </c>
      <c r="C722" t="s">
        <v>723</v>
      </c>
      <c r="D722" t="s">
        <v>740</v>
      </c>
      <c r="E722" s="78">
        <v>495.6</v>
      </c>
      <c r="F722">
        <v>890341</v>
      </c>
    </row>
    <row r="723" spans="1:6" hidden="1" x14ac:dyDescent="0.25">
      <c r="A723">
        <v>13</v>
      </c>
      <c r="B723" s="77">
        <v>45222</v>
      </c>
      <c r="C723" t="s">
        <v>174</v>
      </c>
      <c r="D723" t="s">
        <v>210</v>
      </c>
      <c r="E723" s="78">
        <v>-4000</v>
      </c>
      <c r="F723">
        <v>587192</v>
      </c>
    </row>
    <row r="724" spans="1:6" hidden="1" x14ac:dyDescent="0.25">
      <c r="A724">
        <v>12</v>
      </c>
      <c r="B724" s="77">
        <v>45222</v>
      </c>
      <c r="C724" t="s">
        <v>168</v>
      </c>
      <c r="D724" t="s">
        <v>741</v>
      </c>
      <c r="E724" s="78">
        <v>-2360</v>
      </c>
      <c r="F724">
        <v>890341</v>
      </c>
    </row>
    <row r="725" spans="1:6" hidden="1" x14ac:dyDescent="0.25">
      <c r="A725">
        <v>11</v>
      </c>
      <c r="B725" s="77">
        <v>45224</v>
      </c>
      <c r="C725" t="s">
        <v>174</v>
      </c>
      <c r="D725" t="s">
        <v>742</v>
      </c>
      <c r="E725" s="78">
        <v>-8600</v>
      </c>
      <c r="F725">
        <v>740934</v>
      </c>
    </row>
    <row r="726" spans="1:6" hidden="1" x14ac:dyDescent="0.25">
      <c r="A726">
        <v>10</v>
      </c>
      <c r="B726" s="77">
        <v>45225</v>
      </c>
      <c r="C726" t="s">
        <v>285</v>
      </c>
      <c r="D726" t="s">
        <v>743</v>
      </c>
      <c r="E726" s="78">
        <v>-10000</v>
      </c>
      <c r="F726">
        <v>4267</v>
      </c>
    </row>
    <row r="727" spans="1:6" hidden="1" x14ac:dyDescent="0.25">
      <c r="A727">
        <v>9</v>
      </c>
      <c r="B727" s="77">
        <v>45226</v>
      </c>
      <c r="C727" t="s">
        <v>182</v>
      </c>
      <c r="D727" t="s">
        <v>183</v>
      </c>
      <c r="E727" s="78">
        <v>5787</v>
      </c>
      <c r="F727">
        <v>0</v>
      </c>
    </row>
    <row r="728" spans="1:6" hidden="1" x14ac:dyDescent="0.25">
      <c r="A728">
        <v>8</v>
      </c>
      <c r="B728" s="77">
        <v>45226</v>
      </c>
      <c r="C728" t="s">
        <v>493</v>
      </c>
      <c r="D728" t="s">
        <v>494</v>
      </c>
      <c r="E728" s="78">
        <v>-5061</v>
      </c>
      <c r="F728">
        <v>0</v>
      </c>
    </row>
    <row r="729" spans="1:6" hidden="1" x14ac:dyDescent="0.25">
      <c r="A729">
        <v>7</v>
      </c>
      <c r="B729" s="77">
        <v>45229</v>
      </c>
      <c r="C729" t="s">
        <v>723</v>
      </c>
      <c r="D729" t="s">
        <v>744</v>
      </c>
      <c r="E729" s="78">
        <v>892.5</v>
      </c>
      <c r="F729">
        <v>330884</v>
      </c>
    </row>
    <row r="730" spans="1:6" hidden="1" x14ac:dyDescent="0.25">
      <c r="A730">
        <v>6</v>
      </c>
      <c r="B730" s="77">
        <v>45229</v>
      </c>
      <c r="C730" t="s">
        <v>168</v>
      </c>
      <c r="D730" t="s">
        <v>208</v>
      </c>
      <c r="E730" s="78">
        <v>-4250</v>
      </c>
      <c r="F730">
        <v>330884</v>
      </c>
    </row>
    <row r="731" spans="1:6" hidden="1" x14ac:dyDescent="0.25">
      <c r="A731">
        <v>5</v>
      </c>
      <c r="B731" s="77">
        <v>45229</v>
      </c>
      <c r="C731" t="s">
        <v>168</v>
      </c>
      <c r="D731" t="s">
        <v>745</v>
      </c>
      <c r="E731" s="78">
        <v>-3200</v>
      </c>
      <c r="F731">
        <v>758649</v>
      </c>
    </row>
    <row r="732" spans="1:6" hidden="1" x14ac:dyDescent="0.25">
      <c r="A732">
        <v>4</v>
      </c>
      <c r="B732" s="77">
        <v>45229</v>
      </c>
      <c r="C732" t="s">
        <v>234</v>
      </c>
      <c r="D732" t="s">
        <v>674</v>
      </c>
      <c r="E732" s="78">
        <v>3000</v>
      </c>
      <c r="F732">
        <v>46864</v>
      </c>
    </row>
    <row r="733" spans="1:6" hidden="1" x14ac:dyDescent="0.25">
      <c r="A733">
        <v>3</v>
      </c>
      <c r="B733" s="77">
        <v>45230</v>
      </c>
      <c r="C733" t="s">
        <v>172</v>
      </c>
      <c r="E733" s="78">
        <v>-796.22</v>
      </c>
      <c r="F733">
        <v>0</v>
      </c>
    </row>
    <row r="734" spans="1:6" hidden="1" x14ac:dyDescent="0.25">
      <c r="A734">
        <v>2</v>
      </c>
      <c r="B734" s="77">
        <v>45230</v>
      </c>
      <c r="C734" t="s">
        <v>171</v>
      </c>
      <c r="E734" s="78">
        <v>-3791.5</v>
      </c>
      <c r="F734">
        <v>0</v>
      </c>
    </row>
    <row r="735" spans="1:6" hidden="1" x14ac:dyDescent="0.25">
      <c r="A735">
        <v>1</v>
      </c>
      <c r="B735" s="77">
        <v>45230</v>
      </c>
      <c r="C735" t="s">
        <v>168</v>
      </c>
      <c r="D735" t="s">
        <v>441</v>
      </c>
      <c r="E735" s="78">
        <v>-1800</v>
      </c>
      <c r="F735">
        <v>911461</v>
      </c>
    </row>
    <row r="736" spans="1:6" hidden="1" x14ac:dyDescent="0.25">
      <c r="A736">
        <v>0</v>
      </c>
      <c r="B736" s="77">
        <v>45230</v>
      </c>
      <c r="C736" t="s">
        <v>168</v>
      </c>
      <c r="D736" t="s">
        <v>326</v>
      </c>
      <c r="E736" s="78">
        <v>-1605</v>
      </c>
      <c r="F736">
        <v>102088</v>
      </c>
    </row>
    <row r="737" spans="1:6" x14ac:dyDescent="0.25">
      <c r="A737">
        <v>73</v>
      </c>
      <c r="B737" s="77">
        <v>45231</v>
      </c>
      <c r="C737" t="s">
        <v>187</v>
      </c>
      <c r="E737" s="78">
        <v>6.24</v>
      </c>
      <c r="F737">
        <v>0</v>
      </c>
    </row>
    <row r="738" spans="1:6" x14ac:dyDescent="0.25">
      <c r="A738">
        <v>72</v>
      </c>
      <c r="B738" s="77">
        <v>45231</v>
      </c>
      <c r="C738" t="s">
        <v>723</v>
      </c>
      <c r="D738" t="s">
        <v>785</v>
      </c>
      <c r="E738" s="78">
        <v>337.05</v>
      </c>
      <c r="F738">
        <v>102088</v>
      </c>
    </row>
    <row r="739" spans="1:6" x14ac:dyDescent="0.25">
      <c r="A739">
        <v>70</v>
      </c>
      <c r="B739" s="77">
        <v>45237</v>
      </c>
      <c r="C739" t="s">
        <v>199</v>
      </c>
      <c r="E739" s="78">
        <v>33103.56</v>
      </c>
      <c r="F739">
        <v>559845</v>
      </c>
    </row>
    <row r="740" spans="1:6" x14ac:dyDescent="0.25">
      <c r="A740">
        <v>71</v>
      </c>
      <c r="B740" s="77">
        <v>45237</v>
      </c>
      <c r="C740" t="s">
        <v>207</v>
      </c>
      <c r="E740" s="78">
        <v>-33103.56</v>
      </c>
      <c r="F740">
        <v>0</v>
      </c>
    </row>
    <row r="741" spans="1:6" x14ac:dyDescent="0.25">
      <c r="A741">
        <v>55</v>
      </c>
      <c r="B741" s="77">
        <v>45237</v>
      </c>
      <c r="C741" t="s">
        <v>168</v>
      </c>
      <c r="D741" t="s">
        <v>201</v>
      </c>
      <c r="E741" s="78">
        <v>-10978</v>
      </c>
      <c r="F741">
        <v>69264</v>
      </c>
    </row>
    <row r="742" spans="1:6" x14ac:dyDescent="0.25">
      <c r="A742">
        <v>56</v>
      </c>
      <c r="B742" s="77">
        <v>45237</v>
      </c>
      <c r="C742" t="s">
        <v>168</v>
      </c>
      <c r="D742" t="s">
        <v>741</v>
      </c>
      <c r="E742" s="78">
        <v>-120</v>
      </c>
      <c r="F742">
        <v>52635</v>
      </c>
    </row>
    <row r="743" spans="1:6" x14ac:dyDescent="0.25">
      <c r="A743">
        <v>57</v>
      </c>
      <c r="B743" s="77">
        <v>45237</v>
      </c>
      <c r="C743" t="s">
        <v>168</v>
      </c>
      <c r="D743" t="s">
        <v>173</v>
      </c>
      <c r="E743" s="78">
        <v>-4045.51</v>
      </c>
      <c r="F743">
        <v>40017</v>
      </c>
    </row>
    <row r="744" spans="1:6" x14ac:dyDescent="0.25">
      <c r="A744">
        <v>58</v>
      </c>
      <c r="B744" s="77">
        <v>45237</v>
      </c>
      <c r="C744" t="s">
        <v>168</v>
      </c>
      <c r="D744" t="s">
        <v>237</v>
      </c>
      <c r="E744" s="78">
        <v>-1353</v>
      </c>
      <c r="F744">
        <v>835660</v>
      </c>
    </row>
    <row r="745" spans="1:6" x14ac:dyDescent="0.25">
      <c r="A745">
        <v>59</v>
      </c>
      <c r="B745" s="77">
        <v>45237</v>
      </c>
      <c r="C745" t="s">
        <v>168</v>
      </c>
      <c r="D745" t="s">
        <v>198</v>
      </c>
      <c r="E745" s="78">
        <v>-1840</v>
      </c>
      <c r="F745">
        <v>47792</v>
      </c>
    </row>
    <row r="746" spans="1:6" x14ac:dyDescent="0.25">
      <c r="A746">
        <v>60</v>
      </c>
      <c r="B746" s="77">
        <v>45237</v>
      </c>
      <c r="C746" t="s">
        <v>168</v>
      </c>
      <c r="D746" t="s">
        <v>169</v>
      </c>
      <c r="E746" s="78">
        <v>-390</v>
      </c>
      <c r="F746">
        <v>739667</v>
      </c>
    </row>
    <row r="747" spans="1:6" x14ac:dyDescent="0.25">
      <c r="A747">
        <v>61</v>
      </c>
      <c r="B747" s="77">
        <v>45237</v>
      </c>
      <c r="C747" t="s">
        <v>177</v>
      </c>
      <c r="D747" t="s">
        <v>672</v>
      </c>
      <c r="E747" s="78">
        <v>28778</v>
      </c>
      <c r="F747">
        <v>169316</v>
      </c>
    </row>
    <row r="748" spans="1:6" x14ac:dyDescent="0.25">
      <c r="A748">
        <v>53</v>
      </c>
      <c r="B748" s="77">
        <v>45237</v>
      </c>
      <c r="C748" t="s">
        <v>180</v>
      </c>
      <c r="D748" t="s">
        <v>181</v>
      </c>
      <c r="E748" s="78">
        <v>-152680.32999999999</v>
      </c>
      <c r="F748">
        <v>664867</v>
      </c>
    </row>
    <row r="749" spans="1:6" x14ac:dyDescent="0.25">
      <c r="A749">
        <v>63</v>
      </c>
      <c r="B749" s="77">
        <v>45237</v>
      </c>
      <c r="C749" t="s">
        <v>336</v>
      </c>
      <c r="D749" t="s">
        <v>378</v>
      </c>
      <c r="E749" s="78">
        <v>-347792.55</v>
      </c>
      <c r="F749">
        <v>302017</v>
      </c>
    </row>
    <row r="750" spans="1:6" x14ac:dyDescent="0.25">
      <c r="A750">
        <v>62</v>
      </c>
      <c r="B750" s="77">
        <v>45237</v>
      </c>
      <c r="C750" t="s">
        <v>285</v>
      </c>
      <c r="D750" t="s">
        <v>288</v>
      </c>
      <c r="E750" s="78">
        <v>-10000</v>
      </c>
      <c r="F750">
        <v>9789</v>
      </c>
    </row>
    <row r="751" spans="1:6" x14ac:dyDescent="0.25">
      <c r="A751">
        <v>69</v>
      </c>
      <c r="B751" s="77">
        <v>45237</v>
      </c>
      <c r="C751" t="s">
        <v>174</v>
      </c>
      <c r="D751" t="s">
        <v>786</v>
      </c>
      <c r="E751" s="78">
        <v>-3000</v>
      </c>
      <c r="F751">
        <v>601044</v>
      </c>
    </row>
    <row r="752" spans="1:6" x14ac:dyDescent="0.25">
      <c r="A752">
        <v>68</v>
      </c>
      <c r="B752" s="77">
        <v>45237</v>
      </c>
      <c r="C752" t="s">
        <v>174</v>
      </c>
      <c r="D752" t="s">
        <v>210</v>
      </c>
      <c r="E752" s="78">
        <v>-9000</v>
      </c>
      <c r="F752">
        <v>271199</v>
      </c>
    </row>
    <row r="753" spans="1:6" x14ac:dyDescent="0.25">
      <c r="A753">
        <v>54</v>
      </c>
      <c r="B753" s="77">
        <v>45237</v>
      </c>
      <c r="C753" t="s">
        <v>168</v>
      </c>
      <c r="D753" t="s">
        <v>208</v>
      </c>
      <c r="E753" s="78">
        <v>-4450</v>
      </c>
      <c r="F753">
        <v>804570</v>
      </c>
    </row>
    <row r="754" spans="1:6" x14ac:dyDescent="0.25">
      <c r="A754">
        <v>66</v>
      </c>
      <c r="B754" s="77">
        <v>45237</v>
      </c>
      <c r="C754" t="s">
        <v>174</v>
      </c>
      <c r="D754" t="s">
        <v>210</v>
      </c>
      <c r="E754" s="78">
        <v>-25000</v>
      </c>
      <c r="F754">
        <v>720580</v>
      </c>
    </row>
    <row r="755" spans="1:6" x14ac:dyDescent="0.25">
      <c r="A755">
        <v>65</v>
      </c>
      <c r="B755" s="77">
        <v>45237</v>
      </c>
      <c r="C755" t="s">
        <v>182</v>
      </c>
      <c r="D755" t="s">
        <v>183</v>
      </c>
      <c r="E755" s="78">
        <v>831308.7</v>
      </c>
      <c r="F755">
        <v>0</v>
      </c>
    </row>
    <row r="756" spans="1:6" x14ac:dyDescent="0.25">
      <c r="A756">
        <v>67</v>
      </c>
      <c r="B756" s="77">
        <v>45237</v>
      </c>
      <c r="C756" t="s">
        <v>174</v>
      </c>
      <c r="D756" t="s">
        <v>787</v>
      </c>
      <c r="E756" s="78">
        <v>-7000</v>
      </c>
      <c r="F756">
        <v>686764</v>
      </c>
    </row>
    <row r="757" spans="1:6" x14ac:dyDescent="0.25">
      <c r="A757">
        <v>64</v>
      </c>
      <c r="B757" s="77">
        <v>45237</v>
      </c>
      <c r="C757" t="s">
        <v>491</v>
      </c>
      <c r="D757" t="s">
        <v>492</v>
      </c>
      <c r="E757" s="78">
        <v>-40655.21</v>
      </c>
      <c r="F757">
        <v>0</v>
      </c>
    </row>
    <row r="758" spans="1:6" x14ac:dyDescent="0.25">
      <c r="A758">
        <v>44</v>
      </c>
      <c r="B758" s="77">
        <v>45238</v>
      </c>
      <c r="C758" t="s">
        <v>168</v>
      </c>
      <c r="D758" t="s">
        <v>208</v>
      </c>
      <c r="E758" s="78">
        <v>-4130</v>
      </c>
      <c r="F758">
        <v>390254</v>
      </c>
    </row>
    <row r="759" spans="1:6" x14ac:dyDescent="0.25">
      <c r="A759">
        <v>45</v>
      </c>
      <c r="B759" s="77">
        <v>45238</v>
      </c>
      <c r="C759" t="s">
        <v>200</v>
      </c>
      <c r="D759" t="s">
        <v>378</v>
      </c>
      <c r="E759" s="78">
        <v>-1000</v>
      </c>
      <c r="F759">
        <v>920911</v>
      </c>
    </row>
    <row r="760" spans="1:6" x14ac:dyDescent="0.25">
      <c r="A760">
        <v>47</v>
      </c>
      <c r="B760" s="77">
        <v>45238</v>
      </c>
      <c r="C760" t="s">
        <v>338</v>
      </c>
      <c r="D760" t="s">
        <v>788</v>
      </c>
      <c r="E760" s="78">
        <v>139.30000000000001</v>
      </c>
      <c r="F760">
        <v>653120</v>
      </c>
    </row>
    <row r="761" spans="1:6" x14ac:dyDescent="0.25">
      <c r="A761">
        <v>46</v>
      </c>
      <c r="B761" s="77">
        <v>45238</v>
      </c>
      <c r="C761" t="s">
        <v>338</v>
      </c>
      <c r="D761" t="s">
        <v>789</v>
      </c>
      <c r="E761" s="78">
        <v>49.06</v>
      </c>
      <c r="F761">
        <v>688811</v>
      </c>
    </row>
    <row r="762" spans="1:6" x14ac:dyDescent="0.25">
      <c r="A762">
        <v>50</v>
      </c>
      <c r="B762" s="77">
        <v>45238</v>
      </c>
      <c r="C762" t="s">
        <v>338</v>
      </c>
      <c r="D762" t="s">
        <v>790</v>
      </c>
      <c r="E762" s="78">
        <v>540</v>
      </c>
      <c r="F762">
        <v>706592</v>
      </c>
    </row>
    <row r="763" spans="1:6" x14ac:dyDescent="0.25">
      <c r="A763">
        <v>51</v>
      </c>
      <c r="B763" s="77">
        <v>45238</v>
      </c>
      <c r="C763" t="s">
        <v>338</v>
      </c>
      <c r="D763" t="s">
        <v>791</v>
      </c>
      <c r="E763" s="78">
        <v>615</v>
      </c>
      <c r="F763">
        <v>117526</v>
      </c>
    </row>
    <row r="764" spans="1:6" x14ac:dyDescent="0.25">
      <c r="A764">
        <v>52</v>
      </c>
      <c r="B764" s="77">
        <v>45238</v>
      </c>
      <c r="C764" t="s">
        <v>338</v>
      </c>
      <c r="D764" t="s">
        <v>792</v>
      </c>
      <c r="E764" s="78">
        <v>899.72</v>
      </c>
      <c r="F764">
        <v>768016</v>
      </c>
    </row>
    <row r="765" spans="1:6" x14ac:dyDescent="0.25">
      <c r="A765">
        <v>49</v>
      </c>
      <c r="B765" s="77">
        <v>45238</v>
      </c>
      <c r="C765" t="s">
        <v>338</v>
      </c>
      <c r="D765" t="s">
        <v>793</v>
      </c>
      <c r="E765" s="78">
        <v>371.92</v>
      </c>
      <c r="F765">
        <v>625313</v>
      </c>
    </row>
    <row r="766" spans="1:6" x14ac:dyDescent="0.25">
      <c r="A766">
        <v>48</v>
      </c>
      <c r="B766" s="77">
        <v>45238</v>
      </c>
      <c r="C766" t="s">
        <v>338</v>
      </c>
      <c r="D766" t="s">
        <v>794</v>
      </c>
      <c r="E766" s="78">
        <v>222.7</v>
      </c>
      <c r="F766">
        <v>68036</v>
      </c>
    </row>
    <row r="767" spans="1:6" x14ac:dyDescent="0.25">
      <c r="A767">
        <v>43</v>
      </c>
      <c r="B767" s="77">
        <v>45243</v>
      </c>
      <c r="C767" t="s">
        <v>723</v>
      </c>
      <c r="D767" t="s">
        <v>795</v>
      </c>
      <c r="E767" s="78">
        <v>359.63</v>
      </c>
      <c r="F767">
        <v>48389</v>
      </c>
    </row>
    <row r="768" spans="1:6" x14ac:dyDescent="0.25">
      <c r="A768">
        <v>42</v>
      </c>
      <c r="B768" s="77">
        <v>45243</v>
      </c>
      <c r="C768" t="s">
        <v>285</v>
      </c>
      <c r="D768" t="s">
        <v>288</v>
      </c>
      <c r="E768" s="78">
        <v>-2000</v>
      </c>
      <c r="F768">
        <v>3593</v>
      </c>
    </row>
    <row r="769" spans="1:6" x14ac:dyDescent="0.25">
      <c r="A769">
        <v>41</v>
      </c>
      <c r="B769" s="77">
        <v>45243</v>
      </c>
      <c r="C769" t="s">
        <v>168</v>
      </c>
      <c r="D769" t="s">
        <v>198</v>
      </c>
      <c r="E769" s="78">
        <v>-1712.5</v>
      </c>
      <c r="F769">
        <v>48389</v>
      </c>
    </row>
    <row r="770" spans="1:6" x14ac:dyDescent="0.25">
      <c r="A770">
        <v>40</v>
      </c>
      <c r="B770" s="77">
        <v>45243</v>
      </c>
      <c r="C770" t="s">
        <v>168</v>
      </c>
      <c r="D770" t="s">
        <v>202</v>
      </c>
      <c r="E770" s="78">
        <v>-1824.49</v>
      </c>
      <c r="F770">
        <v>612137</v>
      </c>
    </row>
    <row r="771" spans="1:6" x14ac:dyDescent="0.25">
      <c r="A771">
        <v>39</v>
      </c>
      <c r="B771" s="77">
        <v>45244</v>
      </c>
      <c r="C771" t="s">
        <v>174</v>
      </c>
      <c r="D771" t="s">
        <v>271</v>
      </c>
      <c r="E771" s="78">
        <v>-50000</v>
      </c>
      <c r="F771">
        <v>428402</v>
      </c>
    </row>
    <row r="772" spans="1:6" x14ac:dyDescent="0.25">
      <c r="A772">
        <v>37</v>
      </c>
      <c r="B772" s="77">
        <v>45245</v>
      </c>
      <c r="C772" t="s">
        <v>168</v>
      </c>
      <c r="D772" t="s">
        <v>208</v>
      </c>
      <c r="E772" s="78">
        <v>-5600</v>
      </c>
      <c r="F772">
        <v>203947</v>
      </c>
    </row>
    <row r="773" spans="1:6" x14ac:dyDescent="0.25">
      <c r="A773">
        <v>38</v>
      </c>
      <c r="B773" s="77">
        <v>45245</v>
      </c>
      <c r="C773" t="s">
        <v>200</v>
      </c>
      <c r="D773" t="s">
        <v>796</v>
      </c>
      <c r="E773" s="78">
        <v>-1000</v>
      </c>
      <c r="F773">
        <v>14024</v>
      </c>
    </row>
    <row r="774" spans="1:6" x14ac:dyDescent="0.25">
      <c r="A774">
        <v>36</v>
      </c>
      <c r="B774" s="77">
        <v>45245</v>
      </c>
      <c r="C774" t="s">
        <v>168</v>
      </c>
      <c r="D774" t="s">
        <v>638</v>
      </c>
      <c r="E774" s="78">
        <v>-1794</v>
      </c>
      <c r="F774">
        <v>92681</v>
      </c>
    </row>
    <row r="775" spans="1:6" x14ac:dyDescent="0.25">
      <c r="A775">
        <v>34</v>
      </c>
      <c r="B775" s="77">
        <v>45245</v>
      </c>
      <c r="C775" t="s">
        <v>168</v>
      </c>
      <c r="D775" t="s">
        <v>797</v>
      </c>
      <c r="E775" s="78">
        <v>-938.58</v>
      </c>
      <c r="F775">
        <v>347491</v>
      </c>
    </row>
    <row r="776" spans="1:6" x14ac:dyDescent="0.25">
      <c r="A776">
        <v>35</v>
      </c>
      <c r="B776" s="77">
        <v>45245</v>
      </c>
      <c r="C776" t="s">
        <v>168</v>
      </c>
      <c r="D776" t="s">
        <v>798</v>
      </c>
      <c r="E776" s="78">
        <v>-2490</v>
      </c>
      <c r="F776">
        <v>578165</v>
      </c>
    </row>
    <row r="777" spans="1:6" x14ac:dyDescent="0.25">
      <c r="A777">
        <v>32</v>
      </c>
      <c r="B777" s="77">
        <v>45246</v>
      </c>
      <c r="C777" t="s">
        <v>174</v>
      </c>
      <c r="D777" t="s">
        <v>786</v>
      </c>
      <c r="E777" s="78">
        <v>-4500</v>
      </c>
      <c r="F777">
        <v>644453</v>
      </c>
    </row>
    <row r="778" spans="1:6" x14ac:dyDescent="0.25">
      <c r="A778">
        <v>31</v>
      </c>
      <c r="B778" s="77">
        <v>45246</v>
      </c>
      <c r="C778" t="s">
        <v>200</v>
      </c>
      <c r="D778" t="s">
        <v>799</v>
      </c>
      <c r="E778" s="78">
        <v>-2700</v>
      </c>
      <c r="F778">
        <v>26953</v>
      </c>
    </row>
    <row r="779" spans="1:6" x14ac:dyDescent="0.25">
      <c r="A779">
        <v>30</v>
      </c>
      <c r="B779" s="77">
        <v>45246</v>
      </c>
      <c r="C779" t="s">
        <v>200</v>
      </c>
      <c r="D779" t="s">
        <v>800</v>
      </c>
      <c r="E779" s="78">
        <v>-9100</v>
      </c>
      <c r="F779">
        <v>39704</v>
      </c>
    </row>
    <row r="780" spans="1:6" x14ac:dyDescent="0.25">
      <c r="A780">
        <v>33</v>
      </c>
      <c r="B780" s="77">
        <v>45246</v>
      </c>
      <c r="C780" t="s">
        <v>723</v>
      </c>
      <c r="D780" t="s">
        <v>801</v>
      </c>
      <c r="E780" s="78">
        <v>1176</v>
      </c>
      <c r="F780">
        <v>203947</v>
      </c>
    </row>
    <row r="781" spans="1:6" x14ac:dyDescent="0.25">
      <c r="A781">
        <v>29</v>
      </c>
      <c r="B781" s="77">
        <v>45247</v>
      </c>
      <c r="C781" t="s">
        <v>168</v>
      </c>
      <c r="D781" t="s">
        <v>375</v>
      </c>
      <c r="E781" s="78">
        <v>-4680</v>
      </c>
      <c r="F781">
        <v>40667</v>
      </c>
    </row>
    <row r="782" spans="1:6" x14ac:dyDescent="0.25">
      <c r="A782">
        <v>28</v>
      </c>
      <c r="B782" s="77">
        <v>45247</v>
      </c>
      <c r="C782" t="s">
        <v>168</v>
      </c>
      <c r="D782" t="s">
        <v>198</v>
      </c>
      <c r="E782" s="78">
        <v>-1600</v>
      </c>
      <c r="F782">
        <v>48824</v>
      </c>
    </row>
    <row r="783" spans="1:6" x14ac:dyDescent="0.25">
      <c r="A783">
        <v>27</v>
      </c>
      <c r="B783" s="77">
        <v>45247</v>
      </c>
      <c r="C783" t="s">
        <v>168</v>
      </c>
      <c r="D783" t="s">
        <v>298</v>
      </c>
      <c r="E783" s="78">
        <v>-5200</v>
      </c>
      <c r="F783">
        <v>130166</v>
      </c>
    </row>
    <row r="784" spans="1:6" x14ac:dyDescent="0.25">
      <c r="A784">
        <v>18</v>
      </c>
      <c r="B784" s="77">
        <v>45251</v>
      </c>
      <c r="C784" t="s">
        <v>168</v>
      </c>
      <c r="D784" t="s">
        <v>209</v>
      </c>
      <c r="E784" s="78">
        <v>-1060</v>
      </c>
      <c r="F784">
        <v>105876</v>
      </c>
    </row>
    <row r="785" spans="1:6" x14ac:dyDescent="0.25">
      <c r="A785">
        <v>25</v>
      </c>
      <c r="B785" s="77">
        <v>45251</v>
      </c>
      <c r="C785" t="s">
        <v>723</v>
      </c>
      <c r="D785" t="s">
        <v>802</v>
      </c>
      <c r="E785" s="78">
        <v>336</v>
      </c>
      <c r="F785">
        <v>48824</v>
      </c>
    </row>
    <row r="786" spans="1:6" x14ac:dyDescent="0.25">
      <c r="A786">
        <v>24</v>
      </c>
      <c r="B786" s="77">
        <v>45251</v>
      </c>
      <c r="C786" t="s">
        <v>723</v>
      </c>
      <c r="D786" t="s">
        <v>803</v>
      </c>
      <c r="E786" s="78">
        <v>298.73</v>
      </c>
      <c r="F786">
        <v>48879</v>
      </c>
    </row>
    <row r="787" spans="1:6" x14ac:dyDescent="0.25">
      <c r="A787">
        <v>23</v>
      </c>
      <c r="B787" s="77">
        <v>45251</v>
      </c>
      <c r="C787" t="s">
        <v>723</v>
      </c>
      <c r="D787" t="s">
        <v>804</v>
      </c>
      <c r="E787" s="78">
        <v>1323</v>
      </c>
      <c r="F787">
        <v>532415</v>
      </c>
    </row>
    <row r="788" spans="1:6" x14ac:dyDescent="0.25">
      <c r="A788">
        <v>22</v>
      </c>
      <c r="B788" s="77">
        <v>45251</v>
      </c>
      <c r="C788" t="s">
        <v>723</v>
      </c>
      <c r="D788" t="s">
        <v>805</v>
      </c>
      <c r="E788" s="78">
        <v>222.6</v>
      </c>
      <c r="F788">
        <v>105876</v>
      </c>
    </row>
    <row r="789" spans="1:6" x14ac:dyDescent="0.25">
      <c r="A789">
        <v>21</v>
      </c>
      <c r="B789" s="77">
        <v>45251</v>
      </c>
      <c r="C789" t="s">
        <v>168</v>
      </c>
      <c r="D789" t="s">
        <v>198</v>
      </c>
      <c r="E789" s="78">
        <v>-1422.5</v>
      </c>
      <c r="F789">
        <v>48879</v>
      </c>
    </row>
    <row r="790" spans="1:6" x14ac:dyDescent="0.25">
      <c r="A790">
        <v>20</v>
      </c>
      <c r="B790" s="77">
        <v>45251</v>
      </c>
      <c r="C790" t="s">
        <v>168</v>
      </c>
      <c r="D790" t="s">
        <v>741</v>
      </c>
      <c r="E790" s="78">
        <v>-6300</v>
      </c>
      <c r="F790">
        <v>532415</v>
      </c>
    </row>
    <row r="791" spans="1:6" x14ac:dyDescent="0.25">
      <c r="A791">
        <v>19</v>
      </c>
      <c r="B791" s="77">
        <v>45251</v>
      </c>
      <c r="C791" t="s">
        <v>168</v>
      </c>
      <c r="D791" t="s">
        <v>806</v>
      </c>
      <c r="E791" s="78">
        <v>-6400</v>
      </c>
      <c r="F791">
        <v>680144</v>
      </c>
    </row>
    <row r="792" spans="1:6" x14ac:dyDescent="0.25">
      <c r="A792">
        <v>26</v>
      </c>
      <c r="B792" s="77">
        <v>45251</v>
      </c>
      <c r="C792" t="s">
        <v>723</v>
      </c>
      <c r="D792" t="s">
        <v>807</v>
      </c>
      <c r="E792" s="78">
        <v>982.8</v>
      </c>
      <c r="F792">
        <v>40667</v>
      </c>
    </row>
    <row r="793" spans="1:6" x14ac:dyDescent="0.25">
      <c r="A793">
        <v>17</v>
      </c>
      <c r="B793" s="77">
        <v>45253</v>
      </c>
      <c r="C793" t="s">
        <v>168</v>
      </c>
      <c r="D793" t="s">
        <v>213</v>
      </c>
      <c r="E793" s="78">
        <v>-8920</v>
      </c>
      <c r="F793">
        <v>811628</v>
      </c>
    </row>
    <row r="794" spans="1:6" x14ac:dyDescent="0.25">
      <c r="A794">
        <v>15</v>
      </c>
      <c r="B794" s="77">
        <v>45254</v>
      </c>
      <c r="C794" t="s">
        <v>168</v>
      </c>
      <c r="D794" t="s">
        <v>173</v>
      </c>
      <c r="E794" s="78">
        <v>-4233.3</v>
      </c>
      <c r="F794">
        <v>461159</v>
      </c>
    </row>
    <row r="795" spans="1:6" x14ac:dyDescent="0.25">
      <c r="A795">
        <v>16</v>
      </c>
      <c r="B795" s="77">
        <v>45254</v>
      </c>
      <c r="C795" t="s">
        <v>723</v>
      </c>
      <c r="D795" t="s">
        <v>808</v>
      </c>
      <c r="E795" s="78">
        <v>1873.2</v>
      </c>
      <c r="F795">
        <v>811628</v>
      </c>
    </row>
    <row r="796" spans="1:6" x14ac:dyDescent="0.25">
      <c r="A796">
        <v>3</v>
      </c>
      <c r="B796" s="77">
        <v>45257</v>
      </c>
      <c r="C796" t="s">
        <v>168</v>
      </c>
      <c r="D796" t="s">
        <v>201</v>
      </c>
      <c r="E796" s="78">
        <v>-3430</v>
      </c>
      <c r="F796">
        <v>70707</v>
      </c>
    </row>
    <row r="797" spans="1:6" x14ac:dyDescent="0.25">
      <c r="A797">
        <v>4</v>
      </c>
      <c r="B797" s="77">
        <v>45257</v>
      </c>
      <c r="C797" t="s">
        <v>168</v>
      </c>
      <c r="D797" t="s">
        <v>219</v>
      </c>
      <c r="E797" s="78">
        <v>-900</v>
      </c>
      <c r="F797">
        <v>163854</v>
      </c>
    </row>
    <row r="798" spans="1:6" x14ac:dyDescent="0.25">
      <c r="A798">
        <v>5</v>
      </c>
      <c r="B798" s="77">
        <v>45257</v>
      </c>
      <c r="C798" t="s">
        <v>168</v>
      </c>
      <c r="D798" t="s">
        <v>198</v>
      </c>
      <c r="E798" s="78">
        <v>-1940</v>
      </c>
      <c r="F798">
        <v>49505</v>
      </c>
    </row>
    <row r="799" spans="1:6" x14ac:dyDescent="0.25">
      <c r="A799">
        <v>6</v>
      </c>
      <c r="B799" s="77">
        <v>45257</v>
      </c>
      <c r="C799" t="s">
        <v>168</v>
      </c>
      <c r="D799" t="s">
        <v>208</v>
      </c>
      <c r="E799" s="78">
        <v>-9300</v>
      </c>
      <c r="F799">
        <v>137845</v>
      </c>
    </row>
    <row r="800" spans="1:6" x14ac:dyDescent="0.25">
      <c r="A800">
        <v>8</v>
      </c>
      <c r="B800" s="77">
        <v>45257</v>
      </c>
      <c r="C800" t="s">
        <v>174</v>
      </c>
      <c r="D800" t="s">
        <v>210</v>
      </c>
      <c r="E800" s="78">
        <v>-15000</v>
      </c>
      <c r="F800">
        <v>259950</v>
      </c>
    </row>
    <row r="801" spans="1:6" x14ac:dyDescent="0.25">
      <c r="A801">
        <v>7</v>
      </c>
      <c r="B801" s="77">
        <v>45257</v>
      </c>
      <c r="C801" t="s">
        <v>174</v>
      </c>
      <c r="D801" t="s">
        <v>210</v>
      </c>
      <c r="E801" s="78">
        <v>-4500</v>
      </c>
      <c r="F801">
        <v>947785</v>
      </c>
    </row>
    <row r="802" spans="1:6" x14ac:dyDescent="0.25">
      <c r="A802">
        <v>10</v>
      </c>
      <c r="B802" s="77">
        <v>45257</v>
      </c>
      <c r="C802" t="s">
        <v>723</v>
      </c>
      <c r="D802" t="s">
        <v>809</v>
      </c>
      <c r="E802" s="78">
        <v>189</v>
      </c>
      <c r="F802">
        <v>163854</v>
      </c>
    </row>
    <row r="803" spans="1:6" x14ac:dyDescent="0.25">
      <c r="A803">
        <v>11</v>
      </c>
      <c r="B803" s="77">
        <v>45257</v>
      </c>
      <c r="C803" t="s">
        <v>723</v>
      </c>
      <c r="D803" t="s">
        <v>810</v>
      </c>
      <c r="E803" s="78">
        <v>720.3</v>
      </c>
      <c r="F803">
        <v>70707</v>
      </c>
    </row>
    <row r="804" spans="1:6" x14ac:dyDescent="0.25">
      <c r="A804">
        <v>12</v>
      </c>
      <c r="B804" s="77">
        <v>45257</v>
      </c>
      <c r="C804" t="s">
        <v>723</v>
      </c>
      <c r="D804" t="s">
        <v>811</v>
      </c>
      <c r="E804" s="78">
        <v>407.4</v>
      </c>
      <c r="F804">
        <v>49505</v>
      </c>
    </row>
    <row r="805" spans="1:6" x14ac:dyDescent="0.25">
      <c r="A805">
        <v>13</v>
      </c>
      <c r="B805" s="77">
        <v>45257</v>
      </c>
      <c r="C805" t="s">
        <v>723</v>
      </c>
      <c r="D805" t="s">
        <v>812</v>
      </c>
      <c r="E805" s="78">
        <v>1953</v>
      </c>
      <c r="F805">
        <v>137845</v>
      </c>
    </row>
    <row r="806" spans="1:6" x14ac:dyDescent="0.25">
      <c r="A806">
        <v>14</v>
      </c>
      <c r="B806" s="77">
        <v>45257</v>
      </c>
      <c r="C806" t="s">
        <v>723</v>
      </c>
      <c r="D806" t="s">
        <v>813</v>
      </c>
      <c r="E806" s="78">
        <v>888.99</v>
      </c>
      <c r="F806">
        <v>461159</v>
      </c>
    </row>
    <row r="807" spans="1:6" x14ac:dyDescent="0.25">
      <c r="A807">
        <v>9</v>
      </c>
      <c r="B807" s="77">
        <v>45257</v>
      </c>
      <c r="C807" t="s">
        <v>174</v>
      </c>
      <c r="D807" t="s">
        <v>197</v>
      </c>
      <c r="E807" s="78">
        <v>-62000</v>
      </c>
      <c r="F807">
        <v>888359</v>
      </c>
    </row>
    <row r="808" spans="1:6" x14ac:dyDescent="0.25">
      <c r="A808">
        <v>2</v>
      </c>
      <c r="B808" s="77">
        <v>45260</v>
      </c>
      <c r="C808" t="s">
        <v>172</v>
      </c>
      <c r="E808" s="78">
        <v>-995.27</v>
      </c>
      <c r="F808">
        <v>0</v>
      </c>
    </row>
    <row r="809" spans="1:6" x14ac:dyDescent="0.25">
      <c r="A809">
        <v>1</v>
      </c>
      <c r="B809" s="77">
        <v>45260</v>
      </c>
      <c r="C809" t="s">
        <v>171</v>
      </c>
      <c r="E809" s="78">
        <v>-4739.38</v>
      </c>
      <c r="F809">
        <v>0</v>
      </c>
    </row>
    <row r="810" spans="1:6" x14ac:dyDescent="0.25">
      <c r="A810">
        <v>0</v>
      </c>
      <c r="B810" s="77">
        <v>45260</v>
      </c>
      <c r="C810" t="s">
        <v>200</v>
      </c>
      <c r="D810" t="s">
        <v>796</v>
      </c>
      <c r="E810" s="78">
        <v>-500</v>
      </c>
      <c r="F810">
        <v>207112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8">
    <tabColor rgb="FF92D050"/>
  </sheetPr>
  <dimension ref="A1:J665"/>
  <sheetViews>
    <sheetView topLeftCell="A646" zoomScale="80" zoomScaleNormal="80" workbookViewId="0">
      <selection activeCell="H672" sqref="H672"/>
    </sheetView>
  </sheetViews>
  <sheetFormatPr baseColWidth="10" defaultRowHeight="15.75" x14ac:dyDescent="0.25"/>
  <cols>
    <col min="1" max="1" width="3.625" customWidth="1"/>
    <col min="2" max="2" width="13.25" customWidth="1"/>
    <col min="3" max="3" width="40.625" customWidth="1"/>
    <col min="4" max="4" width="53" customWidth="1"/>
    <col min="5" max="8" width="12.625" style="78" customWidth="1"/>
    <col min="9" max="9" width="14.625" style="78" customWidth="1"/>
    <col min="10" max="10" width="30.625" style="78" customWidth="1"/>
    <col min="11" max="11" width="30.625" customWidth="1"/>
  </cols>
  <sheetData>
    <row r="1" spans="1:10" x14ac:dyDescent="0.25">
      <c r="A1" t="s">
        <v>188</v>
      </c>
      <c r="B1" t="s">
        <v>115</v>
      </c>
      <c r="C1" t="s">
        <v>166</v>
      </c>
      <c r="D1" t="s">
        <v>167</v>
      </c>
      <c r="E1" s="78" t="s">
        <v>189</v>
      </c>
      <c r="F1" s="78" t="s">
        <v>190</v>
      </c>
      <c r="G1" s="78" t="s">
        <v>191</v>
      </c>
      <c r="H1" s="78" t="s">
        <v>192</v>
      </c>
      <c r="I1" s="78" t="s">
        <v>193</v>
      </c>
      <c r="J1" t="s">
        <v>194</v>
      </c>
    </row>
    <row r="2" spans="1:10" hidden="1" x14ac:dyDescent="0.25">
      <c r="A2">
        <v>33</v>
      </c>
      <c r="B2" s="77">
        <v>45034</v>
      </c>
      <c r="C2" t="s">
        <v>168</v>
      </c>
      <c r="D2" t="s">
        <v>209</v>
      </c>
      <c r="E2" s="78">
        <v>350</v>
      </c>
      <c r="J2"/>
    </row>
    <row r="3" spans="1:10" hidden="1" x14ac:dyDescent="0.25">
      <c r="A3">
        <v>21</v>
      </c>
      <c r="B3" s="77">
        <v>45036</v>
      </c>
      <c r="C3" t="s">
        <v>168</v>
      </c>
      <c r="D3" t="s">
        <v>198</v>
      </c>
      <c r="E3" s="78">
        <v>380</v>
      </c>
      <c r="J3"/>
    </row>
    <row r="4" spans="1:10" hidden="1" x14ac:dyDescent="0.25">
      <c r="A4">
        <v>3</v>
      </c>
      <c r="B4" s="77">
        <v>45044</v>
      </c>
      <c r="C4" t="s">
        <v>172</v>
      </c>
      <c r="E4" s="78">
        <v>494.42</v>
      </c>
      <c r="J4"/>
    </row>
    <row r="5" spans="1:10" hidden="1" x14ac:dyDescent="0.25">
      <c r="A5">
        <v>38</v>
      </c>
      <c r="B5" s="77">
        <v>45030</v>
      </c>
      <c r="C5" t="s">
        <v>168</v>
      </c>
      <c r="D5" t="s">
        <v>329</v>
      </c>
      <c r="E5" s="78">
        <v>550</v>
      </c>
      <c r="J5"/>
    </row>
    <row r="6" spans="1:10" hidden="1" x14ac:dyDescent="0.25">
      <c r="A6">
        <v>45</v>
      </c>
      <c r="B6" s="77">
        <v>45026</v>
      </c>
      <c r="C6" t="s">
        <v>168</v>
      </c>
      <c r="D6" t="s">
        <v>209</v>
      </c>
      <c r="E6" s="78">
        <v>550</v>
      </c>
      <c r="J6"/>
    </row>
    <row r="7" spans="1:10" hidden="1" x14ac:dyDescent="0.25">
      <c r="A7">
        <v>20</v>
      </c>
      <c r="B7" s="77">
        <v>45036</v>
      </c>
      <c r="C7" t="s">
        <v>168</v>
      </c>
      <c r="D7" t="s">
        <v>298</v>
      </c>
      <c r="E7" s="78">
        <v>620</v>
      </c>
      <c r="J7"/>
    </row>
    <row r="8" spans="1:10" hidden="1" x14ac:dyDescent="0.25">
      <c r="A8">
        <v>58</v>
      </c>
      <c r="B8" s="77">
        <v>45020</v>
      </c>
      <c r="C8" t="s">
        <v>168</v>
      </c>
      <c r="D8" t="s">
        <v>334</v>
      </c>
      <c r="E8" s="78">
        <v>750</v>
      </c>
      <c r="J8"/>
    </row>
    <row r="9" spans="1:10" hidden="1" x14ac:dyDescent="0.25">
      <c r="A9">
        <v>0</v>
      </c>
      <c r="B9" s="77">
        <v>45044</v>
      </c>
      <c r="C9" t="s">
        <v>168</v>
      </c>
      <c r="D9" t="s">
        <v>326</v>
      </c>
      <c r="E9" s="78">
        <v>1255</v>
      </c>
      <c r="J9"/>
    </row>
    <row r="10" spans="1:10" hidden="1" x14ac:dyDescent="0.25">
      <c r="A10">
        <v>35</v>
      </c>
      <c r="B10" s="77">
        <v>45033</v>
      </c>
      <c r="C10" t="s">
        <v>168</v>
      </c>
      <c r="D10" t="s">
        <v>302</v>
      </c>
      <c r="E10" s="78">
        <v>1300</v>
      </c>
      <c r="J10"/>
    </row>
    <row r="11" spans="1:10" hidden="1" x14ac:dyDescent="0.25">
      <c r="A11">
        <v>59</v>
      </c>
      <c r="B11" s="77">
        <v>45020</v>
      </c>
      <c r="C11" t="s">
        <v>168</v>
      </c>
      <c r="D11" t="s">
        <v>332</v>
      </c>
      <c r="E11" s="78">
        <v>1339.46</v>
      </c>
      <c r="J11"/>
    </row>
    <row r="12" spans="1:10" hidden="1" x14ac:dyDescent="0.25">
      <c r="A12">
        <v>17</v>
      </c>
      <c r="B12" s="77">
        <v>45041</v>
      </c>
      <c r="C12" t="s">
        <v>168</v>
      </c>
      <c r="D12" t="s">
        <v>176</v>
      </c>
      <c r="E12" s="78">
        <v>1980.29</v>
      </c>
      <c r="J12"/>
    </row>
    <row r="13" spans="1:10" hidden="1" x14ac:dyDescent="0.25">
      <c r="A13">
        <v>39</v>
      </c>
      <c r="B13" s="77">
        <v>45030</v>
      </c>
      <c r="C13" t="s">
        <v>168</v>
      </c>
      <c r="D13" t="s">
        <v>208</v>
      </c>
      <c r="E13" s="78">
        <v>2300</v>
      </c>
      <c r="J13"/>
    </row>
    <row r="14" spans="1:10" hidden="1" x14ac:dyDescent="0.25">
      <c r="A14">
        <v>2</v>
      </c>
      <c r="B14" s="77">
        <v>45044</v>
      </c>
      <c r="C14" t="s">
        <v>171</v>
      </c>
      <c r="E14" s="78">
        <v>2354.39</v>
      </c>
      <c r="J14"/>
    </row>
    <row r="15" spans="1:10" hidden="1" x14ac:dyDescent="0.25">
      <c r="A15">
        <v>23</v>
      </c>
      <c r="B15" s="77">
        <v>45036</v>
      </c>
      <c r="C15" t="s">
        <v>168</v>
      </c>
      <c r="D15" t="s">
        <v>327</v>
      </c>
      <c r="E15" s="78">
        <v>2400</v>
      </c>
      <c r="J15"/>
    </row>
    <row r="16" spans="1:10" hidden="1" x14ac:dyDescent="0.25">
      <c r="A16">
        <v>22</v>
      </c>
      <c r="B16" s="77">
        <v>45036</v>
      </c>
      <c r="C16" t="s">
        <v>168</v>
      </c>
      <c r="D16" t="s">
        <v>213</v>
      </c>
      <c r="E16" s="78">
        <v>2550</v>
      </c>
      <c r="J16"/>
    </row>
    <row r="17" spans="1:10" hidden="1" x14ac:dyDescent="0.25">
      <c r="A17">
        <v>40</v>
      </c>
      <c r="B17" s="77">
        <v>45030</v>
      </c>
      <c r="C17" t="s">
        <v>168</v>
      </c>
      <c r="D17" t="s">
        <v>330</v>
      </c>
      <c r="E17" s="78">
        <v>2900</v>
      </c>
      <c r="J17"/>
    </row>
    <row r="18" spans="1:10" hidden="1" x14ac:dyDescent="0.25">
      <c r="A18">
        <v>18</v>
      </c>
      <c r="B18" s="77">
        <v>45040</v>
      </c>
      <c r="C18" t="s">
        <v>168</v>
      </c>
      <c r="D18" t="s">
        <v>208</v>
      </c>
      <c r="E18" s="78">
        <v>3000</v>
      </c>
      <c r="J18"/>
    </row>
    <row r="19" spans="1:10" hidden="1" x14ac:dyDescent="0.25">
      <c r="A19">
        <v>32</v>
      </c>
      <c r="B19" s="77">
        <v>45034</v>
      </c>
      <c r="C19" t="s">
        <v>168</v>
      </c>
      <c r="D19" t="s">
        <v>328</v>
      </c>
      <c r="E19" s="78">
        <v>3468.27</v>
      </c>
      <c r="J19"/>
    </row>
    <row r="20" spans="1:10" hidden="1" x14ac:dyDescent="0.25">
      <c r="A20">
        <v>26</v>
      </c>
      <c r="B20" s="77">
        <v>45035</v>
      </c>
      <c r="C20" t="s">
        <v>168</v>
      </c>
      <c r="D20" t="s">
        <v>213</v>
      </c>
      <c r="E20" s="78">
        <v>3847.76</v>
      </c>
      <c r="J20"/>
    </row>
    <row r="21" spans="1:10" hidden="1" x14ac:dyDescent="0.25">
      <c r="A21">
        <v>48</v>
      </c>
      <c r="B21" s="77">
        <v>45026</v>
      </c>
      <c r="C21" t="s">
        <v>336</v>
      </c>
      <c r="D21" t="s">
        <v>337</v>
      </c>
      <c r="E21" s="78">
        <v>4000</v>
      </c>
      <c r="J21"/>
    </row>
    <row r="22" spans="1:10" hidden="1" x14ac:dyDescent="0.25">
      <c r="A22">
        <v>63</v>
      </c>
      <c r="B22" s="77">
        <v>45019</v>
      </c>
      <c r="C22" t="s">
        <v>168</v>
      </c>
      <c r="D22" t="s">
        <v>208</v>
      </c>
      <c r="E22" s="78">
        <v>4000</v>
      </c>
      <c r="J22"/>
    </row>
    <row r="23" spans="1:10" hidden="1" x14ac:dyDescent="0.25">
      <c r="A23">
        <v>64</v>
      </c>
      <c r="B23" s="77">
        <v>45019</v>
      </c>
      <c r="C23" t="s">
        <v>168</v>
      </c>
      <c r="D23" t="s">
        <v>335</v>
      </c>
      <c r="E23" s="78">
        <v>4100</v>
      </c>
      <c r="J23"/>
    </row>
    <row r="24" spans="1:10" hidden="1" x14ac:dyDescent="0.25">
      <c r="A24">
        <v>36</v>
      </c>
      <c r="B24" s="77">
        <v>45033</v>
      </c>
      <c r="C24" t="s">
        <v>168</v>
      </c>
      <c r="D24" t="s">
        <v>173</v>
      </c>
      <c r="E24" s="78">
        <v>4446.2</v>
      </c>
      <c r="J24"/>
    </row>
    <row r="25" spans="1:10" hidden="1" x14ac:dyDescent="0.25">
      <c r="A25">
        <v>46</v>
      </c>
      <c r="B25" s="77">
        <v>45026</v>
      </c>
      <c r="C25" t="s">
        <v>168</v>
      </c>
      <c r="D25" t="s">
        <v>213</v>
      </c>
      <c r="E25" s="78">
        <v>4707.33</v>
      </c>
      <c r="J25"/>
    </row>
    <row r="26" spans="1:10" hidden="1" x14ac:dyDescent="0.25">
      <c r="A26">
        <v>54</v>
      </c>
      <c r="B26" s="77">
        <v>45021</v>
      </c>
      <c r="C26" t="s">
        <v>168</v>
      </c>
      <c r="D26" t="s">
        <v>333</v>
      </c>
      <c r="E26" s="78">
        <v>6340</v>
      </c>
      <c r="J26"/>
    </row>
    <row r="27" spans="1:10" hidden="1" x14ac:dyDescent="0.25">
      <c r="A27">
        <v>51</v>
      </c>
      <c r="B27" s="77">
        <v>45026</v>
      </c>
      <c r="C27" t="s">
        <v>174</v>
      </c>
      <c r="D27" t="s">
        <v>291</v>
      </c>
      <c r="E27" s="78">
        <v>7000</v>
      </c>
      <c r="J27"/>
    </row>
    <row r="28" spans="1:10" hidden="1" x14ac:dyDescent="0.25">
      <c r="A28">
        <v>43</v>
      </c>
      <c r="B28" s="77">
        <v>45028</v>
      </c>
      <c r="C28" t="s">
        <v>174</v>
      </c>
      <c r="D28" t="s">
        <v>355</v>
      </c>
      <c r="E28" s="78">
        <v>9000</v>
      </c>
      <c r="J28"/>
    </row>
    <row r="29" spans="1:10" hidden="1" x14ac:dyDescent="0.25">
      <c r="A29">
        <v>52</v>
      </c>
      <c r="B29" s="77">
        <v>45021</v>
      </c>
      <c r="C29" t="s">
        <v>168</v>
      </c>
      <c r="D29" t="s">
        <v>331</v>
      </c>
      <c r="E29" s="78">
        <v>9570</v>
      </c>
      <c r="J29"/>
    </row>
    <row r="30" spans="1:10" hidden="1" x14ac:dyDescent="0.25">
      <c r="A30">
        <v>53</v>
      </c>
      <c r="B30" s="77">
        <v>45021</v>
      </c>
      <c r="C30" t="s">
        <v>168</v>
      </c>
      <c r="D30" t="s">
        <v>332</v>
      </c>
      <c r="E30" s="78">
        <v>9988.43</v>
      </c>
      <c r="J30"/>
    </row>
    <row r="31" spans="1:10" hidden="1" x14ac:dyDescent="0.25">
      <c r="A31">
        <v>24</v>
      </c>
      <c r="B31" s="77">
        <v>45036</v>
      </c>
      <c r="C31" t="s">
        <v>174</v>
      </c>
      <c r="D31" t="s">
        <v>351</v>
      </c>
      <c r="E31" s="78">
        <v>12000</v>
      </c>
      <c r="J31"/>
    </row>
    <row r="32" spans="1:10" hidden="1" x14ac:dyDescent="0.25">
      <c r="A32">
        <v>67</v>
      </c>
      <c r="B32" s="77">
        <v>45019</v>
      </c>
      <c r="C32" t="s">
        <v>174</v>
      </c>
      <c r="D32" t="s">
        <v>352</v>
      </c>
      <c r="E32" s="78">
        <v>20000</v>
      </c>
      <c r="J32"/>
    </row>
    <row r="33" spans="1:10" hidden="1" x14ac:dyDescent="0.25">
      <c r="A33">
        <v>4</v>
      </c>
      <c r="B33" s="77">
        <v>45043</v>
      </c>
      <c r="C33" t="s">
        <v>174</v>
      </c>
      <c r="D33" t="s">
        <v>353</v>
      </c>
      <c r="E33" s="78">
        <v>24111.41</v>
      </c>
      <c r="J33"/>
    </row>
    <row r="34" spans="1:10" hidden="1" x14ac:dyDescent="0.25">
      <c r="A34">
        <v>37</v>
      </c>
      <c r="B34" s="77">
        <v>45033</v>
      </c>
      <c r="C34" t="s">
        <v>174</v>
      </c>
      <c r="D34" t="s">
        <v>352</v>
      </c>
      <c r="E34" s="78">
        <v>28000</v>
      </c>
      <c r="J34"/>
    </row>
    <row r="35" spans="1:10" hidden="1" x14ac:dyDescent="0.25">
      <c r="A35">
        <v>41</v>
      </c>
      <c r="B35" s="77">
        <v>45029</v>
      </c>
      <c r="C35" t="s">
        <v>174</v>
      </c>
      <c r="D35" t="s">
        <v>354</v>
      </c>
      <c r="E35" s="78">
        <v>49000</v>
      </c>
      <c r="J35"/>
    </row>
    <row r="36" spans="1:10" hidden="1" x14ac:dyDescent="0.25">
      <c r="A36">
        <v>27</v>
      </c>
      <c r="B36" s="77">
        <v>45035</v>
      </c>
      <c r="C36" t="s">
        <v>168</v>
      </c>
      <c r="D36" t="s">
        <v>252</v>
      </c>
      <c r="E36" s="78">
        <v>51000</v>
      </c>
      <c r="J36"/>
    </row>
    <row r="37" spans="1:10" hidden="1" x14ac:dyDescent="0.25">
      <c r="A37">
        <v>42</v>
      </c>
      <c r="B37" s="77">
        <v>45029</v>
      </c>
      <c r="C37" t="s">
        <v>174</v>
      </c>
      <c r="D37" t="s">
        <v>356</v>
      </c>
      <c r="E37" s="78">
        <v>110000</v>
      </c>
      <c r="J37"/>
    </row>
    <row r="38" spans="1:10" hidden="1" x14ac:dyDescent="0.25">
      <c r="A38">
        <v>62</v>
      </c>
      <c r="B38" s="77">
        <v>45019</v>
      </c>
      <c r="C38" t="s">
        <v>180</v>
      </c>
      <c r="D38" t="s">
        <v>181</v>
      </c>
      <c r="E38" s="78">
        <v>0</v>
      </c>
      <c r="F38" s="78">
        <v>88912.19</v>
      </c>
      <c r="J38"/>
    </row>
    <row r="39" spans="1:10" hidden="1" x14ac:dyDescent="0.25">
      <c r="A39">
        <v>57</v>
      </c>
      <c r="B39" s="77">
        <v>45021</v>
      </c>
      <c r="C39" t="s">
        <v>178</v>
      </c>
      <c r="D39" t="s">
        <v>179</v>
      </c>
      <c r="E39" s="78">
        <v>0</v>
      </c>
      <c r="F39" s="78">
        <v>284555.63</v>
      </c>
      <c r="J39"/>
    </row>
    <row r="40" spans="1:10" hidden="1" x14ac:dyDescent="0.25">
      <c r="A40">
        <v>29</v>
      </c>
      <c r="B40" s="77">
        <v>45035</v>
      </c>
      <c r="C40" t="s">
        <v>285</v>
      </c>
      <c r="D40" t="s">
        <v>288</v>
      </c>
      <c r="E40" s="78">
        <v>0</v>
      </c>
      <c r="F40" s="78">
        <v>0</v>
      </c>
      <c r="I40" s="78">
        <v>100</v>
      </c>
      <c r="J40"/>
    </row>
    <row r="41" spans="1:10" hidden="1" x14ac:dyDescent="0.25">
      <c r="A41">
        <v>19</v>
      </c>
      <c r="B41" s="77">
        <v>45040</v>
      </c>
      <c r="C41" t="s">
        <v>285</v>
      </c>
      <c r="D41" t="s">
        <v>288</v>
      </c>
      <c r="E41" s="78">
        <v>0</v>
      </c>
      <c r="F41" s="78">
        <v>0</v>
      </c>
      <c r="I41" s="78">
        <v>500</v>
      </c>
      <c r="J41"/>
    </row>
    <row r="42" spans="1:10" hidden="1" x14ac:dyDescent="0.25">
      <c r="A42">
        <v>28</v>
      </c>
      <c r="B42" s="77">
        <v>45035</v>
      </c>
      <c r="C42" t="s">
        <v>285</v>
      </c>
      <c r="D42" t="s">
        <v>311</v>
      </c>
      <c r="E42" s="78">
        <v>0</v>
      </c>
      <c r="F42" s="78">
        <v>0</v>
      </c>
      <c r="I42" s="78">
        <v>4000</v>
      </c>
      <c r="J42"/>
    </row>
    <row r="43" spans="1:10" hidden="1" x14ac:dyDescent="0.25">
      <c r="A43">
        <v>1</v>
      </c>
      <c r="B43" s="77">
        <v>45044</v>
      </c>
      <c r="C43" t="s">
        <v>285</v>
      </c>
      <c r="D43" t="s">
        <v>288</v>
      </c>
      <c r="E43" s="78">
        <v>0</v>
      </c>
      <c r="F43" s="78">
        <v>0</v>
      </c>
      <c r="I43" s="78">
        <v>10000</v>
      </c>
      <c r="J43"/>
    </row>
    <row r="44" spans="1:10" hidden="1" x14ac:dyDescent="0.25">
      <c r="A44">
        <v>30</v>
      </c>
      <c r="B44" s="77">
        <v>45035</v>
      </c>
      <c r="C44" t="s">
        <v>285</v>
      </c>
      <c r="D44" t="s">
        <v>288</v>
      </c>
      <c r="E44" s="78">
        <v>0</v>
      </c>
      <c r="F44" s="78">
        <v>0</v>
      </c>
      <c r="I44" s="78">
        <v>10000</v>
      </c>
      <c r="J44"/>
    </row>
    <row r="45" spans="1:10" hidden="1" x14ac:dyDescent="0.25">
      <c r="A45">
        <v>44</v>
      </c>
      <c r="B45" s="77">
        <v>45027</v>
      </c>
      <c r="C45" t="s">
        <v>285</v>
      </c>
      <c r="D45" t="s">
        <v>288</v>
      </c>
      <c r="E45" s="78">
        <v>0</v>
      </c>
      <c r="F45" s="78">
        <v>0</v>
      </c>
      <c r="I45" s="78">
        <v>10000</v>
      </c>
      <c r="J45"/>
    </row>
    <row r="46" spans="1:10" hidden="1" x14ac:dyDescent="0.25">
      <c r="A46">
        <v>47</v>
      </c>
      <c r="B46" s="77">
        <v>45026</v>
      </c>
      <c r="C46" t="s">
        <v>285</v>
      </c>
      <c r="D46" t="s">
        <v>288</v>
      </c>
      <c r="E46" s="78">
        <v>0</v>
      </c>
      <c r="F46" s="78">
        <v>0</v>
      </c>
      <c r="I46" s="78">
        <v>10000</v>
      </c>
      <c r="J46"/>
    </row>
    <row r="47" spans="1:10" hidden="1" x14ac:dyDescent="0.25">
      <c r="A47">
        <v>55</v>
      </c>
      <c r="B47" s="77">
        <v>45021</v>
      </c>
      <c r="C47" t="s">
        <v>285</v>
      </c>
      <c r="D47" t="s">
        <v>288</v>
      </c>
      <c r="E47" s="78">
        <v>0</v>
      </c>
      <c r="F47" s="78">
        <v>0</v>
      </c>
      <c r="I47" s="78">
        <v>10000</v>
      </c>
      <c r="J47"/>
    </row>
    <row r="48" spans="1:10" hidden="1" x14ac:dyDescent="0.25">
      <c r="A48">
        <v>56</v>
      </c>
      <c r="B48" s="77">
        <v>45021</v>
      </c>
      <c r="C48" t="s">
        <v>285</v>
      </c>
      <c r="D48" t="s">
        <v>288</v>
      </c>
      <c r="E48" s="78">
        <v>0</v>
      </c>
      <c r="F48" s="78">
        <v>0</v>
      </c>
      <c r="I48" s="78">
        <v>10000</v>
      </c>
      <c r="J48"/>
    </row>
    <row r="49" spans="1:10" hidden="1" x14ac:dyDescent="0.25">
      <c r="A49">
        <v>60</v>
      </c>
      <c r="B49" s="77">
        <v>45020</v>
      </c>
      <c r="C49" t="s">
        <v>285</v>
      </c>
      <c r="D49" t="s">
        <v>288</v>
      </c>
      <c r="E49" s="78">
        <v>0</v>
      </c>
      <c r="F49" s="78">
        <v>0</v>
      </c>
      <c r="I49" s="78">
        <v>10000</v>
      </c>
      <c r="J49"/>
    </row>
    <row r="50" spans="1:10" hidden="1" x14ac:dyDescent="0.25">
      <c r="A50">
        <v>65</v>
      </c>
      <c r="B50" s="77">
        <v>45019</v>
      </c>
      <c r="C50" t="s">
        <v>185</v>
      </c>
      <c r="D50" t="s">
        <v>186</v>
      </c>
      <c r="E50" s="78">
        <v>0</v>
      </c>
      <c r="F50" s="78">
        <v>0</v>
      </c>
      <c r="I50" s="78">
        <v>10000</v>
      </c>
      <c r="J50"/>
    </row>
    <row r="51" spans="1:10" hidden="1" x14ac:dyDescent="0.25">
      <c r="A51">
        <v>66</v>
      </c>
      <c r="B51" s="77">
        <v>45019</v>
      </c>
      <c r="C51" t="s">
        <v>185</v>
      </c>
      <c r="D51" t="s">
        <v>186</v>
      </c>
      <c r="E51" s="78">
        <v>0</v>
      </c>
      <c r="F51" s="78">
        <v>0</v>
      </c>
      <c r="I51" s="78">
        <v>10000</v>
      </c>
      <c r="J51"/>
    </row>
    <row r="52" spans="1:10" hidden="1" x14ac:dyDescent="0.25">
      <c r="A52">
        <v>61</v>
      </c>
      <c r="B52" s="77">
        <v>45020</v>
      </c>
      <c r="C52" t="s">
        <v>285</v>
      </c>
      <c r="D52" t="s">
        <v>288</v>
      </c>
      <c r="E52" s="78">
        <v>0</v>
      </c>
      <c r="F52" s="78">
        <v>0</v>
      </c>
      <c r="I52" s="78">
        <v>20000</v>
      </c>
      <c r="J52"/>
    </row>
    <row r="53" spans="1:10" hidden="1" x14ac:dyDescent="0.25">
      <c r="A53">
        <v>25</v>
      </c>
      <c r="B53" s="77">
        <v>45036</v>
      </c>
      <c r="C53" t="s">
        <v>313</v>
      </c>
      <c r="E53" s="78">
        <v>0</v>
      </c>
      <c r="F53" s="78">
        <v>0</v>
      </c>
      <c r="I53" s="78">
        <v>900000</v>
      </c>
      <c r="J53"/>
    </row>
    <row r="54" spans="1:10" hidden="1" x14ac:dyDescent="0.25">
      <c r="A54" s="82">
        <v>900</v>
      </c>
      <c r="B54" s="81">
        <v>45046</v>
      </c>
      <c r="C54" s="82" t="s">
        <v>357</v>
      </c>
      <c r="D54" s="82" t="s">
        <v>358</v>
      </c>
      <c r="E54" s="78">
        <v>0</v>
      </c>
      <c r="F54" s="78">
        <v>-23029</v>
      </c>
      <c r="I54" s="78">
        <v>0</v>
      </c>
      <c r="J54"/>
    </row>
    <row r="55" spans="1:10" hidden="1" x14ac:dyDescent="0.25">
      <c r="A55">
        <v>10</v>
      </c>
      <c r="B55" s="77">
        <v>45075</v>
      </c>
      <c r="C55" t="s">
        <v>168</v>
      </c>
      <c r="D55" t="s">
        <v>211</v>
      </c>
      <c r="E55" s="78">
        <v>220</v>
      </c>
      <c r="F55" s="78">
        <v>0</v>
      </c>
      <c r="I55" s="78">
        <v>0</v>
      </c>
      <c r="J55"/>
    </row>
    <row r="56" spans="1:10" hidden="1" x14ac:dyDescent="0.25">
      <c r="A56">
        <v>70</v>
      </c>
      <c r="B56" s="77">
        <v>45048</v>
      </c>
      <c r="C56" t="s">
        <v>168</v>
      </c>
      <c r="D56" t="s">
        <v>237</v>
      </c>
      <c r="E56" s="78">
        <v>254.9</v>
      </c>
      <c r="F56" s="78">
        <v>0</v>
      </c>
      <c r="I56" s="78">
        <v>0</v>
      </c>
      <c r="J56"/>
    </row>
    <row r="57" spans="1:10" hidden="1" x14ac:dyDescent="0.25">
      <c r="A57">
        <v>45</v>
      </c>
      <c r="B57" s="77">
        <v>45054</v>
      </c>
      <c r="C57" t="s">
        <v>168</v>
      </c>
      <c r="D57" t="s">
        <v>209</v>
      </c>
      <c r="E57" s="78">
        <v>380</v>
      </c>
      <c r="F57" s="78">
        <v>0</v>
      </c>
      <c r="I57" s="78">
        <v>0</v>
      </c>
      <c r="J57"/>
    </row>
    <row r="58" spans="1:10" hidden="1" x14ac:dyDescent="0.25">
      <c r="A58">
        <v>1</v>
      </c>
      <c r="B58" s="77">
        <v>45077</v>
      </c>
      <c r="C58" t="s">
        <v>172</v>
      </c>
      <c r="E58" s="78">
        <v>494.42</v>
      </c>
      <c r="F58" s="78">
        <v>0</v>
      </c>
      <c r="I58" s="78">
        <v>0</v>
      </c>
      <c r="J58"/>
    </row>
    <row r="59" spans="1:10" hidden="1" x14ac:dyDescent="0.25">
      <c r="A59">
        <v>47</v>
      </c>
      <c r="B59" s="77">
        <v>45054</v>
      </c>
      <c r="C59" t="s">
        <v>168</v>
      </c>
      <c r="D59" t="s">
        <v>209</v>
      </c>
      <c r="E59" s="78">
        <v>550</v>
      </c>
      <c r="F59" s="78">
        <v>0</v>
      </c>
      <c r="I59" s="78">
        <v>0</v>
      </c>
      <c r="J59"/>
    </row>
    <row r="60" spans="1:10" hidden="1" x14ac:dyDescent="0.25">
      <c r="A60">
        <v>9</v>
      </c>
      <c r="B60" s="77">
        <v>45075</v>
      </c>
      <c r="C60" t="s">
        <v>168</v>
      </c>
      <c r="D60" t="s">
        <v>373</v>
      </c>
      <c r="E60" s="78">
        <v>600</v>
      </c>
      <c r="F60" s="78">
        <v>0</v>
      </c>
      <c r="I60" s="78">
        <v>0</v>
      </c>
      <c r="J60"/>
    </row>
    <row r="61" spans="1:10" hidden="1" x14ac:dyDescent="0.25">
      <c r="A61">
        <v>61</v>
      </c>
      <c r="B61" s="77">
        <v>45049</v>
      </c>
      <c r="C61" t="s">
        <v>175</v>
      </c>
      <c r="D61" t="s">
        <v>212</v>
      </c>
      <c r="E61" s="78">
        <v>691.86</v>
      </c>
      <c r="F61" s="78">
        <v>0</v>
      </c>
      <c r="I61" s="78">
        <v>0</v>
      </c>
      <c r="J61"/>
    </row>
    <row r="62" spans="1:10" hidden="1" x14ac:dyDescent="0.25">
      <c r="A62">
        <v>30</v>
      </c>
      <c r="B62" s="77">
        <v>45061</v>
      </c>
      <c r="C62" t="s">
        <v>168</v>
      </c>
      <c r="D62" t="s">
        <v>209</v>
      </c>
      <c r="E62" s="78">
        <v>780</v>
      </c>
      <c r="F62" s="78">
        <v>0</v>
      </c>
      <c r="I62" s="78">
        <v>0</v>
      </c>
      <c r="J62"/>
    </row>
    <row r="63" spans="1:10" hidden="1" x14ac:dyDescent="0.25">
      <c r="A63">
        <v>36</v>
      </c>
      <c r="B63" s="77">
        <v>45058</v>
      </c>
      <c r="C63" t="s">
        <v>168</v>
      </c>
      <c r="D63" t="s">
        <v>366</v>
      </c>
      <c r="E63" s="78">
        <v>850</v>
      </c>
      <c r="F63" s="78">
        <v>0</v>
      </c>
      <c r="I63" s="78">
        <v>0</v>
      </c>
      <c r="J63"/>
    </row>
    <row r="64" spans="1:10" hidden="1" x14ac:dyDescent="0.25">
      <c r="A64">
        <v>42</v>
      </c>
      <c r="B64" s="77">
        <v>45055</v>
      </c>
      <c r="C64" t="s">
        <v>168</v>
      </c>
      <c r="D64" t="s">
        <v>208</v>
      </c>
      <c r="E64" s="78">
        <v>900</v>
      </c>
      <c r="F64" s="78">
        <v>0</v>
      </c>
      <c r="I64" s="78">
        <v>0</v>
      </c>
      <c r="J64"/>
    </row>
    <row r="65" spans="1:10" hidden="1" x14ac:dyDescent="0.25">
      <c r="A65">
        <v>31</v>
      </c>
      <c r="B65" s="77">
        <v>45061</v>
      </c>
      <c r="C65" t="s">
        <v>168</v>
      </c>
      <c r="D65" t="s">
        <v>198</v>
      </c>
      <c r="E65" s="78">
        <v>1000</v>
      </c>
      <c r="F65" s="78">
        <v>0</v>
      </c>
      <c r="I65" s="78">
        <v>0</v>
      </c>
      <c r="J65"/>
    </row>
    <row r="66" spans="1:10" hidden="1" x14ac:dyDescent="0.25">
      <c r="A66">
        <v>6</v>
      </c>
      <c r="B66" s="77">
        <v>45075</v>
      </c>
      <c r="C66" t="s">
        <v>168</v>
      </c>
      <c r="D66" t="s">
        <v>372</v>
      </c>
      <c r="E66" s="78">
        <v>1240</v>
      </c>
      <c r="F66" s="78">
        <v>0</v>
      </c>
      <c r="I66" s="78">
        <v>0</v>
      </c>
      <c r="J66"/>
    </row>
    <row r="67" spans="1:10" hidden="1" x14ac:dyDescent="0.25">
      <c r="A67">
        <v>13</v>
      </c>
      <c r="B67" s="77">
        <v>45069</v>
      </c>
      <c r="C67" t="s">
        <v>168</v>
      </c>
      <c r="D67" t="s">
        <v>275</v>
      </c>
      <c r="E67" s="78">
        <v>1272</v>
      </c>
      <c r="F67" s="78">
        <v>0</v>
      </c>
      <c r="I67" s="78">
        <v>0</v>
      </c>
      <c r="J67"/>
    </row>
    <row r="68" spans="1:10" hidden="1" x14ac:dyDescent="0.25">
      <c r="A68">
        <v>46</v>
      </c>
      <c r="B68" s="77">
        <v>45054</v>
      </c>
      <c r="C68" t="s">
        <v>168</v>
      </c>
      <c r="D68" t="s">
        <v>263</v>
      </c>
      <c r="E68" s="78">
        <v>1360</v>
      </c>
      <c r="F68" s="78">
        <v>0</v>
      </c>
      <c r="I68" s="78">
        <v>0</v>
      </c>
      <c r="J68"/>
    </row>
    <row r="69" spans="1:10" hidden="1" x14ac:dyDescent="0.25">
      <c r="A69">
        <v>2</v>
      </c>
      <c r="B69" s="77">
        <v>45076</v>
      </c>
      <c r="C69" t="s">
        <v>168</v>
      </c>
      <c r="D69" t="s">
        <v>176</v>
      </c>
      <c r="E69" s="78">
        <v>1437.8</v>
      </c>
      <c r="F69" s="78">
        <v>0</v>
      </c>
      <c r="I69" s="78">
        <v>0</v>
      </c>
      <c r="J69"/>
    </row>
    <row r="70" spans="1:10" hidden="1" x14ac:dyDescent="0.25">
      <c r="A70">
        <v>29</v>
      </c>
      <c r="B70" s="77">
        <v>45062</v>
      </c>
      <c r="C70" t="s">
        <v>168</v>
      </c>
      <c r="D70" t="s">
        <v>237</v>
      </c>
      <c r="E70" s="78">
        <v>1454.99</v>
      </c>
      <c r="F70" s="78">
        <v>0</v>
      </c>
      <c r="I70" s="78">
        <v>0</v>
      </c>
      <c r="J70"/>
    </row>
    <row r="71" spans="1:10" hidden="1" x14ac:dyDescent="0.25">
      <c r="A71">
        <v>16</v>
      </c>
      <c r="B71" s="77">
        <v>45068</v>
      </c>
      <c r="C71" t="s">
        <v>168</v>
      </c>
      <c r="D71" t="s">
        <v>209</v>
      </c>
      <c r="E71" s="78">
        <v>1470</v>
      </c>
      <c r="F71" s="78">
        <v>0</v>
      </c>
      <c r="I71" s="78">
        <v>0</v>
      </c>
      <c r="J71"/>
    </row>
    <row r="72" spans="1:10" hidden="1" x14ac:dyDescent="0.25">
      <c r="A72">
        <v>8</v>
      </c>
      <c r="B72" s="77">
        <v>45075</v>
      </c>
      <c r="C72" t="s">
        <v>168</v>
      </c>
      <c r="D72" t="s">
        <v>373</v>
      </c>
      <c r="E72" s="78">
        <v>1560</v>
      </c>
      <c r="F72" s="78">
        <v>0</v>
      </c>
      <c r="I72" s="78">
        <v>0</v>
      </c>
      <c r="J72"/>
    </row>
    <row r="73" spans="1:10" hidden="1" x14ac:dyDescent="0.25">
      <c r="A73">
        <v>68</v>
      </c>
      <c r="B73" s="77">
        <v>45048</v>
      </c>
      <c r="C73" t="s">
        <v>168</v>
      </c>
      <c r="D73" t="s">
        <v>201</v>
      </c>
      <c r="E73" s="78">
        <v>1629.6</v>
      </c>
      <c r="F73" s="78">
        <v>0</v>
      </c>
      <c r="I73" s="78">
        <v>0</v>
      </c>
      <c r="J73"/>
    </row>
    <row r="74" spans="1:10" hidden="1" x14ac:dyDescent="0.25">
      <c r="A74">
        <v>5</v>
      </c>
      <c r="B74" s="77">
        <v>45075</v>
      </c>
      <c r="C74" t="s">
        <v>168</v>
      </c>
      <c r="D74" t="s">
        <v>198</v>
      </c>
      <c r="E74" s="78">
        <v>1640</v>
      </c>
      <c r="F74" s="78">
        <v>0</v>
      </c>
      <c r="I74" s="78">
        <v>0</v>
      </c>
      <c r="J74"/>
    </row>
    <row r="75" spans="1:10" hidden="1" x14ac:dyDescent="0.25">
      <c r="A75">
        <v>67</v>
      </c>
      <c r="B75" s="77">
        <v>45048</v>
      </c>
      <c r="C75" t="s">
        <v>168</v>
      </c>
      <c r="D75" t="s">
        <v>296</v>
      </c>
      <c r="E75" s="78">
        <v>1650</v>
      </c>
      <c r="F75" s="78">
        <v>0</v>
      </c>
      <c r="I75" s="78">
        <v>0</v>
      </c>
      <c r="J75"/>
    </row>
    <row r="76" spans="1:10" hidden="1" x14ac:dyDescent="0.25">
      <c r="A76">
        <v>56</v>
      </c>
      <c r="B76" s="77">
        <v>45050</v>
      </c>
      <c r="C76" t="s">
        <v>168</v>
      </c>
      <c r="D76" t="s">
        <v>220</v>
      </c>
      <c r="E76" s="78">
        <v>1700</v>
      </c>
      <c r="F76" s="78">
        <v>0</v>
      </c>
      <c r="I76" s="78">
        <v>0</v>
      </c>
      <c r="J76"/>
    </row>
    <row r="77" spans="1:10" hidden="1" x14ac:dyDescent="0.25">
      <c r="A77">
        <v>43</v>
      </c>
      <c r="B77" s="77">
        <v>45055</v>
      </c>
      <c r="C77" t="s">
        <v>168</v>
      </c>
      <c r="D77" t="s">
        <v>263</v>
      </c>
      <c r="E77" s="78">
        <v>1990</v>
      </c>
      <c r="F77" s="78">
        <v>0</v>
      </c>
      <c r="I77" s="78">
        <v>0</v>
      </c>
      <c r="J77"/>
    </row>
    <row r="78" spans="1:10" hidden="1" x14ac:dyDescent="0.25">
      <c r="A78">
        <v>58</v>
      </c>
      <c r="B78" s="77">
        <v>45050</v>
      </c>
      <c r="C78" t="s">
        <v>168</v>
      </c>
      <c r="D78" t="s">
        <v>369</v>
      </c>
      <c r="E78" s="78">
        <v>2040</v>
      </c>
      <c r="F78" s="78">
        <v>0</v>
      </c>
      <c r="I78" s="78">
        <v>0</v>
      </c>
      <c r="J78"/>
    </row>
    <row r="79" spans="1:10" hidden="1" x14ac:dyDescent="0.25">
      <c r="A79">
        <v>64</v>
      </c>
      <c r="B79" s="77">
        <v>45048</v>
      </c>
      <c r="C79" t="s">
        <v>168</v>
      </c>
      <c r="D79" t="s">
        <v>367</v>
      </c>
      <c r="E79" s="78">
        <v>2040</v>
      </c>
      <c r="F79" s="78">
        <v>0</v>
      </c>
      <c r="I79" s="78">
        <v>0</v>
      </c>
      <c r="J79"/>
    </row>
    <row r="80" spans="1:10" hidden="1" x14ac:dyDescent="0.25">
      <c r="A80">
        <v>20</v>
      </c>
      <c r="B80" s="77">
        <v>45065</v>
      </c>
      <c r="C80" t="s">
        <v>168</v>
      </c>
      <c r="D80" t="s">
        <v>376</v>
      </c>
      <c r="E80" s="78">
        <v>2060</v>
      </c>
      <c r="F80" s="78">
        <v>0</v>
      </c>
      <c r="I80" s="78">
        <v>0</v>
      </c>
      <c r="J80"/>
    </row>
    <row r="81" spans="1:10" hidden="1" x14ac:dyDescent="0.25">
      <c r="A81">
        <v>7</v>
      </c>
      <c r="B81" s="77">
        <v>45075</v>
      </c>
      <c r="C81" t="s">
        <v>168</v>
      </c>
      <c r="D81" t="s">
        <v>263</v>
      </c>
      <c r="E81" s="78">
        <v>2170</v>
      </c>
      <c r="F81" s="78">
        <v>0</v>
      </c>
      <c r="I81" s="78">
        <v>0</v>
      </c>
      <c r="J81"/>
    </row>
    <row r="82" spans="1:10" hidden="1" x14ac:dyDescent="0.25">
      <c r="A82">
        <v>66</v>
      </c>
      <c r="B82" s="77">
        <v>45048</v>
      </c>
      <c r="C82" t="s">
        <v>168</v>
      </c>
      <c r="D82" t="s">
        <v>238</v>
      </c>
      <c r="E82" s="78">
        <v>2250</v>
      </c>
      <c r="F82" s="78">
        <v>0</v>
      </c>
      <c r="I82" s="78">
        <v>0</v>
      </c>
      <c r="J82"/>
    </row>
    <row r="83" spans="1:10" hidden="1" x14ac:dyDescent="0.25">
      <c r="A83">
        <v>0</v>
      </c>
      <c r="B83" s="77">
        <v>45077</v>
      </c>
      <c r="C83" t="s">
        <v>171</v>
      </c>
      <c r="E83" s="78">
        <v>2354.39</v>
      </c>
      <c r="F83" s="78">
        <v>0</v>
      </c>
      <c r="I83" s="78">
        <v>0</v>
      </c>
      <c r="J83"/>
    </row>
    <row r="84" spans="1:10" hidden="1" x14ac:dyDescent="0.25">
      <c r="A84">
        <v>23</v>
      </c>
      <c r="B84" s="77">
        <v>45064</v>
      </c>
      <c r="C84" t="s">
        <v>168</v>
      </c>
      <c r="D84" t="s">
        <v>374</v>
      </c>
      <c r="E84" s="78">
        <v>2548.98</v>
      </c>
      <c r="F84" s="78">
        <v>0</v>
      </c>
      <c r="I84" s="78">
        <v>0</v>
      </c>
      <c r="J84"/>
    </row>
    <row r="85" spans="1:10" hidden="1" x14ac:dyDescent="0.25">
      <c r="A85">
        <v>28</v>
      </c>
      <c r="B85" s="77">
        <v>45063</v>
      </c>
      <c r="C85" t="s">
        <v>168</v>
      </c>
      <c r="D85" t="s">
        <v>208</v>
      </c>
      <c r="E85" s="78">
        <v>2550</v>
      </c>
      <c r="F85" s="78">
        <v>0</v>
      </c>
      <c r="I85" s="78">
        <v>0</v>
      </c>
      <c r="J85"/>
    </row>
    <row r="86" spans="1:10" hidden="1" x14ac:dyDescent="0.25">
      <c r="A86">
        <v>63</v>
      </c>
      <c r="B86" s="77">
        <v>45048</v>
      </c>
      <c r="C86" t="s">
        <v>168</v>
      </c>
      <c r="D86" t="s">
        <v>296</v>
      </c>
      <c r="E86" s="78">
        <v>2640</v>
      </c>
      <c r="F86" s="78">
        <v>0</v>
      </c>
      <c r="I86" s="78">
        <v>0</v>
      </c>
      <c r="J86"/>
    </row>
    <row r="87" spans="1:10" hidden="1" x14ac:dyDescent="0.25">
      <c r="A87">
        <v>3</v>
      </c>
      <c r="B87" s="77">
        <v>45076</v>
      </c>
      <c r="C87" t="s">
        <v>168</v>
      </c>
      <c r="D87" t="s">
        <v>375</v>
      </c>
      <c r="E87" s="78">
        <v>2790</v>
      </c>
      <c r="F87" s="78">
        <v>0</v>
      </c>
      <c r="I87" s="78">
        <v>0</v>
      </c>
      <c r="J87"/>
    </row>
    <row r="88" spans="1:10" hidden="1" x14ac:dyDescent="0.25">
      <c r="A88">
        <v>15</v>
      </c>
      <c r="B88" s="77">
        <v>45068</v>
      </c>
      <c r="C88" t="s">
        <v>168</v>
      </c>
      <c r="D88" t="s">
        <v>173</v>
      </c>
      <c r="E88" s="78">
        <v>2810.09</v>
      </c>
      <c r="F88" s="78">
        <v>0</v>
      </c>
      <c r="I88" s="78">
        <v>0</v>
      </c>
      <c r="J88"/>
    </row>
    <row r="89" spans="1:10" hidden="1" x14ac:dyDescent="0.25">
      <c r="A89">
        <v>48</v>
      </c>
      <c r="B89" s="77">
        <v>45054</v>
      </c>
      <c r="C89" t="s">
        <v>168</v>
      </c>
      <c r="D89" t="s">
        <v>173</v>
      </c>
      <c r="E89" s="78">
        <v>3166.1</v>
      </c>
      <c r="F89" s="78">
        <v>0</v>
      </c>
      <c r="I89" s="78">
        <v>0</v>
      </c>
      <c r="J89"/>
    </row>
    <row r="90" spans="1:10" hidden="1" x14ac:dyDescent="0.25">
      <c r="A90">
        <v>32</v>
      </c>
      <c r="B90" s="77">
        <v>45061</v>
      </c>
      <c r="C90" t="s">
        <v>168</v>
      </c>
      <c r="D90" t="s">
        <v>365</v>
      </c>
      <c r="E90" s="78">
        <v>3230</v>
      </c>
      <c r="F90" s="78">
        <v>0</v>
      </c>
      <c r="I90" s="78">
        <v>0</v>
      </c>
      <c r="J90"/>
    </row>
    <row r="91" spans="1:10" hidden="1" x14ac:dyDescent="0.25">
      <c r="A91">
        <v>34</v>
      </c>
      <c r="B91" s="77">
        <v>45061</v>
      </c>
      <c r="C91" t="s">
        <v>200</v>
      </c>
      <c r="D91" t="s">
        <v>377</v>
      </c>
      <c r="E91" s="78">
        <v>3550</v>
      </c>
      <c r="F91" s="78">
        <v>0</v>
      </c>
      <c r="I91" s="78">
        <v>0</v>
      </c>
      <c r="J91"/>
    </row>
    <row r="92" spans="1:10" hidden="1" x14ac:dyDescent="0.25">
      <c r="A92">
        <v>38</v>
      </c>
      <c r="B92" s="77">
        <v>45057</v>
      </c>
      <c r="C92" t="s">
        <v>168</v>
      </c>
      <c r="D92" t="s">
        <v>208</v>
      </c>
      <c r="E92" s="78">
        <v>4270</v>
      </c>
      <c r="F92" s="78">
        <v>0</v>
      </c>
      <c r="I92" s="78">
        <v>0</v>
      </c>
      <c r="J92"/>
    </row>
    <row r="93" spans="1:10" hidden="1" x14ac:dyDescent="0.25">
      <c r="A93">
        <v>4</v>
      </c>
      <c r="B93" s="77">
        <v>45076</v>
      </c>
      <c r="C93" t="s">
        <v>168</v>
      </c>
      <c r="D93" t="s">
        <v>213</v>
      </c>
      <c r="E93" s="78">
        <v>4401.1000000000004</v>
      </c>
      <c r="F93" s="78">
        <v>0</v>
      </c>
      <c r="I93" s="78">
        <v>0</v>
      </c>
      <c r="J93"/>
    </row>
    <row r="94" spans="1:10" hidden="1" x14ac:dyDescent="0.25">
      <c r="A94">
        <v>59</v>
      </c>
      <c r="B94" s="77">
        <v>45050</v>
      </c>
      <c r="C94" t="s">
        <v>168</v>
      </c>
      <c r="D94" t="s">
        <v>213</v>
      </c>
      <c r="E94" s="78">
        <v>4481.43</v>
      </c>
      <c r="F94" s="78">
        <v>0</v>
      </c>
      <c r="I94" s="78">
        <v>0</v>
      </c>
      <c r="J94"/>
    </row>
    <row r="95" spans="1:10" hidden="1" x14ac:dyDescent="0.25">
      <c r="A95">
        <v>12</v>
      </c>
      <c r="B95" s="77">
        <v>45075</v>
      </c>
      <c r="C95" t="s">
        <v>174</v>
      </c>
      <c r="D95" t="s">
        <v>222</v>
      </c>
      <c r="E95" s="78">
        <v>5000</v>
      </c>
      <c r="F95" s="78">
        <v>0</v>
      </c>
      <c r="I95" s="78">
        <v>0</v>
      </c>
      <c r="J95"/>
    </row>
    <row r="96" spans="1:10" hidden="1" x14ac:dyDescent="0.25">
      <c r="A96">
        <v>44</v>
      </c>
      <c r="B96" s="77">
        <v>45055</v>
      </c>
      <c r="C96" t="s">
        <v>174</v>
      </c>
      <c r="D96" t="s">
        <v>386</v>
      </c>
      <c r="E96" s="78">
        <v>5000</v>
      </c>
      <c r="F96" s="78">
        <v>0</v>
      </c>
      <c r="I96" s="78">
        <v>0</v>
      </c>
      <c r="J96"/>
    </row>
    <row r="97" spans="1:10" hidden="1" x14ac:dyDescent="0.25">
      <c r="A97">
        <v>21</v>
      </c>
      <c r="B97" s="77">
        <v>45065</v>
      </c>
      <c r="C97" t="s">
        <v>168</v>
      </c>
      <c r="D97" t="s">
        <v>213</v>
      </c>
      <c r="E97" s="78">
        <v>5785.16</v>
      </c>
      <c r="F97" s="78">
        <v>0</v>
      </c>
      <c r="I97" s="78">
        <v>0</v>
      </c>
      <c r="J97"/>
    </row>
    <row r="98" spans="1:10" hidden="1" x14ac:dyDescent="0.25">
      <c r="A98">
        <v>24</v>
      </c>
      <c r="B98" s="77">
        <v>45064</v>
      </c>
      <c r="C98" t="s">
        <v>174</v>
      </c>
      <c r="D98" t="s">
        <v>387</v>
      </c>
      <c r="E98" s="78">
        <v>6000</v>
      </c>
      <c r="F98" s="78">
        <v>0</v>
      </c>
      <c r="I98" s="78">
        <v>0</v>
      </c>
      <c r="J98"/>
    </row>
    <row r="99" spans="1:10" hidden="1" x14ac:dyDescent="0.25">
      <c r="A99">
        <v>14</v>
      </c>
      <c r="B99" s="77">
        <v>45068</v>
      </c>
      <c r="C99" t="s">
        <v>168</v>
      </c>
      <c r="D99" t="s">
        <v>201</v>
      </c>
      <c r="E99" s="78">
        <v>6456.95</v>
      </c>
      <c r="F99" s="78">
        <v>0</v>
      </c>
      <c r="I99" s="78">
        <v>0</v>
      </c>
      <c r="J99"/>
    </row>
    <row r="100" spans="1:10" hidden="1" x14ac:dyDescent="0.25">
      <c r="A100">
        <v>22</v>
      </c>
      <c r="B100" s="77">
        <v>45064</v>
      </c>
      <c r="C100" t="s">
        <v>168</v>
      </c>
      <c r="D100" t="s">
        <v>371</v>
      </c>
      <c r="E100" s="78">
        <v>6500</v>
      </c>
      <c r="F100" s="78">
        <v>0</v>
      </c>
      <c r="I100" s="78">
        <v>0</v>
      </c>
      <c r="J100"/>
    </row>
    <row r="101" spans="1:10" hidden="1" x14ac:dyDescent="0.25">
      <c r="A101">
        <v>57</v>
      </c>
      <c r="B101" s="77">
        <v>45050</v>
      </c>
      <c r="C101" t="s">
        <v>168</v>
      </c>
      <c r="D101" t="s">
        <v>370</v>
      </c>
      <c r="E101" s="78">
        <v>10000</v>
      </c>
      <c r="F101" s="78">
        <v>0</v>
      </c>
      <c r="I101" s="78">
        <v>0</v>
      </c>
      <c r="J101"/>
    </row>
    <row r="102" spans="1:10" hidden="1" x14ac:dyDescent="0.25">
      <c r="A102">
        <v>65</v>
      </c>
      <c r="B102" s="77">
        <v>45048</v>
      </c>
      <c r="C102" t="s">
        <v>168</v>
      </c>
      <c r="D102" t="s">
        <v>278</v>
      </c>
      <c r="E102" s="78">
        <v>10000</v>
      </c>
      <c r="F102" s="78">
        <v>0</v>
      </c>
      <c r="I102" s="78">
        <v>0</v>
      </c>
      <c r="J102"/>
    </row>
    <row r="103" spans="1:10" hidden="1" x14ac:dyDescent="0.25">
      <c r="A103">
        <v>60</v>
      </c>
      <c r="B103" s="77">
        <v>45050</v>
      </c>
      <c r="C103" t="s">
        <v>174</v>
      </c>
      <c r="D103" t="s">
        <v>385</v>
      </c>
      <c r="E103" s="78">
        <v>11000</v>
      </c>
      <c r="F103" s="78">
        <v>0</v>
      </c>
      <c r="I103" s="78">
        <v>0</v>
      </c>
      <c r="J103" t="s">
        <v>392</v>
      </c>
    </row>
    <row r="104" spans="1:10" hidden="1" x14ac:dyDescent="0.25">
      <c r="A104">
        <v>69</v>
      </c>
      <c r="B104" s="77">
        <v>45048</v>
      </c>
      <c r="C104" t="s">
        <v>168</v>
      </c>
      <c r="D104" t="s">
        <v>281</v>
      </c>
      <c r="E104" s="78">
        <v>11500</v>
      </c>
      <c r="F104" s="78">
        <v>0</v>
      </c>
      <c r="I104" s="78">
        <v>0</v>
      </c>
      <c r="J104"/>
    </row>
    <row r="105" spans="1:10" hidden="1" x14ac:dyDescent="0.25">
      <c r="A105">
        <v>55</v>
      </c>
      <c r="B105" s="77">
        <v>45051</v>
      </c>
      <c r="C105" t="s">
        <v>174</v>
      </c>
      <c r="D105" t="s">
        <v>317</v>
      </c>
      <c r="E105" s="78">
        <v>15000</v>
      </c>
      <c r="F105" s="78">
        <v>0</v>
      </c>
      <c r="I105" s="78">
        <v>0</v>
      </c>
      <c r="J105" t="s">
        <v>391</v>
      </c>
    </row>
    <row r="106" spans="1:10" hidden="1" x14ac:dyDescent="0.25">
      <c r="A106">
        <v>19</v>
      </c>
      <c r="B106" s="77">
        <v>45068</v>
      </c>
      <c r="C106" t="s">
        <v>174</v>
      </c>
      <c r="D106" t="s">
        <v>352</v>
      </c>
      <c r="E106" s="78">
        <v>16000</v>
      </c>
      <c r="F106" s="78">
        <v>0</v>
      </c>
      <c r="I106" s="78">
        <v>0</v>
      </c>
      <c r="J106" t="s">
        <v>390</v>
      </c>
    </row>
    <row r="107" spans="1:10" hidden="1" x14ac:dyDescent="0.25">
      <c r="A107">
        <v>11</v>
      </c>
      <c r="B107" s="77">
        <v>45075</v>
      </c>
      <c r="C107" t="s">
        <v>174</v>
      </c>
      <c r="D107" t="s">
        <v>388</v>
      </c>
      <c r="E107" s="78">
        <v>17600</v>
      </c>
      <c r="F107" s="78">
        <v>0</v>
      </c>
      <c r="I107" s="78">
        <v>0</v>
      </c>
      <c r="J107" t="s">
        <v>389</v>
      </c>
    </row>
    <row r="108" spans="1:10" hidden="1" x14ac:dyDescent="0.25">
      <c r="A108">
        <v>52</v>
      </c>
      <c r="B108" s="77">
        <v>45051</v>
      </c>
      <c r="C108" t="s">
        <v>168</v>
      </c>
      <c r="D108" t="s">
        <v>368</v>
      </c>
      <c r="E108" s="78">
        <v>24420</v>
      </c>
      <c r="F108" s="78">
        <v>0</v>
      </c>
      <c r="I108" s="78">
        <v>0</v>
      </c>
      <c r="J108" t="s">
        <v>393</v>
      </c>
    </row>
    <row r="109" spans="1:10" hidden="1" x14ac:dyDescent="0.25">
      <c r="A109">
        <v>37</v>
      </c>
      <c r="B109" s="77">
        <v>45058</v>
      </c>
      <c r="C109" t="s">
        <v>174</v>
      </c>
      <c r="D109" t="s">
        <v>317</v>
      </c>
      <c r="E109" s="78">
        <v>30000</v>
      </c>
      <c r="F109" s="78">
        <v>0</v>
      </c>
      <c r="I109" s="78">
        <v>0</v>
      </c>
      <c r="J109" t="s">
        <v>391</v>
      </c>
    </row>
    <row r="110" spans="1:10" hidden="1" x14ac:dyDescent="0.25">
      <c r="A110">
        <v>50</v>
      </c>
      <c r="B110" s="77">
        <v>45054</v>
      </c>
      <c r="C110" t="s">
        <v>336</v>
      </c>
      <c r="D110" t="s">
        <v>378</v>
      </c>
      <c r="E110" s="78">
        <v>0</v>
      </c>
      <c r="F110" s="78">
        <v>237166.39</v>
      </c>
      <c r="I110" s="78">
        <v>0</v>
      </c>
      <c r="J110"/>
    </row>
    <row r="111" spans="1:10" hidden="1" x14ac:dyDescent="0.25">
      <c r="A111">
        <v>62</v>
      </c>
      <c r="B111" s="77">
        <v>45048</v>
      </c>
      <c r="C111" t="s">
        <v>180</v>
      </c>
      <c r="D111" t="s">
        <v>181</v>
      </c>
      <c r="E111" s="78">
        <v>0</v>
      </c>
      <c r="F111" s="78">
        <v>97376.07</v>
      </c>
      <c r="I111" s="78">
        <v>0</v>
      </c>
      <c r="J111"/>
    </row>
    <row r="112" spans="1:10" hidden="1" x14ac:dyDescent="0.25">
      <c r="A112">
        <v>26</v>
      </c>
      <c r="B112" s="77">
        <v>45064</v>
      </c>
      <c r="C112" t="s">
        <v>380</v>
      </c>
      <c r="E112" s="78">
        <v>0</v>
      </c>
      <c r="F112" s="78">
        <v>0</v>
      </c>
      <c r="H112" s="78">
        <v>14550</v>
      </c>
      <c r="I112" s="78">
        <v>0</v>
      </c>
      <c r="J112"/>
    </row>
    <row r="113" spans="1:10" hidden="1" x14ac:dyDescent="0.25">
      <c r="A113">
        <v>27</v>
      </c>
      <c r="B113" s="77">
        <v>45064</v>
      </c>
      <c r="C113" t="s">
        <v>381</v>
      </c>
      <c r="E113" s="78">
        <v>0</v>
      </c>
      <c r="F113" s="78">
        <v>0</v>
      </c>
      <c r="H113" s="78">
        <v>16975</v>
      </c>
      <c r="I113" s="78">
        <v>0</v>
      </c>
      <c r="J113"/>
    </row>
    <row r="114" spans="1:10" hidden="1" x14ac:dyDescent="0.25">
      <c r="A114">
        <v>25</v>
      </c>
      <c r="B114" s="77">
        <v>45064</v>
      </c>
      <c r="C114" t="s">
        <v>379</v>
      </c>
      <c r="E114" s="78">
        <v>0</v>
      </c>
      <c r="F114" s="78">
        <v>0</v>
      </c>
      <c r="H114" s="78">
        <v>48500</v>
      </c>
      <c r="I114" s="78">
        <v>0</v>
      </c>
      <c r="J114" t="s">
        <v>394</v>
      </c>
    </row>
    <row r="115" spans="1:10" hidden="1" x14ac:dyDescent="0.25">
      <c r="A115">
        <v>40</v>
      </c>
      <c r="B115" s="77">
        <v>45056</v>
      </c>
      <c r="C115" t="s">
        <v>285</v>
      </c>
      <c r="D115" t="s">
        <v>288</v>
      </c>
      <c r="E115" s="78">
        <v>0</v>
      </c>
      <c r="F115" s="78">
        <v>0</v>
      </c>
      <c r="H115" s="78">
        <v>0</v>
      </c>
      <c r="I115" s="78">
        <v>1000</v>
      </c>
      <c r="J115"/>
    </row>
    <row r="116" spans="1:10" hidden="1" x14ac:dyDescent="0.25">
      <c r="A116">
        <v>33</v>
      </c>
      <c r="B116" s="77">
        <v>45061</v>
      </c>
      <c r="C116" t="s">
        <v>285</v>
      </c>
      <c r="D116" t="s">
        <v>288</v>
      </c>
      <c r="E116" s="78">
        <v>0</v>
      </c>
      <c r="F116" s="78">
        <v>0</v>
      </c>
      <c r="H116" s="78">
        <v>0</v>
      </c>
      <c r="I116" s="78">
        <v>4000</v>
      </c>
      <c r="J116"/>
    </row>
    <row r="117" spans="1:10" hidden="1" x14ac:dyDescent="0.25">
      <c r="A117">
        <v>17</v>
      </c>
      <c r="B117" s="77">
        <v>45068</v>
      </c>
      <c r="C117" t="s">
        <v>285</v>
      </c>
      <c r="D117" t="s">
        <v>288</v>
      </c>
      <c r="E117" s="78">
        <v>0</v>
      </c>
      <c r="F117" s="78">
        <v>0</v>
      </c>
      <c r="H117" s="78">
        <v>0</v>
      </c>
      <c r="I117" s="78">
        <v>5000</v>
      </c>
      <c r="J117"/>
    </row>
    <row r="118" spans="1:10" hidden="1" x14ac:dyDescent="0.25">
      <c r="A118">
        <v>18</v>
      </c>
      <c r="B118" s="77">
        <v>45068</v>
      </c>
      <c r="C118" t="s">
        <v>285</v>
      </c>
      <c r="D118" t="s">
        <v>288</v>
      </c>
      <c r="E118" s="78">
        <v>0</v>
      </c>
      <c r="F118" s="78">
        <v>0</v>
      </c>
      <c r="H118" s="78">
        <v>0</v>
      </c>
      <c r="I118" s="78">
        <v>10000</v>
      </c>
      <c r="J118"/>
    </row>
    <row r="119" spans="1:10" hidden="1" x14ac:dyDescent="0.25">
      <c r="A119">
        <v>39</v>
      </c>
      <c r="B119" s="77">
        <v>45057</v>
      </c>
      <c r="C119" t="s">
        <v>185</v>
      </c>
      <c r="D119" t="s">
        <v>186</v>
      </c>
      <c r="E119" s="78">
        <v>0</v>
      </c>
      <c r="F119" s="78">
        <v>0</v>
      </c>
      <c r="H119" s="78">
        <v>0</v>
      </c>
      <c r="I119" s="78">
        <v>10000</v>
      </c>
      <c r="J119"/>
    </row>
    <row r="120" spans="1:10" hidden="1" x14ac:dyDescent="0.25">
      <c r="A120">
        <v>41</v>
      </c>
      <c r="B120" s="77">
        <v>45056</v>
      </c>
      <c r="C120" t="s">
        <v>285</v>
      </c>
      <c r="D120" t="s">
        <v>288</v>
      </c>
      <c r="E120" s="78">
        <v>0</v>
      </c>
      <c r="F120" s="78">
        <v>0</v>
      </c>
      <c r="H120" s="78">
        <v>0</v>
      </c>
      <c r="I120" s="78">
        <v>10000</v>
      </c>
      <c r="J120"/>
    </row>
    <row r="121" spans="1:10" hidden="1" x14ac:dyDescent="0.25">
      <c r="A121">
        <v>53</v>
      </c>
      <c r="B121" s="77">
        <v>45051</v>
      </c>
      <c r="C121" t="s">
        <v>285</v>
      </c>
      <c r="D121" t="s">
        <v>288</v>
      </c>
      <c r="E121" s="78">
        <v>0</v>
      </c>
      <c r="F121" s="78">
        <v>0</v>
      </c>
      <c r="H121" s="78">
        <v>0</v>
      </c>
      <c r="I121" s="78">
        <v>10000</v>
      </c>
      <c r="J121"/>
    </row>
    <row r="122" spans="1:10" hidden="1" x14ac:dyDescent="0.25">
      <c r="A122" s="82">
        <v>900</v>
      </c>
      <c r="B122" s="81">
        <v>45077</v>
      </c>
      <c r="C122" s="82" t="s">
        <v>357</v>
      </c>
      <c r="D122" s="82" t="s">
        <v>358</v>
      </c>
      <c r="E122" s="78">
        <v>0</v>
      </c>
      <c r="F122" s="78">
        <v>-23299</v>
      </c>
      <c r="H122" s="78">
        <v>0</v>
      </c>
      <c r="I122" s="78">
        <v>0</v>
      </c>
      <c r="J122"/>
    </row>
    <row r="123" spans="1:10" hidden="1" x14ac:dyDescent="0.25">
      <c r="A123">
        <v>51</v>
      </c>
      <c r="B123" s="77">
        <v>44932</v>
      </c>
      <c r="C123" t="s">
        <v>168</v>
      </c>
      <c r="D123" t="s">
        <v>251</v>
      </c>
      <c r="E123" s="78">
        <v>198.9</v>
      </c>
      <c r="F123" s="78">
        <v>0</v>
      </c>
      <c r="H123" s="78">
        <v>0</v>
      </c>
      <c r="I123" s="78">
        <v>0</v>
      </c>
      <c r="J123"/>
    </row>
    <row r="124" spans="1:10" hidden="1" x14ac:dyDescent="0.25">
      <c r="A124">
        <v>37</v>
      </c>
      <c r="B124" s="77">
        <v>44937</v>
      </c>
      <c r="C124" t="s">
        <v>168</v>
      </c>
      <c r="D124" t="s">
        <v>244</v>
      </c>
      <c r="E124" s="78">
        <v>200</v>
      </c>
      <c r="F124" s="78">
        <v>0</v>
      </c>
      <c r="H124" s="78">
        <v>0</v>
      </c>
      <c r="I124" s="78">
        <v>0</v>
      </c>
      <c r="J124"/>
    </row>
    <row r="125" spans="1:10" hidden="1" x14ac:dyDescent="0.25">
      <c r="A125">
        <v>16</v>
      </c>
      <c r="B125" s="77">
        <v>44949</v>
      </c>
      <c r="C125" t="s">
        <v>168</v>
      </c>
      <c r="D125" t="s">
        <v>238</v>
      </c>
      <c r="E125" s="78">
        <v>270</v>
      </c>
      <c r="F125" s="78">
        <v>0</v>
      </c>
      <c r="H125" s="78">
        <v>0</v>
      </c>
      <c r="I125" s="78">
        <v>0</v>
      </c>
      <c r="J125"/>
    </row>
    <row r="126" spans="1:10" hidden="1" x14ac:dyDescent="0.25">
      <c r="A126">
        <v>36</v>
      </c>
      <c r="B126" s="77">
        <v>44937</v>
      </c>
      <c r="C126" t="s">
        <v>168</v>
      </c>
      <c r="D126" t="s">
        <v>243</v>
      </c>
      <c r="E126" s="78">
        <v>360</v>
      </c>
      <c r="F126" s="78">
        <v>0</v>
      </c>
      <c r="H126" s="78">
        <v>0</v>
      </c>
      <c r="I126" s="78">
        <v>0</v>
      </c>
      <c r="J126"/>
    </row>
    <row r="127" spans="1:10" hidden="1" x14ac:dyDescent="0.25">
      <c r="A127">
        <v>59</v>
      </c>
      <c r="B127" s="77">
        <v>44929</v>
      </c>
      <c r="C127" t="s">
        <v>168</v>
      </c>
      <c r="D127" t="s">
        <v>240</v>
      </c>
      <c r="E127" s="78">
        <v>371.77</v>
      </c>
      <c r="F127" s="78">
        <v>0</v>
      </c>
      <c r="H127" s="78">
        <v>0</v>
      </c>
      <c r="I127" s="78">
        <v>0</v>
      </c>
      <c r="J127"/>
    </row>
    <row r="128" spans="1:10" hidden="1" x14ac:dyDescent="0.25">
      <c r="A128">
        <v>8</v>
      </c>
      <c r="B128" s="77">
        <v>44952</v>
      </c>
      <c r="C128" t="s">
        <v>168</v>
      </c>
      <c r="D128" t="s">
        <v>245</v>
      </c>
      <c r="E128" s="78">
        <v>420</v>
      </c>
      <c r="F128" s="78">
        <v>0</v>
      </c>
      <c r="H128" s="78">
        <v>0</v>
      </c>
      <c r="I128" s="78">
        <v>0</v>
      </c>
      <c r="J128"/>
    </row>
    <row r="129" spans="1:10" hidden="1" x14ac:dyDescent="0.25">
      <c r="A129">
        <v>1</v>
      </c>
      <c r="B129" s="77">
        <v>44957</v>
      </c>
      <c r="C129" t="s">
        <v>172</v>
      </c>
      <c r="E129" s="78">
        <v>437.54</v>
      </c>
      <c r="F129" s="78">
        <v>0</v>
      </c>
      <c r="H129" s="78">
        <v>0</v>
      </c>
      <c r="I129" s="78">
        <v>0</v>
      </c>
      <c r="J129"/>
    </row>
    <row r="130" spans="1:10" hidden="1" x14ac:dyDescent="0.25">
      <c r="A130">
        <v>9</v>
      </c>
      <c r="B130" s="77">
        <v>44952</v>
      </c>
      <c r="C130" t="s">
        <v>168</v>
      </c>
      <c r="D130" t="s">
        <v>245</v>
      </c>
      <c r="E130" s="78">
        <v>440</v>
      </c>
      <c r="F130" s="78">
        <v>0</v>
      </c>
      <c r="H130" s="78">
        <v>0</v>
      </c>
      <c r="I130" s="78">
        <v>0</v>
      </c>
      <c r="J130"/>
    </row>
    <row r="131" spans="1:10" hidden="1" x14ac:dyDescent="0.25">
      <c r="A131">
        <v>21</v>
      </c>
      <c r="B131" s="77">
        <v>44944</v>
      </c>
      <c r="C131" t="s">
        <v>168</v>
      </c>
      <c r="D131" t="s">
        <v>208</v>
      </c>
      <c r="E131" s="78">
        <v>600</v>
      </c>
      <c r="F131" s="78">
        <v>0</v>
      </c>
      <c r="H131" s="78">
        <v>0</v>
      </c>
      <c r="I131" s="78">
        <v>0</v>
      </c>
      <c r="J131"/>
    </row>
    <row r="132" spans="1:10" hidden="1" x14ac:dyDescent="0.25">
      <c r="A132">
        <v>28</v>
      </c>
      <c r="B132" s="77">
        <v>44942</v>
      </c>
      <c r="C132" t="s">
        <v>168</v>
      </c>
      <c r="D132" t="s">
        <v>261</v>
      </c>
      <c r="E132" s="78">
        <v>600</v>
      </c>
      <c r="F132" s="78">
        <v>0</v>
      </c>
      <c r="H132" s="78">
        <v>0</v>
      </c>
      <c r="I132" s="78">
        <v>0</v>
      </c>
      <c r="J132"/>
    </row>
    <row r="133" spans="1:10" hidden="1" x14ac:dyDescent="0.25">
      <c r="A133">
        <v>20</v>
      </c>
      <c r="B133" s="77">
        <v>44945</v>
      </c>
      <c r="C133" t="s">
        <v>168</v>
      </c>
      <c r="D133" t="s">
        <v>176</v>
      </c>
      <c r="E133" s="78">
        <v>623.32000000000005</v>
      </c>
      <c r="F133" s="78">
        <v>0</v>
      </c>
      <c r="H133" s="78">
        <v>0</v>
      </c>
      <c r="I133" s="78">
        <v>0</v>
      </c>
      <c r="J133"/>
    </row>
    <row r="134" spans="1:10" hidden="1" x14ac:dyDescent="0.25">
      <c r="A134">
        <v>41</v>
      </c>
      <c r="B134" s="77">
        <v>44936</v>
      </c>
      <c r="C134" t="s">
        <v>168</v>
      </c>
      <c r="D134" t="s">
        <v>246</v>
      </c>
      <c r="E134" s="78">
        <v>670</v>
      </c>
      <c r="F134" s="78">
        <v>0</v>
      </c>
      <c r="H134" s="78">
        <v>0</v>
      </c>
      <c r="I134" s="78">
        <v>0</v>
      </c>
      <c r="J134"/>
    </row>
    <row r="135" spans="1:10" hidden="1" x14ac:dyDescent="0.25">
      <c r="A135">
        <v>50</v>
      </c>
      <c r="B135" s="77">
        <v>44932</v>
      </c>
      <c r="C135" t="s">
        <v>168</v>
      </c>
      <c r="D135" t="s">
        <v>250</v>
      </c>
      <c r="E135" s="78">
        <v>718.16</v>
      </c>
      <c r="F135" s="78">
        <v>0</v>
      </c>
      <c r="H135" s="78">
        <v>0</v>
      </c>
      <c r="I135" s="78">
        <v>0</v>
      </c>
      <c r="J135"/>
    </row>
    <row r="136" spans="1:10" hidden="1" x14ac:dyDescent="0.25">
      <c r="A136">
        <v>10</v>
      </c>
      <c r="B136" s="77">
        <v>44952</v>
      </c>
      <c r="C136" t="s">
        <v>168</v>
      </c>
      <c r="D136" t="s">
        <v>239</v>
      </c>
      <c r="E136" s="78">
        <v>750</v>
      </c>
      <c r="F136" s="78">
        <v>0</v>
      </c>
      <c r="H136" s="78">
        <v>0</v>
      </c>
      <c r="I136" s="78">
        <v>0</v>
      </c>
      <c r="J136"/>
    </row>
    <row r="137" spans="1:10" hidden="1" x14ac:dyDescent="0.25">
      <c r="A137">
        <v>47</v>
      </c>
      <c r="B137" s="77">
        <v>44935</v>
      </c>
      <c r="C137" t="s">
        <v>168</v>
      </c>
      <c r="D137" t="s">
        <v>249</v>
      </c>
      <c r="E137" s="78">
        <v>760</v>
      </c>
      <c r="F137" s="78">
        <v>0</v>
      </c>
      <c r="H137" s="78">
        <v>0</v>
      </c>
      <c r="I137" s="78">
        <v>0</v>
      </c>
      <c r="J137"/>
    </row>
    <row r="138" spans="1:10" hidden="1" x14ac:dyDescent="0.25">
      <c r="A138">
        <v>33</v>
      </c>
      <c r="B138" s="77">
        <v>44939</v>
      </c>
      <c r="C138" t="s">
        <v>168</v>
      </c>
      <c r="D138" t="s">
        <v>241</v>
      </c>
      <c r="E138" s="78">
        <v>890</v>
      </c>
      <c r="F138" s="78">
        <v>0</v>
      </c>
      <c r="H138" s="78">
        <v>0</v>
      </c>
      <c r="I138" s="78">
        <v>0</v>
      </c>
      <c r="J138"/>
    </row>
    <row r="139" spans="1:10" hidden="1" x14ac:dyDescent="0.25">
      <c r="A139">
        <v>2</v>
      </c>
      <c r="B139" s="77">
        <v>44956</v>
      </c>
      <c r="C139" t="s">
        <v>168</v>
      </c>
      <c r="D139" t="s">
        <v>239</v>
      </c>
      <c r="E139" s="78">
        <v>1000</v>
      </c>
      <c r="F139" s="78">
        <v>0</v>
      </c>
      <c r="H139" s="78">
        <v>0</v>
      </c>
      <c r="I139" s="78">
        <v>0</v>
      </c>
      <c r="J139"/>
    </row>
    <row r="140" spans="1:10" hidden="1" x14ac:dyDescent="0.25">
      <c r="A140">
        <v>14</v>
      </c>
      <c r="B140" s="77">
        <v>44950</v>
      </c>
      <c r="C140" t="s">
        <v>168</v>
      </c>
      <c r="D140" t="s">
        <v>260</v>
      </c>
      <c r="E140" s="78">
        <v>1000</v>
      </c>
      <c r="F140" s="78">
        <v>0</v>
      </c>
      <c r="H140" s="78">
        <v>0</v>
      </c>
      <c r="I140" s="78">
        <v>0</v>
      </c>
      <c r="J140"/>
    </row>
    <row r="141" spans="1:10" hidden="1" x14ac:dyDescent="0.25">
      <c r="A141">
        <v>18</v>
      </c>
      <c r="B141" s="77">
        <v>44949</v>
      </c>
      <c r="C141" t="s">
        <v>168</v>
      </c>
      <c r="D141" t="s">
        <v>238</v>
      </c>
      <c r="E141" s="78">
        <v>1029</v>
      </c>
      <c r="F141" s="78">
        <v>0</v>
      </c>
      <c r="H141" s="78">
        <v>0</v>
      </c>
      <c r="I141" s="78">
        <v>0</v>
      </c>
      <c r="J141"/>
    </row>
    <row r="142" spans="1:10" hidden="1" x14ac:dyDescent="0.25">
      <c r="A142">
        <v>6</v>
      </c>
      <c r="B142" s="77">
        <v>44953</v>
      </c>
      <c r="C142" t="s">
        <v>168</v>
      </c>
      <c r="D142" t="s">
        <v>239</v>
      </c>
      <c r="E142" s="78">
        <v>1040</v>
      </c>
      <c r="F142" s="78">
        <v>0</v>
      </c>
      <c r="H142" s="78">
        <v>0</v>
      </c>
      <c r="I142" s="78">
        <v>0</v>
      </c>
      <c r="J142"/>
    </row>
    <row r="143" spans="1:10" hidden="1" x14ac:dyDescent="0.25">
      <c r="A143">
        <v>27</v>
      </c>
      <c r="B143" s="77">
        <v>44942</v>
      </c>
      <c r="C143" t="s">
        <v>168</v>
      </c>
      <c r="D143" t="s">
        <v>239</v>
      </c>
      <c r="E143" s="78">
        <v>1120</v>
      </c>
      <c r="F143" s="78">
        <v>0</v>
      </c>
      <c r="H143" s="78">
        <v>0</v>
      </c>
      <c r="I143" s="78">
        <v>0</v>
      </c>
      <c r="J143"/>
    </row>
    <row r="144" spans="1:10" hidden="1" x14ac:dyDescent="0.25">
      <c r="A144">
        <v>13</v>
      </c>
      <c r="B144" s="77">
        <v>44951</v>
      </c>
      <c r="C144" t="s">
        <v>168</v>
      </c>
      <c r="D144" t="s">
        <v>256</v>
      </c>
      <c r="E144" s="78">
        <v>1150</v>
      </c>
      <c r="F144" s="78">
        <v>0</v>
      </c>
      <c r="H144" s="78">
        <v>0</v>
      </c>
      <c r="I144" s="78">
        <v>0</v>
      </c>
      <c r="J144"/>
    </row>
    <row r="145" spans="1:10" hidden="1" x14ac:dyDescent="0.25">
      <c r="A145">
        <v>19</v>
      </c>
      <c r="B145" s="77">
        <v>44945</v>
      </c>
      <c r="C145" t="s">
        <v>168</v>
      </c>
      <c r="D145" t="s">
        <v>263</v>
      </c>
      <c r="E145" s="78">
        <v>1180</v>
      </c>
      <c r="F145" s="78">
        <v>0</v>
      </c>
      <c r="H145" s="78">
        <v>0</v>
      </c>
      <c r="I145" s="78">
        <v>0</v>
      </c>
      <c r="J145"/>
    </row>
    <row r="146" spans="1:10" hidden="1" x14ac:dyDescent="0.25">
      <c r="A146">
        <v>39</v>
      </c>
      <c r="B146" s="77">
        <v>44936</v>
      </c>
      <c r="C146" t="s">
        <v>168</v>
      </c>
      <c r="D146" t="s">
        <v>238</v>
      </c>
      <c r="E146" s="78">
        <v>1332</v>
      </c>
      <c r="F146" s="78">
        <v>0</v>
      </c>
      <c r="H146" s="78">
        <v>0</v>
      </c>
      <c r="I146" s="78">
        <v>0</v>
      </c>
      <c r="J146"/>
    </row>
    <row r="147" spans="1:10" hidden="1" x14ac:dyDescent="0.25">
      <c r="A147">
        <v>32</v>
      </c>
      <c r="B147" s="77">
        <v>44939</v>
      </c>
      <c r="C147" t="s">
        <v>168</v>
      </c>
      <c r="D147" t="s">
        <v>238</v>
      </c>
      <c r="E147" s="78">
        <v>1333</v>
      </c>
      <c r="F147" s="78">
        <v>0</v>
      </c>
      <c r="H147" s="78">
        <v>0</v>
      </c>
      <c r="I147" s="78">
        <v>0</v>
      </c>
      <c r="J147"/>
    </row>
    <row r="148" spans="1:10" hidden="1" x14ac:dyDescent="0.25">
      <c r="A148">
        <v>63</v>
      </c>
      <c r="B148" s="77">
        <v>44928</v>
      </c>
      <c r="C148" t="s">
        <v>168</v>
      </c>
      <c r="D148" t="s">
        <v>259</v>
      </c>
      <c r="E148" s="78">
        <v>1360.92</v>
      </c>
      <c r="F148" s="78">
        <v>0</v>
      </c>
      <c r="H148" s="78">
        <v>0</v>
      </c>
      <c r="I148" s="78">
        <v>0</v>
      </c>
      <c r="J148"/>
    </row>
    <row r="149" spans="1:10" hidden="1" x14ac:dyDescent="0.25">
      <c r="A149">
        <v>48</v>
      </c>
      <c r="B149" s="77">
        <v>44935</v>
      </c>
      <c r="C149" t="s">
        <v>168</v>
      </c>
      <c r="D149" t="s">
        <v>238</v>
      </c>
      <c r="E149" s="78">
        <v>1380</v>
      </c>
      <c r="F149" s="78">
        <v>0</v>
      </c>
      <c r="H149" s="78">
        <v>0</v>
      </c>
      <c r="I149" s="78">
        <v>0</v>
      </c>
      <c r="J149"/>
    </row>
    <row r="150" spans="1:10" hidden="1" x14ac:dyDescent="0.25">
      <c r="A150">
        <v>35</v>
      </c>
      <c r="B150" s="77">
        <v>44937</v>
      </c>
      <c r="C150" t="s">
        <v>168</v>
      </c>
      <c r="D150" t="s">
        <v>239</v>
      </c>
      <c r="E150" s="78">
        <v>1440</v>
      </c>
      <c r="F150" s="78">
        <v>0</v>
      </c>
      <c r="H150" s="78">
        <v>0</v>
      </c>
      <c r="I150" s="78">
        <v>0</v>
      </c>
      <c r="J150"/>
    </row>
    <row r="151" spans="1:10" hidden="1" x14ac:dyDescent="0.25">
      <c r="A151">
        <v>44</v>
      </c>
      <c r="B151" s="77">
        <v>44935</v>
      </c>
      <c r="C151" t="s">
        <v>168</v>
      </c>
      <c r="D151" t="s">
        <v>247</v>
      </c>
      <c r="E151" s="78">
        <v>1700</v>
      </c>
      <c r="F151" s="78">
        <v>0</v>
      </c>
      <c r="H151" s="78">
        <v>0</v>
      </c>
      <c r="I151" s="78">
        <v>0</v>
      </c>
      <c r="J151"/>
    </row>
    <row r="152" spans="1:10" hidden="1" x14ac:dyDescent="0.25">
      <c r="A152">
        <v>11</v>
      </c>
      <c r="B152" s="77">
        <v>44952</v>
      </c>
      <c r="C152" t="s">
        <v>168</v>
      </c>
      <c r="D152" t="s">
        <v>238</v>
      </c>
      <c r="E152" s="78">
        <v>1720</v>
      </c>
      <c r="F152" s="78">
        <v>0</v>
      </c>
      <c r="H152" s="78">
        <v>0</v>
      </c>
      <c r="I152" s="78">
        <v>0</v>
      </c>
      <c r="J152"/>
    </row>
    <row r="153" spans="1:10" hidden="1" x14ac:dyDescent="0.25">
      <c r="A153">
        <v>31</v>
      </c>
      <c r="B153" s="77">
        <v>44939</v>
      </c>
      <c r="C153" t="s">
        <v>168</v>
      </c>
      <c r="D153" t="s">
        <v>239</v>
      </c>
      <c r="E153" s="78">
        <v>1780</v>
      </c>
      <c r="F153" s="78">
        <v>0</v>
      </c>
      <c r="H153" s="78">
        <v>0</v>
      </c>
      <c r="I153" s="78">
        <v>0</v>
      </c>
      <c r="J153"/>
    </row>
    <row r="154" spans="1:10" hidden="1" x14ac:dyDescent="0.25">
      <c r="A154">
        <v>29</v>
      </c>
      <c r="B154" s="77">
        <v>44942</v>
      </c>
      <c r="C154" t="s">
        <v>168</v>
      </c>
      <c r="D154" t="s">
        <v>255</v>
      </c>
      <c r="E154" s="78">
        <v>1790</v>
      </c>
      <c r="F154" s="78">
        <v>0</v>
      </c>
      <c r="H154" s="78">
        <v>0</v>
      </c>
      <c r="I154" s="78">
        <v>0</v>
      </c>
      <c r="J154"/>
    </row>
    <row r="155" spans="1:10" hidden="1" x14ac:dyDescent="0.25">
      <c r="A155">
        <v>22</v>
      </c>
      <c r="B155" s="77">
        <v>44944</v>
      </c>
      <c r="C155" t="s">
        <v>168</v>
      </c>
      <c r="D155" t="s">
        <v>213</v>
      </c>
      <c r="E155" s="78">
        <v>1828.25</v>
      </c>
      <c r="F155" s="78">
        <v>0</v>
      </c>
      <c r="H155" s="78">
        <v>0</v>
      </c>
      <c r="I155" s="78">
        <v>0</v>
      </c>
      <c r="J155"/>
    </row>
    <row r="156" spans="1:10" hidden="1" x14ac:dyDescent="0.25">
      <c r="A156">
        <v>54</v>
      </c>
      <c r="B156" s="77">
        <v>44930</v>
      </c>
      <c r="C156" t="s">
        <v>168</v>
      </c>
      <c r="D156" t="s">
        <v>253</v>
      </c>
      <c r="E156" s="78">
        <v>1850</v>
      </c>
      <c r="F156" s="78">
        <v>0</v>
      </c>
      <c r="H156" s="78">
        <v>0</v>
      </c>
      <c r="I156" s="78">
        <v>0</v>
      </c>
      <c r="J156"/>
    </row>
    <row r="157" spans="1:10" hidden="1" x14ac:dyDescent="0.25">
      <c r="A157">
        <v>34</v>
      </c>
      <c r="B157" s="77">
        <v>44938</v>
      </c>
      <c r="C157" t="s">
        <v>168</v>
      </c>
      <c r="D157" t="s">
        <v>242</v>
      </c>
      <c r="E157" s="78">
        <v>1930</v>
      </c>
      <c r="F157" s="78">
        <v>0</v>
      </c>
      <c r="H157" s="78">
        <v>0</v>
      </c>
      <c r="I157" s="78">
        <v>0</v>
      </c>
      <c r="J157"/>
    </row>
    <row r="158" spans="1:10" hidden="1" x14ac:dyDescent="0.25">
      <c r="A158">
        <v>52</v>
      </c>
      <c r="B158" s="77">
        <v>44931</v>
      </c>
      <c r="C158" t="s">
        <v>168</v>
      </c>
      <c r="D158" t="s">
        <v>252</v>
      </c>
      <c r="E158" s="78">
        <v>2000</v>
      </c>
      <c r="F158" s="78">
        <v>0</v>
      </c>
      <c r="H158" s="78">
        <v>0</v>
      </c>
      <c r="I158" s="78">
        <v>0</v>
      </c>
      <c r="J158"/>
    </row>
    <row r="159" spans="1:10" hidden="1" x14ac:dyDescent="0.25">
      <c r="A159">
        <v>0</v>
      </c>
      <c r="B159" s="77">
        <v>44957</v>
      </c>
      <c r="C159" t="s">
        <v>171</v>
      </c>
      <c r="E159" s="78">
        <v>2083.5300000000002</v>
      </c>
      <c r="F159" s="78">
        <v>0</v>
      </c>
      <c r="H159" s="78">
        <v>0</v>
      </c>
      <c r="I159" s="78">
        <v>0</v>
      </c>
      <c r="J159"/>
    </row>
    <row r="160" spans="1:10" hidden="1" x14ac:dyDescent="0.25">
      <c r="A160">
        <v>17</v>
      </c>
      <c r="B160" s="77">
        <v>44949</v>
      </c>
      <c r="C160" t="s">
        <v>168</v>
      </c>
      <c r="D160" t="s">
        <v>262</v>
      </c>
      <c r="E160" s="78">
        <v>2200</v>
      </c>
      <c r="F160" s="78">
        <v>0</v>
      </c>
      <c r="H160" s="78">
        <v>0</v>
      </c>
      <c r="I160" s="78">
        <v>0</v>
      </c>
      <c r="J160"/>
    </row>
    <row r="161" spans="1:10" hidden="1" x14ac:dyDescent="0.25">
      <c r="A161">
        <v>40</v>
      </c>
      <c r="B161" s="77">
        <v>44936</v>
      </c>
      <c r="C161" t="s">
        <v>168</v>
      </c>
      <c r="D161" t="s">
        <v>245</v>
      </c>
      <c r="E161" s="78">
        <v>2580</v>
      </c>
      <c r="F161" s="78">
        <v>0</v>
      </c>
      <c r="H161" s="78">
        <v>0</v>
      </c>
      <c r="I161" s="78">
        <v>0</v>
      </c>
      <c r="J161"/>
    </row>
    <row r="162" spans="1:10" hidden="1" x14ac:dyDescent="0.25">
      <c r="A162">
        <v>12</v>
      </c>
      <c r="B162" s="77">
        <v>44952</v>
      </c>
      <c r="C162" t="s">
        <v>174</v>
      </c>
      <c r="D162" t="s">
        <v>271</v>
      </c>
      <c r="E162" s="78">
        <v>3000</v>
      </c>
      <c r="F162" s="78">
        <v>0</v>
      </c>
      <c r="H162" s="78">
        <v>0</v>
      </c>
      <c r="I162" s="78">
        <v>0</v>
      </c>
      <c r="J162"/>
    </row>
    <row r="163" spans="1:10" hidden="1" x14ac:dyDescent="0.25">
      <c r="A163">
        <v>3</v>
      </c>
      <c r="B163" s="77">
        <v>44956</v>
      </c>
      <c r="C163" t="s">
        <v>168</v>
      </c>
      <c r="D163" t="s">
        <v>257</v>
      </c>
      <c r="E163" s="78">
        <v>3110</v>
      </c>
      <c r="F163" s="78">
        <v>0</v>
      </c>
      <c r="H163" s="78">
        <v>0</v>
      </c>
      <c r="I163" s="78">
        <v>0</v>
      </c>
      <c r="J163"/>
    </row>
    <row r="164" spans="1:10" hidden="1" x14ac:dyDescent="0.25">
      <c r="A164">
        <v>5</v>
      </c>
      <c r="B164" s="77">
        <v>44953</v>
      </c>
      <c r="C164" t="s">
        <v>168</v>
      </c>
      <c r="D164" t="s">
        <v>258</v>
      </c>
      <c r="E164" s="78">
        <v>3160</v>
      </c>
      <c r="F164" s="78">
        <v>0</v>
      </c>
      <c r="H164" s="78">
        <v>0</v>
      </c>
      <c r="I164" s="78">
        <v>0</v>
      </c>
      <c r="J164"/>
    </row>
    <row r="165" spans="1:10" hidden="1" x14ac:dyDescent="0.25">
      <c r="A165">
        <v>45</v>
      </c>
      <c r="B165" s="77">
        <v>44935</v>
      </c>
      <c r="C165" t="s">
        <v>168</v>
      </c>
      <c r="D165" t="s">
        <v>248</v>
      </c>
      <c r="E165" s="78">
        <v>3990</v>
      </c>
      <c r="F165" s="78">
        <v>0</v>
      </c>
      <c r="H165" s="78">
        <v>0</v>
      </c>
      <c r="I165" s="78">
        <v>0</v>
      </c>
      <c r="J165"/>
    </row>
    <row r="166" spans="1:10" hidden="1" x14ac:dyDescent="0.25">
      <c r="A166">
        <v>24</v>
      </c>
      <c r="B166" s="77">
        <v>44943</v>
      </c>
      <c r="C166" t="s">
        <v>168</v>
      </c>
      <c r="D166" t="s">
        <v>264</v>
      </c>
      <c r="E166" s="78">
        <v>4200</v>
      </c>
      <c r="F166" s="78">
        <v>0</v>
      </c>
      <c r="H166" s="78">
        <v>0</v>
      </c>
      <c r="I166" s="78">
        <v>0</v>
      </c>
      <c r="J166"/>
    </row>
    <row r="167" spans="1:10" hidden="1" x14ac:dyDescent="0.25">
      <c r="A167">
        <v>55</v>
      </c>
      <c r="B167" s="77">
        <v>44930</v>
      </c>
      <c r="C167" t="s">
        <v>168</v>
      </c>
      <c r="D167" t="s">
        <v>254</v>
      </c>
      <c r="E167" s="78">
        <v>5738.14</v>
      </c>
      <c r="F167" s="78">
        <v>0</v>
      </c>
      <c r="H167" s="78">
        <v>0</v>
      </c>
      <c r="I167" s="78">
        <v>0</v>
      </c>
      <c r="J167"/>
    </row>
    <row r="168" spans="1:10" hidden="1" x14ac:dyDescent="0.25">
      <c r="A168">
        <v>30</v>
      </c>
      <c r="B168" s="77">
        <v>44942</v>
      </c>
      <c r="C168" t="s">
        <v>168</v>
      </c>
      <c r="D168" t="s">
        <v>238</v>
      </c>
      <c r="E168" s="78">
        <v>5839</v>
      </c>
      <c r="F168" s="78">
        <v>0</v>
      </c>
      <c r="H168" s="78">
        <v>0</v>
      </c>
      <c r="I168" s="78">
        <v>0</v>
      </c>
      <c r="J168"/>
    </row>
    <row r="169" spans="1:10" hidden="1" x14ac:dyDescent="0.25">
      <c r="A169">
        <v>7</v>
      </c>
      <c r="B169" s="77">
        <v>44953</v>
      </c>
      <c r="C169" t="s">
        <v>174</v>
      </c>
      <c r="D169" t="s">
        <v>272</v>
      </c>
      <c r="E169" s="78">
        <v>6000</v>
      </c>
      <c r="F169" s="78">
        <v>0</v>
      </c>
      <c r="H169" s="78">
        <v>0</v>
      </c>
      <c r="I169" s="78">
        <v>0</v>
      </c>
      <c r="J169"/>
    </row>
    <row r="170" spans="1:10" hidden="1" x14ac:dyDescent="0.25">
      <c r="A170">
        <v>42</v>
      </c>
      <c r="B170" s="77">
        <v>44936</v>
      </c>
      <c r="C170" t="s">
        <v>174</v>
      </c>
      <c r="D170" t="s">
        <v>272</v>
      </c>
      <c r="E170" s="78">
        <v>6000</v>
      </c>
      <c r="F170" s="78">
        <v>0</v>
      </c>
      <c r="H170" s="78">
        <v>0</v>
      </c>
      <c r="I170" s="78">
        <v>0</v>
      </c>
      <c r="J170"/>
    </row>
    <row r="171" spans="1:10" hidden="1" x14ac:dyDescent="0.25">
      <c r="A171">
        <v>60</v>
      </c>
      <c r="B171" s="77">
        <v>44929</v>
      </c>
      <c r="C171" t="s">
        <v>168</v>
      </c>
      <c r="D171" t="s">
        <v>254</v>
      </c>
      <c r="E171" s="78">
        <v>6267.17</v>
      </c>
      <c r="F171" s="78">
        <v>0</v>
      </c>
      <c r="H171" s="78">
        <v>0</v>
      </c>
      <c r="I171" s="78">
        <v>0</v>
      </c>
      <c r="J171"/>
    </row>
    <row r="172" spans="1:10" hidden="1" x14ac:dyDescent="0.25">
      <c r="A172">
        <v>57</v>
      </c>
      <c r="B172" s="77">
        <v>44929</v>
      </c>
      <c r="C172" t="s">
        <v>236</v>
      </c>
      <c r="D172" t="s">
        <v>237</v>
      </c>
      <c r="E172" s="78">
        <v>15007</v>
      </c>
      <c r="F172" s="78">
        <v>0</v>
      </c>
      <c r="H172" s="78">
        <v>0</v>
      </c>
      <c r="I172" s="78">
        <v>0</v>
      </c>
      <c r="J172"/>
    </row>
    <row r="173" spans="1:10" hidden="1" x14ac:dyDescent="0.25">
      <c r="A173">
        <v>58</v>
      </c>
      <c r="B173" s="77">
        <v>44929</v>
      </c>
      <c r="C173" t="s">
        <v>168</v>
      </c>
      <c r="D173" t="s">
        <v>176</v>
      </c>
      <c r="E173" s="78">
        <v>15428.1</v>
      </c>
      <c r="F173" s="78">
        <v>0</v>
      </c>
      <c r="H173" s="78">
        <v>0</v>
      </c>
      <c r="I173" s="78">
        <v>0</v>
      </c>
      <c r="J173"/>
    </row>
    <row r="174" spans="1:10" hidden="1" x14ac:dyDescent="0.25">
      <c r="A174">
        <v>46</v>
      </c>
      <c r="B174" s="77">
        <v>44935</v>
      </c>
      <c r="C174" t="s">
        <v>168</v>
      </c>
      <c r="D174" t="s">
        <v>248</v>
      </c>
      <c r="E174" s="78">
        <v>20500</v>
      </c>
      <c r="F174" s="78">
        <v>0</v>
      </c>
      <c r="H174" s="78">
        <v>0</v>
      </c>
      <c r="I174" s="78">
        <v>0</v>
      </c>
      <c r="J174"/>
    </row>
    <row r="175" spans="1:10" hidden="1" x14ac:dyDescent="0.25">
      <c r="A175">
        <v>25</v>
      </c>
      <c r="B175" s="77">
        <v>44943</v>
      </c>
      <c r="C175" t="s">
        <v>168</v>
      </c>
      <c r="D175" t="s">
        <v>218</v>
      </c>
      <c r="E175" s="78">
        <v>42877.3</v>
      </c>
      <c r="F175" s="78">
        <v>0</v>
      </c>
      <c r="H175" s="78">
        <v>0</v>
      </c>
      <c r="I175" s="78">
        <v>0</v>
      </c>
      <c r="J175"/>
    </row>
    <row r="176" spans="1:10" hidden="1" x14ac:dyDescent="0.25">
      <c r="A176">
        <v>62</v>
      </c>
      <c r="B176" s="77">
        <v>44928</v>
      </c>
      <c r="C176" t="s">
        <v>180</v>
      </c>
      <c r="D176" t="s">
        <v>181</v>
      </c>
      <c r="E176" s="78">
        <v>0</v>
      </c>
      <c r="F176" s="78">
        <v>70193.279999999999</v>
      </c>
      <c r="H176" s="78">
        <v>0</v>
      </c>
      <c r="I176" s="78">
        <v>0</v>
      </c>
      <c r="J176"/>
    </row>
    <row r="177" spans="1:10" hidden="1" x14ac:dyDescent="0.25">
      <c r="A177">
        <v>56</v>
      </c>
      <c r="B177" s="77">
        <v>44930</v>
      </c>
      <c r="C177" t="s">
        <v>178</v>
      </c>
      <c r="D177" t="s">
        <v>179</v>
      </c>
      <c r="E177" s="78">
        <v>0</v>
      </c>
      <c r="F177" s="78">
        <v>119932.09</v>
      </c>
      <c r="H177" s="78">
        <v>0</v>
      </c>
      <c r="I177" s="78">
        <v>0</v>
      </c>
      <c r="J177"/>
    </row>
    <row r="178" spans="1:10" hidden="1" x14ac:dyDescent="0.25">
      <c r="A178">
        <v>23</v>
      </c>
      <c r="B178" s="77">
        <v>44944</v>
      </c>
      <c r="C178" t="s">
        <v>185</v>
      </c>
      <c r="D178" t="s">
        <v>186</v>
      </c>
      <c r="E178" s="78">
        <v>0</v>
      </c>
      <c r="F178" s="78">
        <v>0</v>
      </c>
      <c r="H178" s="78">
        <v>0</v>
      </c>
      <c r="I178" s="78">
        <v>10000</v>
      </c>
      <c r="J178"/>
    </row>
    <row r="179" spans="1:10" hidden="1" x14ac:dyDescent="0.25">
      <c r="A179" s="82"/>
      <c r="B179" s="81">
        <v>44930</v>
      </c>
      <c r="C179" s="82" t="s">
        <v>215</v>
      </c>
      <c r="D179" s="82"/>
      <c r="E179" s="78">
        <v>0</v>
      </c>
      <c r="F179" s="78">
        <v>0</v>
      </c>
      <c r="G179" s="79">
        <v>14022</v>
      </c>
      <c r="H179" s="78">
        <v>0</v>
      </c>
      <c r="I179" s="78">
        <v>0</v>
      </c>
      <c r="J179"/>
    </row>
    <row r="180" spans="1:10" hidden="1" x14ac:dyDescent="0.25">
      <c r="A180" s="82"/>
      <c r="B180" s="81">
        <v>44930</v>
      </c>
      <c r="C180" s="82" t="s">
        <v>205</v>
      </c>
      <c r="D180" s="82"/>
      <c r="E180" s="78">
        <v>0</v>
      </c>
      <c r="F180" s="78">
        <v>-14022</v>
      </c>
      <c r="H180" s="78">
        <v>0</v>
      </c>
      <c r="I180" s="78">
        <v>0</v>
      </c>
      <c r="J180"/>
    </row>
    <row r="181" spans="1:10" hidden="1" x14ac:dyDescent="0.25">
      <c r="A181">
        <v>44</v>
      </c>
      <c r="B181" s="77">
        <v>44967</v>
      </c>
      <c r="C181" t="s">
        <v>168</v>
      </c>
      <c r="D181" t="s">
        <v>170</v>
      </c>
      <c r="E181" s="78">
        <v>14.7</v>
      </c>
      <c r="F181" s="78">
        <v>0</v>
      </c>
      <c r="H181" s="78">
        <v>0</v>
      </c>
      <c r="I181" s="78">
        <v>0</v>
      </c>
      <c r="J181"/>
    </row>
    <row r="182" spans="1:10" hidden="1" x14ac:dyDescent="0.25">
      <c r="A182">
        <v>27</v>
      </c>
      <c r="B182" s="77">
        <v>44972</v>
      </c>
      <c r="C182" t="s">
        <v>168</v>
      </c>
      <c r="D182" t="s">
        <v>237</v>
      </c>
      <c r="E182" s="78">
        <v>217.99</v>
      </c>
      <c r="F182" s="78">
        <v>0</v>
      </c>
      <c r="H182" s="78">
        <v>0</v>
      </c>
      <c r="I182" s="78">
        <v>0</v>
      </c>
      <c r="J182"/>
    </row>
    <row r="183" spans="1:10" hidden="1" x14ac:dyDescent="0.25">
      <c r="A183">
        <v>28</v>
      </c>
      <c r="B183" s="77">
        <v>44972</v>
      </c>
      <c r="C183" t="s">
        <v>168</v>
      </c>
      <c r="D183" t="s">
        <v>237</v>
      </c>
      <c r="E183" s="78">
        <v>217.99</v>
      </c>
      <c r="F183" s="78">
        <v>0</v>
      </c>
      <c r="H183" s="78">
        <v>0</v>
      </c>
      <c r="I183" s="78">
        <v>0</v>
      </c>
      <c r="J183"/>
    </row>
    <row r="184" spans="1:10" hidden="1" x14ac:dyDescent="0.25">
      <c r="A184">
        <v>38</v>
      </c>
      <c r="B184" s="77">
        <v>44970</v>
      </c>
      <c r="C184" t="s">
        <v>168</v>
      </c>
      <c r="D184" t="s">
        <v>277</v>
      </c>
      <c r="E184" s="78">
        <v>250</v>
      </c>
      <c r="F184" s="78">
        <v>0</v>
      </c>
      <c r="H184" s="78">
        <v>0</v>
      </c>
      <c r="I184" s="78">
        <v>0</v>
      </c>
      <c r="J184"/>
    </row>
    <row r="185" spans="1:10" hidden="1" x14ac:dyDescent="0.25">
      <c r="A185">
        <v>46</v>
      </c>
      <c r="B185" s="77">
        <v>44967</v>
      </c>
      <c r="C185" t="s">
        <v>168</v>
      </c>
      <c r="D185" t="s">
        <v>198</v>
      </c>
      <c r="E185" s="78">
        <v>250</v>
      </c>
      <c r="F185" s="78">
        <v>0</v>
      </c>
      <c r="H185" s="78">
        <v>0</v>
      </c>
      <c r="I185" s="78">
        <v>0</v>
      </c>
      <c r="J185"/>
    </row>
    <row r="186" spans="1:10" hidden="1" x14ac:dyDescent="0.25">
      <c r="A186">
        <v>20</v>
      </c>
      <c r="B186" s="77">
        <v>44979</v>
      </c>
      <c r="C186" t="s">
        <v>168</v>
      </c>
      <c r="D186" t="s">
        <v>209</v>
      </c>
      <c r="E186" s="78">
        <v>420</v>
      </c>
      <c r="F186" s="78">
        <v>0</v>
      </c>
      <c r="H186" s="78">
        <v>0</v>
      </c>
      <c r="I186" s="78">
        <v>0</v>
      </c>
      <c r="J186"/>
    </row>
    <row r="187" spans="1:10" hidden="1" x14ac:dyDescent="0.25">
      <c r="A187">
        <v>1</v>
      </c>
      <c r="B187" s="77">
        <v>44985</v>
      </c>
      <c r="C187" t="s">
        <v>172</v>
      </c>
      <c r="E187" s="78">
        <v>437.54</v>
      </c>
      <c r="F187" s="78">
        <v>0</v>
      </c>
      <c r="H187" s="78">
        <v>0</v>
      </c>
      <c r="I187" s="78">
        <v>0</v>
      </c>
      <c r="J187"/>
    </row>
    <row r="188" spans="1:10" hidden="1" x14ac:dyDescent="0.25">
      <c r="A188">
        <v>3</v>
      </c>
      <c r="B188" s="77">
        <v>44984</v>
      </c>
      <c r="C188" t="s">
        <v>168</v>
      </c>
      <c r="D188" t="s">
        <v>280</v>
      </c>
      <c r="E188" s="78">
        <v>461.55</v>
      </c>
      <c r="F188" s="78">
        <v>0</v>
      </c>
      <c r="H188" s="78">
        <v>0</v>
      </c>
      <c r="I188" s="78">
        <v>0</v>
      </c>
      <c r="J188"/>
    </row>
    <row r="189" spans="1:10" hidden="1" x14ac:dyDescent="0.25">
      <c r="A189">
        <v>55</v>
      </c>
      <c r="B189" s="77">
        <v>44963</v>
      </c>
      <c r="C189" t="s">
        <v>168</v>
      </c>
      <c r="D189" t="s">
        <v>202</v>
      </c>
      <c r="E189" s="78">
        <v>462.1</v>
      </c>
      <c r="F189" s="78">
        <v>0</v>
      </c>
      <c r="H189" s="78">
        <v>0</v>
      </c>
      <c r="I189" s="78">
        <v>0</v>
      </c>
      <c r="J189"/>
    </row>
    <row r="190" spans="1:10" hidden="1" x14ac:dyDescent="0.25">
      <c r="A190">
        <v>37</v>
      </c>
      <c r="B190" s="77">
        <v>44970</v>
      </c>
      <c r="C190" t="s">
        <v>168</v>
      </c>
      <c r="D190" t="s">
        <v>237</v>
      </c>
      <c r="E190" s="78">
        <v>536.30999999999995</v>
      </c>
      <c r="F190" s="78">
        <v>0</v>
      </c>
      <c r="H190" s="78">
        <v>0</v>
      </c>
      <c r="I190" s="78">
        <v>0</v>
      </c>
      <c r="J190"/>
    </row>
    <row r="191" spans="1:10" hidden="1" x14ac:dyDescent="0.25">
      <c r="A191">
        <v>32</v>
      </c>
      <c r="B191" s="77">
        <v>44971</v>
      </c>
      <c r="C191" t="s">
        <v>168</v>
      </c>
      <c r="D191" t="s">
        <v>237</v>
      </c>
      <c r="E191" s="78">
        <v>747.74</v>
      </c>
      <c r="F191" s="78">
        <v>0</v>
      </c>
      <c r="H191" s="78">
        <v>0</v>
      </c>
      <c r="I191" s="78">
        <v>0</v>
      </c>
      <c r="J191"/>
    </row>
    <row r="192" spans="1:10" hidden="1" x14ac:dyDescent="0.25">
      <c r="A192">
        <v>22</v>
      </c>
      <c r="B192" s="77">
        <v>44979</v>
      </c>
      <c r="C192" t="s">
        <v>168</v>
      </c>
      <c r="D192" t="s">
        <v>279</v>
      </c>
      <c r="E192" s="78">
        <v>800</v>
      </c>
      <c r="F192" s="78">
        <v>0</v>
      </c>
      <c r="H192" s="78">
        <v>0</v>
      </c>
      <c r="I192" s="78">
        <v>0</v>
      </c>
      <c r="J192"/>
    </row>
    <row r="193" spans="1:10" hidden="1" x14ac:dyDescent="0.25">
      <c r="A193">
        <v>69</v>
      </c>
      <c r="B193" s="77">
        <v>44958</v>
      </c>
      <c r="C193" t="s">
        <v>168</v>
      </c>
      <c r="D193" t="s">
        <v>213</v>
      </c>
      <c r="E193" s="78">
        <v>837.9</v>
      </c>
      <c r="F193" s="78">
        <v>0</v>
      </c>
      <c r="H193" s="78">
        <v>0</v>
      </c>
      <c r="I193" s="78">
        <v>0</v>
      </c>
      <c r="J193"/>
    </row>
    <row r="194" spans="1:10" hidden="1" x14ac:dyDescent="0.25">
      <c r="A194">
        <v>18</v>
      </c>
      <c r="B194" s="77">
        <v>44979</v>
      </c>
      <c r="C194" t="s">
        <v>168</v>
      </c>
      <c r="D194" t="s">
        <v>282</v>
      </c>
      <c r="E194" s="78">
        <v>883.7</v>
      </c>
      <c r="F194" s="78">
        <v>0</v>
      </c>
      <c r="H194" s="78">
        <v>0</v>
      </c>
      <c r="I194" s="78">
        <v>0</v>
      </c>
      <c r="J194"/>
    </row>
    <row r="195" spans="1:10" hidden="1" x14ac:dyDescent="0.25">
      <c r="A195">
        <v>12</v>
      </c>
      <c r="B195" s="77">
        <v>44981</v>
      </c>
      <c r="C195" t="s">
        <v>168</v>
      </c>
      <c r="D195" t="s">
        <v>216</v>
      </c>
      <c r="E195" s="78">
        <v>900</v>
      </c>
      <c r="F195" s="78">
        <v>0</v>
      </c>
      <c r="H195" s="78">
        <v>0</v>
      </c>
      <c r="I195" s="78">
        <v>0</v>
      </c>
      <c r="J195"/>
    </row>
    <row r="196" spans="1:10" hidden="1" x14ac:dyDescent="0.25">
      <c r="A196">
        <v>71</v>
      </c>
      <c r="B196" s="77">
        <v>44958</v>
      </c>
      <c r="C196" t="s">
        <v>168</v>
      </c>
      <c r="D196" t="s">
        <v>169</v>
      </c>
      <c r="E196" s="78">
        <v>1100</v>
      </c>
      <c r="F196" s="78">
        <v>0</v>
      </c>
      <c r="H196" s="78">
        <v>0</v>
      </c>
      <c r="I196" s="78">
        <v>0</v>
      </c>
      <c r="J196"/>
    </row>
    <row r="197" spans="1:10" hidden="1" x14ac:dyDescent="0.25">
      <c r="A197">
        <v>56</v>
      </c>
      <c r="B197" s="77">
        <v>44963</v>
      </c>
      <c r="C197" t="s">
        <v>168</v>
      </c>
      <c r="D197" t="s">
        <v>275</v>
      </c>
      <c r="E197" s="78">
        <v>1118</v>
      </c>
      <c r="F197" s="78">
        <v>0</v>
      </c>
      <c r="H197" s="78">
        <v>0</v>
      </c>
      <c r="I197" s="78">
        <v>0</v>
      </c>
      <c r="J197"/>
    </row>
    <row r="198" spans="1:10" hidden="1" x14ac:dyDescent="0.25">
      <c r="A198">
        <v>54</v>
      </c>
      <c r="B198" s="77">
        <v>44964</v>
      </c>
      <c r="C198" t="s">
        <v>168</v>
      </c>
      <c r="D198" t="s">
        <v>246</v>
      </c>
      <c r="E198" s="78">
        <v>1120</v>
      </c>
      <c r="F198" s="78">
        <v>0</v>
      </c>
      <c r="H198" s="78">
        <v>0</v>
      </c>
      <c r="I198" s="78">
        <v>0</v>
      </c>
      <c r="J198"/>
    </row>
    <row r="199" spans="1:10" hidden="1" x14ac:dyDescent="0.25">
      <c r="A199">
        <v>21</v>
      </c>
      <c r="B199" s="77">
        <v>44979</v>
      </c>
      <c r="C199" t="s">
        <v>168</v>
      </c>
      <c r="D199" t="s">
        <v>201</v>
      </c>
      <c r="E199" s="78">
        <v>1152</v>
      </c>
      <c r="F199" s="78">
        <v>0</v>
      </c>
      <c r="H199" s="78">
        <v>0</v>
      </c>
      <c r="I199" s="78">
        <v>0</v>
      </c>
      <c r="J199"/>
    </row>
    <row r="200" spans="1:10" hidden="1" x14ac:dyDescent="0.25">
      <c r="A200">
        <v>36</v>
      </c>
      <c r="B200" s="77">
        <v>44970</v>
      </c>
      <c r="C200" t="s">
        <v>168</v>
      </c>
      <c r="D200" t="s">
        <v>279</v>
      </c>
      <c r="E200" s="78">
        <v>1350</v>
      </c>
      <c r="F200" s="78">
        <v>0</v>
      </c>
      <c r="H200" s="78">
        <v>0</v>
      </c>
      <c r="I200" s="78">
        <v>0</v>
      </c>
      <c r="J200"/>
    </row>
    <row r="201" spans="1:10" hidden="1" x14ac:dyDescent="0.25">
      <c r="A201">
        <v>43</v>
      </c>
      <c r="B201" s="77">
        <v>44967</v>
      </c>
      <c r="C201" t="s">
        <v>168</v>
      </c>
      <c r="D201" t="s">
        <v>170</v>
      </c>
      <c r="E201" s="78">
        <v>1455</v>
      </c>
      <c r="F201" s="78">
        <v>0</v>
      </c>
      <c r="H201" s="78">
        <v>0</v>
      </c>
      <c r="I201" s="78">
        <v>0</v>
      </c>
      <c r="J201"/>
    </row>
    <row r="202" spans="1:10" hidden="1" x14ac:dyDescent="0.25">
      <c r="A202">
        <v>29</v>
      </c>
      <c r="B202" s="77">
        <v>44972</v>
      </c>
      <c r="C202" t="s">
        <v>168</v>
      </c>
      <c r="D202" t="s">
        <v>276</v>
      </c>
      <c r="E202" s="78">
        <v>1500</v>
      </c>
      <c r="F202" s="78">
        <v>0</v>
      </c>
      <c r="H202" s="78">
        <v>0</v>
      </c>
      <c r="I202" s="78">
        <v>0</v>
      </c>
      <c r="J202"/>
    </row>
    <row r="203" spans="1:10" hidden="1" x14ac:dyDescent="0.25">
      <c r="A203">
        <v>19</v>
      </c>
      <c r="B203" s="77">
        <v>44979</v>
      </c>
      <c r="C203" t="s">
        <v>168</v>
      </c>
      <c r="D203" t="s">
        <v>283</v>
      </c>
      <c r="E203" s="78">
        <v>1550</v>
      </c>
      <c r="F203" s="78">
        <v>0</v>
      </c>
      <c r="H203" s="78">
        <v>0</v>
      </c>
      <c r="I203" s="78">
        <v>0</v>
      </c>
      <c r="J203"/>
    </row>
    <row r="204" spans="1:10" hidden="1" x14ac:dyDescent="0.25">
      <c r="A204">
        <v>10</v>
      </c>
      <c r="B204" s="77">
        <v>44981</v>
      </c>
      <c r="C204" t="s">
        <v>168</v>
      </c>
      <c r="D204" t="s">
        <v>208</v>
      </c>
      <c r="E204" s="78">
        <v>1570</v>
      </c>
      <c r="F204" s="78">
        <v>0</v>
      </c>
      <c r="H204" s="78">
        <v>0</v>
      </c>
      <c r="I204" s="78">
        <v>0</v>
      </c>
      <c r="J204"/>
    </row>
    <row r="205" spans="1:10" hidden="1" x14ac:dyDescent="0.25">
      <c r="A205">
        <v>68</v>
      </c>
      <c r="B205" s="77">
        <v>44958</v>
      </c>
      <c r="C205" t="s">
        <v>168</v>
      </c>
      <c r="D205" t="s">
        <v>253</v>
      </c>
      <c r="E205" s="78">
        <v>1930</v>
      </c>
      <c r="F205" s="78">
        <v>0</v>
      </c>
      <c r="H205" s="78">
        <v>0</v>
      </c>
      <c r="I205" s="78">
        <v>0</v>
      </c>
      <c r="J205"/>
    </row>
    <row r="206" spans="1:10" hidden="1" x14ac:dyDescent="0.25">
      <c r="A206">
        <v>50</v>
      </c>
      <c r="B206" s="77">
        <v>44965</v>
      </c>
      <c r="C206" t="s">
        <v>168</v>
      </c>
      <c r="D206" t="s">
        <v>218</v>
      </c>
      <c r="E206" s="78">
        <v>1976.94</v>
      </c>
      <c r="F206" s="78">
        <v>0</v>
      </c>
      <c r="H206" s="78">
        <v>0</v>
      </c>
      <c r="I206" s="78">
        <v>0</v>
      </c>
      <c r="J206"/>
    </row>
    <row r="207" spans="1:10" hidden="1" x14ac:dyDescent="0.25">
      <c r="A207">
        <v>9</v>
      </c>
      <c r="B207" s="77">
        <v>44984</v>
      </c>
      <c r="C207" t="s">
        <v>174</v>
      </c>
      <c r="D207" t="s">
        <v>292</v>
      </c>
      <c r="E207" s="78">
        <v>2000</v>
      </c>
      <c r="F207" s="78">
        <v>0</v>
      </c>
      <c r="H207" s="78">
        <v>0</v>
      </c>
      <c r="I207" s="78">
        <v>0</v>
      </c>
      <c r="J207"/>
    </row>
    <row r="208" spans="1:10" hidden="1" x14ac:dyDescent="0.25">
      <c r="A208">
        <v>11</v>
      </c>
      <c r="B208" s="77">
        <v>44981</v>
      </c>
      <c r="C208" t="s">
        <v>168</v>
      </c>
      <c r="D208" t="s">
        <v>208</v>
      </c>
      <c r="E208" s="78">
        <v>2000</v>
      </c>
      <c r="F208" s="78">
        <v>0</v>
      </c>
      <c r="H208" s="78">
        <v>0</v>
      </c>
      <c r="I208" s="78">
        <v>0</v>
      </c>
      <c r="J208"/>
    </row>
    <row r="209" spans="1:10" hidden="1" x14ac:dyDescent="0.25">
      <c r="A209">
        <v>53</v>
      </c>
      <c r="B209" s="77">
        <v>44964</v>
      </c>
      <c r="C209" t="s">
        <v>168</v>
      </c>
      <c r="D209" t="s">
        <v>278</v>
      </c>
      <c r="E209" s="78">
        <v>2000</v>
      </c>
      <c r="F209" s="78">
        <v>0</v>
      </c>
      <c r="H209" s="78">
        <v>0</v>
      </c>
      <c r="I209" s="78">
        <v>0</v>
      </c>
      <c r="J209"/>
    </row>
    <row r="210" spans="1:10" hidden="1" x14ac:dyDescent="0.25">
      <c r="A210">
        <v>52</v>
      </c>
      <c r="B210" s="77">
        <v>44965</v>
      </c>
      <c r="C210" t="s">
        <v>174</v>
      </c>
      <c r="D210" t="s">
        <v>289</v>
      </c>
      <c r="E210" s="78">
        <v>2040</v>
      </c>
      <c r="F210" s="78">
        <v>0</v>
      </c>
      <c r="H210" s="78">
        <v>0</v>
      </c>
      <c r="I210" s="78">
        <v>0</v>
      </c>
      <c r="J210"/>
    </row>
    <row r="211" spans="1:10" hidden="1" x14ac:dyDescent="0.25">
      <c r="A211">
        <v>0</v>
      </c>
      <c r="B211" s="77">
        <v>44985</v>
      </c>
      <c r="C211" t="s">
        <v>171</v>
      </c>
      <c r="E211" s="78">
        <v>2083.5300000000002</v>
      </c>
      <c r="F211" s="78">
        <v>0</v>
      </c>
      <c r="H211" s="78">
        <v>0</v>
      </c>
      <c r="I211" s="78">
        <v>0</v>
      </c>
      <c r="J211"/>
    </row>
    <row r="212" spans="1:10" hidden="1" x14ac:dyDescent="0.25">
      <c r="A212">
        <v>5</v>
      </c>
      <c r="B212" s="77">
        <v>44984</v>
      </c>
      <c r="C212" t="s">
        <v>168</v>
      </c>
      <c r="D212" t="s">
        <v>202</v>
      </c>
      <c r="E212" s="78">
        <v>2140.9699999999998</v>
      </c>
      <c r="F212" s="78">
        <v>0</v>
      </c>
      <c r="H212" s="78">
        <v>0</v>
      </c>
      <c r="I212" s="78">
        <v>0</v>
      </c>
      <c r="J212"/>
    </row>
    <row r="213" spans="1:10" hidden="1" x14ac:dyDescent="0.25">
      <c r="A213">
        <v>49</v>
      </c>
      <c r="B213" s="77">
        <v>44966</v>
      </c>
      <c r="C213" t="s">
        <v>168</v>
      </c>
      <c r="D213" t="s">
        <v>254</v>
      </c>
      <c r="E213" s="78">
        <v>2192.8000000000002</v>
      </c>
      <c r="F213" s="78">
        <v>0</v>
      </c>
      <c r="H213" s="78">
        <v>0</v>
      </c>
      <c r="I213" s="78">
        <v>0</v>
      </c>
      <c r="J213"/>
    </row>
    <row r="214" spans="1:10" hidden="1" x14ac:dyDescent="0.25">
      <c r="A214">
        <v>16</v>
      </c>
      <c r="B214" s="77">
        <v>44980</v>
      </c>
      <c r="C214" t="s">
        <v>168</v>
      </c>
      <c r="D214" t="s">
        <v>237</v>
      </c>
      <c r="E214" s="78">
        <v>2588</v>
      </c>
      <c r="F214" s="78">
        <v>0</v>
      </c>
      <c r="H214" s="78">
        <v>0</v>
      </c>
      <c r="I214" s="78">
        <v>0</v>
      </c>
      <c r="J214"/>
    </row>
    <row r="215" spans="1:10" hidden="1" x14ac:dyDescent="0.25">
      <c r="A215">
        <v>67</v>
      </c>
      <c r="B215" s="77">
        <v>44958</v>
      </c>
      <c r="C215" t="s">
        <v>168</v>
      </c>
      <c r="D215" t="s">
        <v>173</v>
      </c>
      <c r="E215" s="78">
        <v>2873.61</v>
      </c>
      <c r="F215" s="78">
        <v>0</v>
      </c>
      <c r="H215" s="78">
        <v>0</v>
      </c>
      <c r="I215" s="78">
        <v>0</v>
      </c>
      <c r="J215"/>
    </row>
    <row r="216" spans="1:10" hidden="1" x14ac:dyDescent="0.25">
      <c r="A216">
        <v>47</v>
      </c>
      <c r="B216" s="77">
        <v>44967</v>
      </c>
      <c r="C216" t="s">
        <v>168</v>
      </c>
      <c r="D216" t="s">
        <v>208</v>
      </c>
      <c r="E216" s="78">
        <v>3330</v>
      </c>
      <c r="F216" s="78">
        <v>0</v>
      </c>
      <c r="H216" s="78">
        <v>0</v>
      </c>
      <c r="I216" s="78">
        <v>0</v>
      </c>
      <c r="J216"/>
    </row>
    <row r="217" spans="1:10" hidden="1" x14ac:dyDescent="0.25">
      <c r="A217">
        <v>66</v>
      </c>
      <c r="B217" s="77">
        <v>44958</v>
      </c>
      <c r="C217" t="s">
        <v>168</v>
      </c>
      <c r="D217" t="s">
        <v>184</v>
      </c>
      <c r="E217" s="78">
        <v>3500</v>
      </c>
      <c r="F217" s="78">
        <v>0</v>
      </c>
      <c r="H217" s="78">
        <v>0</v>
      </c>
      <c r="I217" s="78">
        <v>0</v>
      </c>
      <c r="J217"/>
    </row>
    <row r="218" spans="1:10" hidden="1" x14ac:dyDescent="0.25">
      <c r="A218">
        <v>26</v>
      </c>
      <c r="B218" s="77">
        <v>44973</v>
      </c>
      <c r="C218" t="s">
        <v>168</v>
      </c>
      <c r="D218" t="s">
        <v>239</v>
      </c>
      <c r="E218" s="78">
        <v>3675</v>
      </c>
      <c r="F218" s="78">
        <v>0</v>
      </c>
      <c r="H218" s="78">
        <v>0</v>
      </c>
      <c r="I218" s="78">
        <v>0</v>
      </c>
      <c r="J218"/>
    </row>
    <row r="219" spans="1:10" hidden="1" x14ac:dyDescent="0.25">
      <c r="A219">
        <v>4</v>
      </c>
      <c r="B219" s="77">
        <v>44984</v>
      </c>
      <c r="C219" t="s">
        <v>168</v>
      </c>
      <c r="D219" t="s">
        <v>254</v>
      </c>
      <c r="E219" s="78">
        <v>3876.79</v>
      </c>
      <c r="F219" s="78">
        <v>0</v>
      </c>
      <c r="H219" s="78">
        <v>0</v>
      </c>
      <c r="I219" s="78">
        <v>0</v>
      </c>
      <c r="J219"/>
    </row>
    <row r="220" spans="1:10" hidden="1" x14ac:dyDescent="0.25">
      <c r="A220">
        <v>24</v>
      </c>
      <c r="B220" s="77">
        <v>44979</v>
      </c>
      <c r="C220" t="s">
        <v>174</v>
      </c>
      <c r="D220" t="s">
        <v>210</v>
      </c>
      <c r="E220" s="78">
        <v>4000</v>
      </c>
      <c r="F220" s="78">
        <v>0</v>
      </c>
      <c r="H220" s="78">
        <v>0</v>
      </c>
      <c r="I220" s="78">
        <v>0</v>
      </c>
      <c r="J220"/>
    </row>
    <row r="221" spans="1:10" hidden="1" x14ac:dyDescent="0.25">
      <c r="A221">
        <v>17</v>
      </c>
      <c r="B221" s="77">
        <v>44980</v>
      </c>
      <c r="C221" t="s">
        <v>168</v>
      </c>
      <c r="D221" t="s">
        <v>173</v>
      </c>
      <c r="E221" s="78">
        <v>4174.29</v>
      </c>
      <c r="F221" s="78">
        <v>0</v>
      </c>
      <c r="H221" s="78">
        <v>0</v>
      </c>
      <c r="I221" s="78">
        <v>0</v>
      </c>
      <c r="J221"/>
    </row>
    <row r="222" spans="1:10" hidden="1" x14ac:dyDescent="0.25">
      <c r="A222">
        <v>45</v>
      </c>
      <c r="B222" s="77">
        <v>44967</v>
      </c>
      <c r="C222" t="s">
        <v>168</v>
      </c>
      <c r="D222" t="s">
        <v>213</v>
      </c>
      <c r="E222" s="78">
        <v>4328.25</v>
      </c>
      <c r="F222" s="78">
        <v>0</v>
      </c>
      <c r="H222" s="78">
        <v>0</v>
      </c>
      <c r="I222" s="78">
        <v>0</v>
      </c>
      <c r="J222"/>
    </row>
    <row r="223" spans="1:10" hidden="1" x14ac:dyDescent="0.25">
      <c r="A223">
        <v>70</v>
      </c>
      <c r="B223" s="77">
        <v>44958</v>
      </c>
      <c r="C223" t="s">
        <v>168</v>
      </c>
      <c r="D223" t="s">
        <v>198</v>
      </c>
      <c r="E223" s="78">
        <v>4610</v>
      </c>
      <c r="F223" s="78">
        <v>0</v>
      </c>
      <c r="H223" s="78">
        <v>0</v>
      </c>
      <c r="I223" s="78">
        <v>0</v>
      </c>
      <c r="J223"/>
    </row>
    <row r="224" spans="1:10" hidden="1" x14ac:dyDescent="0.25">
      <c r="A224">
        <v>35</v>
      </c>
      <c r="B224" s="77">
        <v>44970</v>
      </c>
      <c r="C224" t="s">
        <v>168</v>
      </c>
      <c r="D224" t="s">
        <v>254</v>
      </c>
      <c r="E224" s="78">
        <v>6074.19</v>
      </c>
      <c r="F224" s="78">
        <v>0</v>
      </c>
      <c r="H224" s="78">
        <v>0</v>
      </c>
      <c r="I224" s="78">
        <v>0</v>
      </c>
      <c r="J224"/>
    </row>
    <row r="225" spans="1:10" hidden="1" x14ac:dyDescent="0.25">
      <c r="A225">
        <v>13</v>
      </c>
      <c r="B225" s="77">
        <v>44981</v>
      </c>
      <c r="C225" t="s">
        <v>168</v>
      </c>
      <c r="D225" t="s">
        <v>216</v>
      </c>
      <c r="E225" s="78">
        <v>6390</v>
      </c>
      <c r="F225" s="78">
        <v>0</v>
      </c>
      <c r="H225" s="78">
        <v>0</v>
      </c>
      <c r="I225" s="78">
        <v>0</v>
      </c>
      <c r="J225"/>
    </row>
    <row r="226" spans="1:10" hidden="1" x14ac:dyDescent="0.25">
      <c r="A226">
        <v>31</v>
      </c>
      <c r="B226" s="77">
        <v>44972</v>
      </c>
      <c r="C226" t="s">
        <v>174</v>
      </c>
      <c r="D226" t="s">
        <v>291</v>
      </c>
      <c r="E226" s="78">
        <v>8500</v>
      </c>
      <c r="F226" s="78">
        <v>0</v>
      </c>
      <c r="H226" s="78">
        <v>0</v>
      </c>
      <c r="I226" s="78">
        <v>0</v>
      </c>
      <c r="J226"/>
    </row>
    <row r="227" spans="1:10" hidden="1" x14ac:dyDescent="0.25">
      <c r="A227">
        <v>7</v>
      </c>
      <c r="B227" s="77">
        <v>44984</v>
      </c>
      <c r="C227" t="s">
        <v>168</v>
      </c>
      <c r="D227" t="s">
        <v>218</v>
      </c>
      <c r="E227" s="78">
        <v>9107.7999999999993</v>
      </c>
      <c r="F227" s="78">
        <v>0</v>
      </c>
      <c r="H227" s="78">
        <v>0</v>
      </c>
      <c r="I227" s="78">
        <v>0</v>
      </c>
      <c r="J227"/>
    </row>
    <row r="228" spans="1:10" hidden="1" x14ac:dyDescent="0.25">
      <c r="A228">
        <v>6</v>
      </c>
      <c r="B228" s="77">
        <v>44984</v>
      </c>
      <c r="C228" t="s">
        <v>168</v>
      </c>
      <c r="D228" t="s">
        <v>281</v>
      </c>
      <c r="E228" s="78">
        <v>11050</v>
      </c>
      <c r="F228" s="78">
        <v>0</v>
      </c>
      <c r="H228" s="78">
        <v>0</v>
      </c>
      <c r="I228" s="78">
        <v>0</v>
      </c>
      <c r="J228"/>
    </row>
    <row r="229" spans="1:10" hidden="1" x14ac:dyDescent="0.25">
      <c r="A229">
        <v>63</v>
      </c>
      <c r="B229" s="77">
        <v>44960</v>
      </c>
      <c r="C229" t="s">
        <v>174</v>
      </c>
      <c r="D229" t="s">
        <v>289</v>
      </c>
      <c r="E229" s="78">
        <v>11500</v>
      </c>
      <c r="F229" s="78">
        <v>0</v>
      </c>
      <c r="H229" s="78">
        <v>0</v>
      </c>
      <c r="I229" s="78">
        <v>0</v>
      </c>
      <c r="J229"/>
    </row>
    <row r="230" spans="1:10" hidden="1" x14ac:dyDescent="0.25">
      <c r="A230">
        <v>64</v>
      </c>
      <c r="B230" s="77">
        <v>44960</v>
      </c>
      <c r="C230" t="s">
        <v>175</v>
      </c>
      <c r="D230" t="s">
        <v>212</v>
      </c>
      <c r="E230" s="78">
        <v>14661.46</v>
      </c>
      <c r="F230" s="78">
        <v>0</v>
      </c>
      <c r="H230" s="78">
        <v>0</v>
      </c>
      <c r="I230" s="78">
        <v>0</v>
      </c>
      <c r="J230"/>
    </row>
    <row r="231" spans="1:10" hidden="1" x14ac:dyDescent="0.25">
      <c r="A231">
        <v>23</v>
      </c>
      <c r="B231" s="77">
        <v>44979</v>
      </c>
      <c r="C231" t="s">
        <v>174</v>
      </c>
      <c r="D231" t="s">
        <v>204</v>
      </c>
      <c r="E231" s="78">
        <v>20000</v>
      </c>
      <c r="F231" s="78">
        <v>0</v>
      </c>
      <c r="H231" s="78">
        <v>0</v>
      </c>
      <c r="I231" s="78">
        <v>0</v>
      </c>
      <c r="J231"/>
    </row>
    <row r="232" spans="1:10" hidden="1" x14ac:dyDescent="0.25">
      <c r="A232">
        <v>51</v>
      </c>
      <c r="B232" s="77">
        <v>44965</v>
      </c>
      <c r="C232" t="s">
        <v>168</v>
      </c>
      <c r="D232" t="s">
        <v>254</v>
      </c>
      <c r="E232" s="78">
        <v>26068.560000000001</v>
      </c>
      <c r="F232" s="78">
        <v>0</v>
      </c>
      <c r="H232" s="78">
        <v>0</v>
      </c>
      <c r="I232" s="78">
        <v>0</v>
      </c>
      <c r="J232"/>
    </row>
    <row r="233" spans="1:10" hidden="1" x14ac:dyDescent="0.25">
      <c r="A233">
        <v>42</v>
      </c>
      <c r="B233" s="77">
        <v>44970</v>
      </c>
      <c r="C233" t="s">
        <v>174</v>
      </c>
      <c r="D233" t="s">
        <v>290</v>
      </c>
      <c r="E233" s="78">
        <v>36800</v>
      </c>
      <c r="F233" s="78">
        <v>0</v>
      </c>
      <c r="H233" s="78">
        <v>0</v>
      </c>
      <c r="I233" s="78">
        <v>0</v>
      </c>
      <c r="J233"/>
    </row>
    <row r="234" spans="1:10" hidden="1" x14ac:dyDescent="0.25">
      <c r="A234">
        <v>65</v>
      </c>
      <c r="B234" s="77">
        <v>44959</v>
      </c>
      <c r="C234" t="s">
        <v>180</v>
      </c>
      <c r="D234" t="s">
        <v>181</v>
      </c>
      <c r="E234" s="78">
        <v>0</v>
      </c>
      <c r="F234" s="78">
        <v>45893.18</v>
      </c>
      <c r="H234" s="78">
        <v>0</v>
      </c>
      <c r="I234" s="78">
        <v>0</v>
      </c>
      <c r="J234"/>
    </row>
    <row r="235" spans="1:10" hidden="1" x14ac:dyDescent="0.25">
      <c r="A235">
        <v>59</v>
      </c>
      <c r="B235" s="77">
        <v>44963</v>
      </c>
      <c r="C235" t="s">
        <v>178</v>
      </c>
      <c r="D235" t="s">
        <v>179</v>
      </c>
      <c r="E235" s="78">
        <v>0</v>
      </c>
      <c r="F235" s="78">
        <v>281087.05</v>
      </c>
      <c r="H235" s="78">
        <v>0</v>
      </c>
      <c r="I235" s="78">
        <v>0</v>
      </c>
      <c r="J235"/>
    </row>
    <row r="236" spans="1:10" hidden="1" x14ac:dyDescent="0.25">
      <c r="A236">
        <v>60</v>
      </c>
      <c r="B236" s="77">
        <v>44963</v>
      </c>
      <c r="C236" t="s">
        <v>207</v>
      </c>
      <c r="E236" s="78">
        <v>0</v>
      </c>
      <c r="F236" s="78">
        <v>0</v>
      </c>
      <c r="H236" s="78">
        <v>500000</v>
      </c>
      <c r="I236" s="78">
        <v>0</v>
      </c>
      <c r="J236"/>
    </row>
    <row r="237" spans="1:10" hidden="1" x14ac:dyDescent="0.25">
      <c r="A237">
        <v>30</v>
      </c>
      <c r="B237" s="77">
        <v>44972</v>
      </c>
      <c r="C237" t="s">
        <v>285</v>
      </c>
      <c r="D237" t="s">
        <v>288</v>
      </c>
      <c r="E237" s="78">
        <v>0</v>
      </c>
      <c r="F237" s="78">
        <v>0</v>
      </c>
      <c r="H237" s="78">
        <v>0</v>
      </c>
      <c r="I237" s="78">
        <v>10000</v>
      </c>
      <c r="J237"/>
    </row>
    <row r="238" spans="1:10" hidden="1" x14ac:dyDescent="0.25">
      <c r="A238">
        <v>39</v>
      </c>
      <c r="B238" s="77">
        <v>44970</v>
      </c>
      <c r="C238" t="s">
        <v>285</v>
      </c>
      <c r="D238" t="s">
        <v>286</v>
      </c>
      <c r="E238" s="78">
        <v>0</v>
      </c>
      <c r="F238" s="78">
        <v>0</v>
      </c>
      <c r="H238" s="78">
        <v>0</v>
      </c>
      <c r="I238" s="78">
        <v>10000</v>
      </c>
      <c r="J238"/>
    </row>
    <row r="239" spans="1:10" hidden="1" x14ac:dyDescent="0.25">
      <c r="A239">
        <v>40</v>
      </c>
      <c r="B239" s="77">
        <v>44970</v>
      </c>
      <c r="C239" t="s">
        <v>285</v>
      </c>
      <c r="D239" t="s">
        <v>286</v>
      </c>
      <c r="E239" s="78">
        <v>0</v>
      </c>
      <c r="F239" s="78">
        <v>0</v>
      </c>
      <c r="H239" s="78">
        <v>0</v>
      </c>
      <c r="I239" s="78">
        <v>10000</v>
      </c>
      <c r="J239"/>
    </row>
    <row r="240" spans="1:10" hidden="1" x14ac:dyDescent="0.25">
      <c r="A240">
        <v>41</v>
      </c>
      <c r="B240" s="77">
        <v>44970</v>
      </c>
      <c r="C240" t="s">
        <v>285</v>
      </c>
      <c r="D240" t="s">
        <v>286</v>
      </c>
      <c r="E240" s="78">
        <v>0</v>
      </c>
      <c r="F240" s="78">
        <v>0</v>
      </c>
      <c r="H240" s="78">
        <v>0</v>
      </c>
      <c r="I240" s="78">
        <v>10000</v>
      </c>
      <c r="J240"/>
    </row>
    <row r="241" spans="1:10" hidden="1" x14ac:dyDescent="0.25">
      <c r="A241">
        <v>14</v>
      </c>
      <c r="B241" s="77">
        <v>44981</v>
      </c>
      <c r="C241" t="s">
        <v>185</v>
      </c>
      <c r="D241" t="s">
        <v>186</v>
      </c>
      <c r="E241" s="78">
        <v>0</v>
      </c>
      <c r="F241" s="78">
        <v>0</v>
      </c>
      <c r="H241" s="78">
        <v>0</v>
      </c>
      <c r="I241" s="78">
        <v>13000</v>
      </c>
      <c r="J241"/>
    </row>
    <row r="242" spans="1:10" hidden="1" x14ac:dyDescent="0.25">
      <c r="A242">
        <v>48</v>
      </c>
      <c r="B242" s="77">
        <v>44967</v>
      </c>
      <c r="C242" t="s">
        <v>185</v>
      </c>
      <c r="D242" t="s">
        <v>186</v>
      </c>
      <c r="E242" s="78">
        <v>0</v>
      </c>
      <c r="F242" s="78">
        <v>0</v>
      </c>
      <c r="H242" s="78">
        <v>0</v>
      </c>
      <c r="I242" s="78">
        <v>14000</v>
      </c>
      <c r="J242"/>
    </row>
    <row r="243" spans="1:10" hidden="1" x14ac:dyDescent="0.25">
      <c r="A243">
        <v>72</v>
      </c>
      <c r="B243" s="77">
        <v>44958</v>
      </c>
      <c r="C243" t="s">
        <v>185</v>
      </c>
      <c r="D243" t="s">
        <v>186</v>
      </c>
      <c r="E243" s="78">
        <v>0</v>
      </c>
      <c r="F243" s="78">
        <v>0</v>
      </c>
      <c r="H243" s="78">
        <v>0</v>
      </c>
      <c r="I243" s="78">
        <v>14000</v>
      </c>
      <c r="J243"/>
    </row>
    <row r="244" spans="1:10" hidden="1" x14ac:dyDescent="0.25">
      <c r="A244">
        <v>34</v>
      </c>
      <c r="B244" s="77">
        <v>44971</v>
      </c>
      <c r="C244" t="s">
        <v>285</v>
      </c>
      <c r="D244" t="s">
        <v>287</v>
      </c>
      <c r="E244" s="78">
        <v>0</v>
      </c>
      <c r="F244" s="78">
        <v>0</v>
      </c>
      <c r="H244" s="78">
        <v>0</v>
      </c>
      <c r="I244" s="78">
        <v>15000</v>
      </c>
      <c r="J244"/>
    </row>
    <row r="245" spans="1:10" hidden="1" x14ac:dyDescent="0.25">
      <c r="A245" s="82"/>
      <c r="B245" s="81">
        <v>44963</v>
      </c>
      <c r="C245" s="82" t="s">
        <v>215</v>
      </c>
      <c r="D245" s="82"/>
      <c r="E245" s="78">
        <v>0</v>
      </c>
      <c r="F245" s="78">
        <v>0</v>
      </c>
      <c r="G245" s="79">
        <v>10269</v>
      </c>
      <c r="H245" s="78">
        <v>0</v>
      </c>
      <c r="I245" s="78">
        <v>0</v>
      </c>
      <c r="J245"/>
    </row>
    <row r="246" spans="1:10" hidden="1" x14ac:dyDescent="0.25">
      <c r="A246" s="82"/>
      <c r="B246" s="81">
        <v>44963</v>
      </c>
      <c r="C246" s="82" t="s">
        <v>205</v>
      </c>
      <c r="D246" s="82"/>
      <c r="E246" s="78">
        <v>0</v>
      </c>
      <c r="F246" s="78">
        <v>-10269</v>
      </c>
      <c r="H246" s="78">
        <v>0</v>
      </c>
      <c r="I246" s="78">
        <v>0</v>
      </c>
      <c r="J246"/>
    </row>
    <row r="247" spans="1:10" hidden="1" x14ac:dyDescent="0.25">
      <c r="A247">
        <v>21</v>
      </c>
      <c r="B247" s="77">
        <v>45005</v>
      </c>
      <c r="C247" t="s">
        <v>168</v>
      </c>
      <c r="D247" t="s">
        <v>304</v>
      </c>
      <c r="E247" s="78">
        <v>350</v>
      </c>
      <c r="F247" s="78">
        <v>0</v>
      </c>
      <c r="H247" s="78">
        <v>0</v>
      </c>
      <c r="I247" s="78">
        <v>0</v>
      </c>
      <c r="J247"/>
    </row>
    <row r="248" spans="1:10" hidden="1" x14ac:dyDescent="0.25">
      <c r="A248">
        <v>73</v>
      </c>
      <c r="B248" s="77">
        <v>44988</v>
      </c>
      <c r="C248" t="s">
        <v>168</v>
      </c>
      <c r="D248" t="s">
        <v>301</v>
      </c>
      <c r="E248" s="78">
        <v>480</v>
      </c>
      <c r="F248" s="78">
        <v>0</v>
      </c>
      <c r="H248" s="78">
        <v>0</v>
      </c>
      <c r="I248" s="78">
        <v>0</v>
      </c>
      <c r="J248"/>
    </row>
    <row r="249" spans="1:10" hidden="1" x14ac:dyDescent="0.25">
      <c r="A249">
        <v>3</v>
      </c>
      <c r="B249" s="77">
        <v>45016</v>
      </c>
      <c r="C249" t="s">
        <v>172</v>
      </c>
      <c r="E249" s="78">
        <v>494.42</v>
      </c>
      <c r="F249" s="78">
        <v>0</v>
      </c>
      <c r="H249" s="78">
        <v>0</v>
      </c>
      <c r="I249" s="78">
        <v>0</v>
      </c>
      <c r="J249"/>
    </row>
    <row r="250" spans="1:10" hidden="1" x14ac:dyDescent="0.25">
      <c r="A250">
        <v>28</v>
      </c>
      <c r="B250" s="77">
        <v>45005</v>
      </c>
      <c r="C250" t="s">
        <v>168</v>
      </c>
      <c r="D250" t="s">
        <v>209</v>
      </c>
      <c r="E250" s="78">
        <v>560</v>
      </c>
      <c r="F250" s="78">
        <v>0</v>
      </c>
      <c r="H250" s="78">
        <v>0</v>
      </c>
      <c r="I250" s="78">
        <v>0</v>
      </c>
      <c r="J250"/>
    </row>
    <row r="251" spans="1:10" hidden="1" x14ac:dyDescent="0.25">
      <c r="A251">
        <v>10</v>
      </c>
      <c r="B251" s="77">
        <v>45012</v>
      </c>
      <c r="C251" t="s">
        <v>168</v>
      </c>
      <c r="D251" t="s">
        <v>198</v>
      </c>
      <c r="E251" s="78">
        <v>630</v>
      </c>
      <c r="F251" s="78">
        <v>0</v>
      </c>
      <c r="H251" s="78">
        <v>0</v>
      </c>
      <c r="I251" s="78">
        <v>0</v>
      </c>
      <c r="J251"/>
    </row>
    <row r="252" spans="1:10" hidden="1" x14ac:dyDescent="0.25">
      <c r="A252">
        <v>8</v>
      </c>
      <c r="B252" s="77">
        <v>45012</v>
      </c>
      <c r="C252" t="s">
        <v>168</v>
      </c>
      <c r="D252" t="s">
        <v>259</v>
      </c>
      <c r="E252" s="78">
        <v>700</v>
      </c>
      <c r="F252" s="78">
        <v>0</v>
      </c>
      <c r="H252" s="78">
        <v>0</v>
      </c>
      <c r="I252" s="78">
        <v>0</v>
      </c>
      <c r="J252"/>
    </row>
    <row r="253" spans="1:10" hidden="1" x14ac:dyDescent="0.25">
      <c r="A253">
        <v>22</v>
      </c>
      <c r="B253" s="77">
        <v>45005</v>
      </c>
      <c r="C253" t="s">
        <v>168</v>
      </c>
      <c r="D253" t="s">
        <v>259</v>
      </c>
      <c r="E253" s="78">
        <v>700</v>
      </c>
      <c r="F253" s="78">
        <v>0</v>
      </c>
      <c r="H253" s="78">
        <v>0</v>
      </c>
      <c r="I253" s="78">
        <v>0</v>
      </c>
      <c r="J253"/>
    </row>
    <row r="254" spans="1:10" hidden="1" x14ac:dyDescent="0.25">
      <c r="A254">
        <v>72</v>
      </c>
      <c r="B254" s="77">
        <v>44988</v>
      </c>
      <c r="C254" t="s">
        <v>168</v>
      </c>
      <c r="D254" t="s">
        <v>238</v>
      </c>
      <c r="E254" s="78">
        <v>700</v>
      </c>
      <c r="F254" s="78">
        <v>0</v>
      </c>
      <c r="H254" s="78">
        <v>0</v>
      </c>
      <c r="I254" s="78">
        <v>0</v>
      </c>
      <c r="J254"/>
    </row>
    <row r="255" spans="1:10" hidden="1" x14ac:dyDescent="0.25">
      <c r="A255">
        <v>0</v>
      </c>
      <c r="B255" s="77">
        <v>45016</v>
      </c>
      <c r="C255" t="s">
        <v>168</v>
      </c>
      <c r="D255" t="s">
        <v>209</v>
      </c>
      <c r="E255" s="78">
        <v>770</v>
      </c>
      <c r="F255" s="78">
        <v>0</v>
      </c>
      <c r="H255" s="78">
        <v>0</v>
      </c>
      <c r="I255" s="78">
        <v>0</v>
      </c>
      <c r="J255"/>
    </row>
    <row r="256" spans="1:10" hidden="1" x14ac:dyDescent="0.25">
      <c r="A256">
        <v>50</v>
      </c>
      <c r="B256" s="77">
        <v>44994</v>
      </c>
      <c r="C256" t="s">
        <v>168</v>
      </c>
      <c r="D256" t="s">
        <v>198</v>
      </c>
      <c r="E256" s="78">
        <v>850</v>
      </c>
      <c r="F256" s="78">
        <v>0</v>
      </c>
      <c r="H256" s="78">
        <v>0</v>
      </c>
      <c r="I256" s="78">
        <v>0</v>
      </c>
      <c r="J256"/>
    </row>
    <row r="257" spans="1:10" hidden="1" x14ac:dyDescent="0.25">
      <c r="A257">
        <v>24</v>
      </c>
      <c r="B257" s="77">
        <v>45005</v>
      </c>
      <c r="C257" t="s">
        <v>168</v>
      </c>
      <c r="D257" t="s">
        <v>198</v>
      </c>
      <c r="E257" s="78">
        <v>860</v>
      </c>
      <c r="F257" s="78">
        <v>0</v>
      </c>
      <c r="H257" s="78">
        <v>0</v>
      </c>
      <c r="I257" s="78">
        <v>0</v>
      </c>
      <c r="J257"/>
    </row>
    <row r="258" spans="1:10" hidden="1" x14ac:dyDescent="0.25">
      <c r="A258">
        <v>14</v>
      </c>
      <c r="B258" s="77">
        <v>45007</v>
      </c>
      <c r="C258" t="s">
        <v>168</v>
      </c>
      <c r="D258" t="s">
        <v>304</v>
      </c>
      <c r="E258" s="78">
        <v>900</v>
      </c>
      <c r="F258" s="78">
        <v>0</v>
      </c>
      <c r="H258" s="78">
        <v>0</v>
      </c>
      <c r="I258" s="78">
        <v>0</v>
      </c>
      <c r="J258"/>
    </row>
    <row r="259" spans="1:10" hidden="1" x14ac:dyDescent="0.25">
      <c r="A259">
        <v>23</v>
      </c>
      <c r="B259" s="77">
        <v>45005</v>
      </c>
      <c r="C259" t="s">
        <v>168</v>
      </c>
      <c r="D259" t="s">
        <v>208</v>
      </c>
      <c r="E259" s="78">
        <v>940</v>
      </c>
      <c r="F259" s="78">
        <v>0</v>
      </c>
      <c r="H259" s="78">
        <v>0</v>
      </c>
      <c r="I259" s="78">
        <v>0</v>
      </c>
      <c r="J259"/>
    </row>
    <row r="260" spans="1:10" hidden="1" x14ac:dyDescent="0.25">
      <c r="A260">
        <v>63</v>
      </c>
      <c r="B260" s="77">
        <v>44991</v>
      </c>
      <c r="C260" t="s">
        <v>168</v>
      </c>
      <c r="D260" t="s">
        <v>208</v>
      </c>
      <c r="E260" s="78">
        <v>950</v>
      </c>
      <c r="F260" s="78">
        <v>0</v>
      </c>
      <c r="H260" s="78">
        <v>0</v>
      </c>
      <c r="I260" s="78">
        <v>0</v>
      </c>
      <c r="J260"/>
    </row>
    <row r="261" spans="1:10" hidden="1" x14ac:dyDescent="0.25">
      <c r="A261">
        <v>4</v>
      </c>
      <c r="B261" s="77">
        <v>45015</v>
      </c>
      <c r="C261" t="s">
        <v>168</v>
      </c>
      <c r="D261" t="s">
        <v>259</v>
      </c>
      <c r="E261" s="78">
        <v>951.25</v>
      </c>
      <c r="F261" s="78">
        <v>0</v>
      </c>
      <c r="H261" s="78">
        <v>0</v>
      </c>
      <c r="I261" s="78">
        <v>0</v>
      </c>
      <c r="J261"/>
    </row>
    <row r="262" spans="1:10" hidden="1" x14ac:dyDescent="0.25">
      <c r="A262">
        <v>20</v>
      </c>
      <c r="B262" s="77">
        <v>45006</v>
      </c>
      <c r="C262" t="s">
        <v>168</v>
      </c>
      <c r="D262" t="s">
        <v>308</v>
      </c>
      <c r="E262" s="78">
        <v>960</v>
      </c>
      <c r="F262" s="78">
        <v>0</v>
      </c>
      <c r="H262" s="78">
        <v>0</v>
      </c>
      <c r="I262" s="78">
        <v>0</v>
      </c>
      <c r="J262"/>
    </row>
    <row r="263" spans="1:10" hidden="1" x14ac:dyDescent="0.25">
      <c r="A263">
        <v>26</v>
      </c>
      <c r="B263" s="77">
        <v>45005</v>
      </c>
      <c r="C263" t="s">
        <v>168</v>
      </c>
      <c r="D263" t="s">
        <v>198</v>
      </c>
      <c r="E263" s="78">
        <v>970</v>
      </c>
      <c r="F263" s="78">
        <v>0</v>
      </c>
      <c r="H263" s="78">
        <v>0</v>
      </c>
      <c r="I263" s="78">
        <v>0</v>
      </c>
      <c r="J263"/>
    </row>
    <row r="264" spans="1:10" hidden="1" x14ac:dyDescent="0.25">
      <c r="A264">
        <v>56</v>
      </c>
      <c r="B264" s="77">
        <v>44993</v>
      </c>
      <c r="C264" t="s">
        <v>168</v>
      </c>
      <c r="D264" t="s">
        <v>302</v>
      </c>
      <c r="E264" s="78">
        <v>1000</v>
      </c>
      <c r="F264" s="78">
        <v>0</v>
      </c>
      <c r="H264" s="78">
        <v>0</v>
      </c>
      <c r="I264" s="78">
        <v>0</v>
      </c>
      <c r="J264"/>
    </row>
    <row r="265" spans="1:10" hidden="1" x14ac:dyDescent="0.25">
      <c r="A265">
        <v>71</v>
      </c>
      <c r="B265" s="77">
        <v>44988</v>
      </c>
      <c r="C265" t="s">
        <v>168</v>
      </c>
      <c r="D265" t="s">
        <v>300</v>
      </c>
      <c r="E265" s="78">
        <v>1000</v>
      </c>
      <c r="F265" s="78">
        <v>0</v>
      </c>
      <c r="H265" s="78">
        <v>0</v>
      </c>
      <c r="I265" s="78">
        <v>0</v>
      </c>
      <c r="J265"/>
    </row>
    <row r="266" spans="1:10" hidden="1" x14ac:dyDescent="0.25">
      <c r="A266">
        <v>70</v>
      </c>
      <c r="B266" s="77">
        <v>44988</v>
      </c>
      <c r="C266" t="s">
        <v>168</v>
      </c>
      <c r="D266" t="s">
        <v>300</v>
      </c>
      <c r="E266" s="78">
        <v>1100</v>
      </c>
      <c r="F266" s="78">
        <v>0</v>
      </c>
      <c r="H266" s="78">
        <v>0</v>
      </c>
      <c r="I266" s="78">
        <v>0</v>
      </c>
      <c r="J266"/>
    </row>
    <row r="267" spans="1:10" hidden="1" x14ac:dyDescent="0.25">
      <c r="A267">
        <v>43</v>
      </c>
      <c r="B267" s="77">
        <v>44998</v>
      </c>
      <c r="C267" t="s">
        <v>168</v>
      </c>
      <c r="D267" t="s">
        <v>296</v>
      </c>
      <c r="E267" s="78">
        <v>1310</v>
      </c>
      <c r="F267" s="78">
        <v>0</v>
      </c>
      <c r="H267" s="78">
        <v>0</v>
      </c>
      <c r="I267" s="78">
        <v>0</v>
      </c>
      <c r="J267"/>
    </row>
    <row r="268" spans="1:10" hidden="1" x14ac:dyDescent="0.25">
      <c r="A268">
        <v>15</v>
      </c>
      <c r="B268" s="77">
        <v>45007</v>
      </c>
      <c r="C268" t="s">
        <v>168</v>
      </c>
      <c r="D268" t="s">
        <v>305</v>
      </c>
      <c r="E268" s="78">
        <v>1560</v>
      </c>
      <c r="F268" s="78">
        <v>0</v>
      </c>
      <c r="H268" s="78">
        <v>0</v>
      </c>
      <c r="I268" s="78">
        <v>0</v>
      </c>
      <c r="J268"/>
    </row>
    <row r="269" spans="1:10" hidden="1" x14ac:dyDescent="0.25">
      <c r="A269">
        <v>17</v>
      </c>
      <c r="B269" s="77">
        <v>45007</v>
      </c>
      <c r="C269" t="s">
        <v>168</v>
      </c>
      <c r="D269" t="s">
        <v>305</v>
      </c>
      <c r="E269" s="78">
        <v>1560</v>
      </c>
      <c r="F269" s="78">
        <v>0</v>
      </c>
      <c r="H269" s="78">
        <v>0</v>
      </c>
      <c r="I269" s="78">
        <v>0</v>
      </c>
      <c r="J269"/>
    </row>
    <row r="270" spans="1:10" hidden="1" x14ac:dyDescent="0.25">
      <c r="A270">
        <v>59</v>
      </c>
      <c r="B270" s="77">
        <v>44992</v>
      </c>
      <c r="C270" t="s">
        <v>168</v>
      </c>
      <c r="D270" t="s">
        <v>297</v>
      </c>
      <c r="E270" s="78">
        <v>1610</v>
      </c>
      <c r="F270" s="78">
        <v>0</v>
      </c>
      <c r="H270" s="78">
        <v>0</v>
      </c>
      <c r="I270" s="78">
        <v>0</v>
      </c>
      <c r="J270"/>
    </row>
    <row r="271" spans="1:10" hidden="1" x14ac:dyDescent="0.25">
      <c r="A271">
        <v>60</v>
      </c>
      <c r="B271" s="77">
        <v>44992</v>
      </c>
      <c r="C271" t="s">
        <v>168</v>
      </c>
      <c r="D271" t="s">
        <v>299</v>
      </c>
      <c r="E271" s="78">
        <v>1670</v>
      </c>
      <c r="F271" s="78">
        <v>0</v>
      </c>
      <c r="H271" s="78">
        <v>0</v>
      </c>
      <c r="I271" s="78">
        <v>0</v>
      </c>
      <c r="J271"/>
    </row>
    <row r="272" spans="1:10" hidden="1" x14ac:dyDescent="0.25">
      <c r="A272">
        <v>25</v>
      </c>
      <c r="B272" s="77">
        <v>45005</v>
      </c>
      <c r="C272" t="s">
        <v>168</v>
      </c>
      <c r="D272" t="s">
        <v>220</v>
      </c>
      <c r="E272" s="78">
        <v>1700</v>
      </c>
      <c r="F272" s="78">
        <v>0</v>
      </c>
      <c r="H272" s="78">
        <v>0</v>
      </c>
      <c r="I272" s="78">
        <v>0</v>
      </c>
      <c r="J272"/>
    </row>
    <row r="273" spans="1:10" hidden="1" x14ac:dyDescent="0.25">
      <c r="A273">
        <v>75</v>
      </c>
      <c r="B273" s="77">
        <v>44987</v>
      </c>
      <c r="C273" t="s">
        <v>168</v>
      </c>
      <c r="D273" t="s">
        <v>208</v>
      </c>
      <c r="E273" s="78">
        <v>1850</v>
      </c>
      <c r="F273" s="78">
        <v>0</v>
      </c>
      <c r="H273" s="78">
        <v>0</v>
      </c>
      <c r="I273" s="78">
        <v>0</v>
      </c>
      <c r="J273"/>
    </row>
    <row r="274" spans="1:10" hidden="1" x14ac:dyDescent="0.25">
      <c r="A274">
        <v>6</v>
      </c>
      <c r="B274" s="77">
        <v>45012</v>
      </c>
      <c r="C274" t="s">
        <v>168</v>
      </c>
      <c r="D274" t="s">
        <v>208</v>
      </c>
      <c r="E274" s="78">
        <v>2040</v>
      </c>
      <c r="F274" s="78">
        <v>0</v>
      </c>
      <c r="H274" s="78">
        <v>0</v>
      </c>
      <c r="I274" s="78">
        <v>0</v>
      </c>
      <c r="J274"/>
    </row>
    <row r="275" spans="1:10" hidden="1" x14ac:dyDescent="0.25">
      <c r="A275">
        <v>7</v>
      </c>
      <c r="B275" s="77">
        <v>45012</v>
      </c>
      <c r="C275" t="s">
        <v>168</v>
      </c>
      <c r="D275" t="s">
        <v>263</v>
      </c>
      <c r="E275" s="78">
        <v>2200</v>
      </c>
      <c r="F275" s="78">
        <v>0</v>
      </c>
      <c r="H275" s="78">
        <v>0</v>
      </c>
      <c r="I275" s="78">
        <v>0</v>
      </c>
      <c r="J275"/>
    </row>
    <row r="276" spans="1:10" hidden="1" x14ac:dyDescent="0.25">
      <c r="A276">
        <v>45</v>
      </c>
      <c r="B276" s="77">
        <v>44995</v>
      </c>
      <c r="C276" t="s">
        <v>168</v>
      </c>
      <c r="D276" t="s">
        <v>297</v>
      </c>
      <c r="E276" s="78">
        <v>2290</v>
      </c>
      <c r="F276" s="78">
        <v>0</v>
      </c>
      <c r="H276" s="78">
        <v>0</v>
      </c>
      <c r="I276" s="78">
        <v>0</v>
      </c>
      <c r="J276"/>
    </row>
    <row r="277" spans="1:10" hidden="1" x14ac:dyDescent="0.25">
      <c r="A277">
        <v>2</v>
      </c>
      <c r="B277" s="77">
        <v>45016</v>
      </c>
      <c r="C277" t="s">
        <v>171</v>
      </c>
      <c r="E277" s="78">
        <v>2354.39</v>
      </c>
      <c r="F277" s="78">
        <v>0</v>
      </c>
      <c r="H277" s="78">
        <v>0</v>
      </c>
      <c r="I277" s="78">
        <v>0</v>
      </c>
      <c r="J277"/>
    </row>
    <row r="278" spans="1:10" hidden="1" x14ac:dyDescent="0.25">
      <c r="A278">
        <v>34</v>
      </c>
      <c r="B278" s="77">
        <v>45002</v>
      </c>
      <c r="C278" t="s">
        <v>168</v>
      </c>
      <c r="D278" t="s">
        <v>293</v>
      </c>
      <c r="E278" s="78">
        <v>2500</v>
      </c>
      <c r="F278" s="78">
        <v>0</v>
      </c>
      <c r="H278" s="78">
        <v>0</v>
      </c>
      <c r="I278" s="78">
        <v>0</v>
      </c>
      <c r="J278"/>
    </row>
    <row r="279" spans="1:10" hidden="1" x14ac:dyDescent="0.25">
      <c r="A279">
        <v>9</v>
      </c>
      <c r="B279" s="77">
        <v>45012</v>
      </c>
      <c r="C279" t="s">
        <v>168</v>
      </c>
      <c r="D279" t="s">
        <v>201</v>
      </c>
      <c r="E279" s="78">
        <v>2630</v>
      </c>
      <c r="F279" s="78">
        <v>0</v>
      </c>
      <c r="H279" s="78">
        <v>0</v>
      </c>
      <c r="I279" s="78">
        <v>0</v>
      </c>
      <c r="J279"/>
    </row>
    <row r="280" spans="1:10" hidden="1" x14ac:dyDescent="0.25">
      <c r="A280">
        <v>16</v>
      </c>
      <c r="B280" s="77">
        <v>45007</v>
      </c>
      <c r="C280" t="s">
        <v>168</v>
      </c>
      <c r="D280" t="s">
        <v>306</v>
      </c>
      <c r="E280" s="78">
        <v>2800</v>
      </c>
      <c r="F280" s="78">
        <v>0</v>
      </c>
      <c r="H280" s="78">
        <v>0</v>
      </c>
      <c r="I280" s="78">
        <v>0</v>
      </c>
      <c r="J280"/>
    </row>
    <row r="281" spans="1:10" hidden="1" x14ac:dyDescent="0.25">
      <c r="A281">
        <v>42</v>
      </c>
      <c r="B281" s="77">
        <v>45000</v>
      </c>
      <c r="C281" t="s">
        <v>168</v>
      </c>
      <c r="D281" t="s">
        <v>213</v>
      </c>
      <c r="E281" s="78">
        <v>2926</v>
      </c>
      <c r="F281" s="78">
        <v>0</v>
      </c>
      <c r="H281" s="78">
        <v>0</v>
      </c>
      <c r="I281" s="78">
        <v>0</v>
      </c>
      <c r="J281"/>
    </row>
    <row r="282" spans="1:10" hidden="1" x14ac:dyDescent="0.25">
      <c r="A282">
        <v>62</v>
      </c>
      <c r="B282" s="77">
        <v>44991</v>
      </c>
      <c r="C282" t="s">
        <v>168</v>
      </c>
      <c r="D282" t="s">
        <v>201</v>
      </c>
      <c r="E282" s="78">
        <v>3044.25</v>
      </c>
      <c r="F282" s="78">
        <v>0</v>
      </c>
      <c r="H282" s="78">
        <v>0</v>
      </c>
      <c r="I282" s="78">
        <v>0</v>
      </c>
      <c r="J282"/>
    </row>
    <row r="283" spans="1:10" hidden="1" x14ac:dyDescent="0.25">
      <c r="A283">
        <v>13</v>
      </c>
      <c r="B283" s="77">
        <v>45008</v>
      </c>
      <c r="C283" t="s">
        <v>168</v>
      </c>
      <c r="D283" t="s">
        <v>297</v>
      </c>
      <c r="E283" s="78">
        <v>3130</v>
      </c>
      <c r="F283" s="78">
        <v>0</v>
      </c>
      <c r="H283" s="78">
        <v>0</v>
      </c>
      <c r="I283" s="78">
        <v>0</v>
      </c>
      <c r="J283"/>
    </row>
    <row r="284" spans="1:10" hidden="1" x14ac:dyDescent="0.25">
      <c r="A284">
        <v>27</v>
      </c>
      <c r="B284" s="77">
        <v>45005</v>
      </c>
      <c r="C284" t="s">
        <v>168</v>
      </c>
      <c r="D284" t="s">
        <v>173</v>
      </c>
      <c r="E284" s="78">
        <v>3263.9</v>
      </c>
      <c r="F284" s="78">
        <v>0</v>
      </c>
      <c r="H284" s="78">
        <v>0</v>
      </c>
      <c r="I284" s="78">
        <v>0</v>
      </c>
      <c r="J284"/>
    </row>
    <row r="285" spans="1:10" hidden="1" x14ac:dyDescent="0.25">
      <c r="A285">
        <v>40</v>
      </c>
      <c r="B285" s="77">
        <v>45000</v>
      </c>
      <c r="C285" t="s">
        <v>168</v>
      </c>
      <c r="D285" t="s">
        <v>303</v>
      </c>
      <c r="E285" s="78">
        <v>3394.07</v>
      </c>
      <c r="F285" s="78">
        <v>0</v>
      </c>
      <c r="H285" s="78">
        <v>0</v>
      </c>
      <c r="I285" s="78">
        <v>0</v>
      </c>
      <c r="J285"/>
    </row>
    <row r="286" spans="1:10" hidden="1" x14ac:dyDescent="0.25">
      <c r="A286">
        <v>79</v>
      </c>
      <c r="B286" s="77">
        <v>44986</v>
      </c>
      <c r="C286" t="s">
        <v>168</v>
      </c>
      <c r="D286" t="s">
        <v>213</v>
      </c>
      <c r="E286" s="78">
        <v>3539</v>
      </c>
      <c r="F286" s="78">
        <v>0</v>
      </c>
      <c r="H286" s="78">
        <v>0</v>
      </c>
      <c r="I286" s="78">
        <v>0</v>
      </c>
      <c r="J286"/>
    </row>
    <row r="287" spans="1:10" hidden="1" x14ac:dyDescent="0.25">
      <c r="A287">
        <v>18</v>
      </c>
      <c r="B287" s="77">
        <v>45006</v>
      </c>
      <c r="C287" t="s">
        <v>168</v>
      </c>
      <c r="D287" t="s">
        <v>306</v>
      </c>
      <c r="E287" s="78">
        <v>4200</v>
      </c>
      <c r="F287" s="78">
        <v>0</v>
      </c>
      <c r="H287" s="78">
        <v>0</v>
      </c>
      <c r="I287" s="78">
        <v>0</v>
      </c>
      <c r="J287"/>
    </row>
    <row r="288" spans="1:10" hidden="1" x14ac:dyDescent="0.25">
      <c r="A288">
        <v>37</v>
      </c>
      <c r="B288" s="77">
        <v>45001</v>
      </c>
      <c r="C288" t="s">
        <v>168</v>
      </c>
      <c r="D288" t="s">
        <v>294</v>
      </c>
      <c r="E288" s="78">
        <v>4500</v>
      </c>
      <c r="F288" s="78">
        <v>0</v>
      </c>
      <c r="H288" s="78">
        <v>0</v>
      </c>
      <c r="I288" s="78">
        <v>0</v>
      </c>
      <c r="J288"/>
    </row>
    <row r="289" spans="1:10" hidden="1" x14ac:dyDescent="0.25">
      <c r="A289">
        <v>31</v>
      </c>
      <c r="B289" s="77">
        <v>45005</v>
      </c>
      <c r="C289" t="s">
        <v>174</v>
      </c>
      <c r="D289" t="s">
        <v>271</v>
      </c>
      <c r="E289" s="78">
        <v>5000</v>
      </c>
      <c r="F289" s="78">
        <v>0</v>
      </c>
      <c r="H289" s="78">
        <v>0</v>
      </c>
      <c r="I289" s="78">
        <v>0</v>
      </c>
      <c r="J289"/>
    </row>
    <row r="290" spans="1:10" hidden="1" x14ac:dyDescent="0.25">
      <c r="A290">
        <v>38</v>
      </c>
      <c r="B290" s="77">
        <v>45001</v>
      </c>
      <c r="C290" t="s">
        <v>168</v>
      </c>
      <c r="D290" t="s">
        <v>208</v>
      </c>
      <c r="E290" s="78">
        <v>5320</v>
      </c>
      <c r="F290" s="78">
        <v>0</v>
      </c>
      <c r="H290" s="78">
        <v>0</v>
      </c>
      <c r="I290" s="78">
        <v>0</v>
      </c>
      <c r="J290"/>
    </row>
    <row r="291" spans="1:10" hidden="1" x14ac:dyDescent="0.25">
      <c r="A291">
        <v>51</v>
      </c>
      <c r="B291" s="77">
        <v>44994</v>
      </c>
      <c r="C291" t="s">
        <v>168</v>
      </c>
      <c r="D291" t="s">
        <v>298</v>
      </c>
      <c r="E291" s="78">
        <v>5500</v>
      </c>
      <c r="F291" s="78">
        <v>0</v>
      </c>
      <c r="H291" s="78">
        <v>0</v>
      </c>
      <c r="I291" s="78">
        <v>0</v>
      </c>
      <c r="J291"/>
    </row>
    <row r="292" spans="1:10" hidden="1" x14ac:dyDescent="0.25">
      <c r="A292">
        <v>19</v>
      </c>
      <c r="B292" s="77">
        <v>45006</v>
      </c>
      <c r="C292" t="s">
        <v>168</v>
      </c>
      <c r="D292" t="s">
        <v>307</v>
      </c>
      <c r="E292" s="78">
        <v>6800</v>
      </c>
      <c r="F292" s="78">
        <v>0</v>
      </c>
      <c r="H292" s="78">
        <v>0</v>
      </c>
      <c r="I292" s="78">
        <v>0</v>
      </c>
      <c r="J292"/>
    </row>
    <row r="293" spans="1:10" hidden="1" x14ac:dyDescent="0.25">
      <c r="A293">
        <v>80</v>
      </c>
      <c r="B293" s="77">
        <v>44986</v>
      </c>
      <c r="C293" t="s">
        <v>174</v>
      </c>
      <c r="D293" t="s">
        <v>315</v>
      </c>
      <c r="E293" s="78">
        <v>7000</v>
      </c>
      <c r="F293" s="78">
        <v>0</v>
      </c>
      <c r="H293" s="78">
        <v>0</v>
      </c>
      <c r="I293" s="78">
        <v>0</v>
      </c>
      <c r="J293"/>
    </row>
    <row r="294" spans="1:10" hidden="1" x14ac:dyDescent="0.25">
      <c r="A294">
        <v>41</v>
      </c>
      <c r="B294" s="77">
        <v>45000</v>
      </c>
      <c r="C294" t="s">
        <v>168</v>
      </c>
      <c r="D294" t="s">
        <v>295</v>
      </c>
      <c r="E294" s="78">
        <v>11800</v>
      </c>
      <c r="F294" s="78">
        <v>0</v>
      </c>
      <c r="H294" s="78">
        <v>0</v>
      </c>
      <c r="I294" s="78">
        <v>0</v>
      </c>
      <c r="J294"/>
    </row>
    <row r="295" spans="1:10" hidden="1" x14ac:dyDescent="0.25">
      <c r="A295">
        <v>30</v>
      </c>
      <c r="B295" s="77">
        <v>45005</v>
      </c>
      <c r="C295" t="s">
        <v>174</v>
      </c>
      <c r="D295" t="s">
        <v>271</v>
      </c>
      <c r="E295" s="78">
        <v>15000</v>
      </c>
      <c r="F295" s="78">
        <v>0</v>
      </c>
      <c r="H295" s="78">
        <v>0</v>
      </c>
      <c r="I295" s="78">
        <v>0</v>
      </c>
      <c r="J295"/>
    </row>
    <row r="296" spans="1:10" hidden="1" x14ac:dyDescent="0.25">
      <c r="A296">
        <v>32</v>
      </c>
      <c r="B296" s="77">
        <v>45005</v>
      </c>
      <c r="C296" t="s">
        <v>174</v>
      </c>
      <c r="D296" t="s">
        <v>317</v>
      </c>
      <c r="E296" s="78">
        <v>15000</v>
      </c>
      <c r="F296" s="78">
        <v>0</v>
      </c>
      <c r="H296" s="78">
        <v>0</v>
      </c>
      <c r="I296" s="78">
        <v>0</v>
      </c>
      <c r="J296"/>
    </row>
    <row r="297" spans="1:10" hidden="1" x14ac:dyDescent="0.25">
      <c r="A297">
        <v>44</v>
      </c>
      <c r="B297" s="77">
        <v>44998</v>
      </c>
      <c r="C297" t="s">
        <v>200</v>
      </c>
      <c r="D297" t="s">
        <v>310</v>
      </c>
      <c r="E297" s="78">
        <v>15000</v>
      </c>
      <c r="F297" s="78">
        <v>0</v>
      </c>
      <c r="H297" s="78">
        <v>0</v>
      </c>
      <c r="I297" s="78">
        <v>0</v>
      </c>
      <c r="J297"/>
    </row>
    <row r="298" spans="1:10" hidden="1" x14ac:dyDescent="0.25">
      <c r="A298">
        <v>69</v>
      </c>
      <c r="B298" s="77">
        <v>44991</v>
      </c>
      <c r="C298" t="s">
        <v>174</v>
      </c>
      <c r="D298" t="s">
        <v>314</v>
      </c>
      <c r="E298" s="78">
        <v>20000</v>
      </c>
      <c r="F298" s="78">
        <v>0</v>
      </c>
      <c r="H298" s="78">
        <v>0</v>
      </c>
      <c r="I298" s="78">
        <v>0</v>
      </c>
      <c r="J298"/>
    </row>
    <row r="299" spans="1:10" hidden="1" x14ac:dyDescent="0.25">
      <c r="A299">
        <v>68</v>
      </c>
      <c r="B299" s="77">
        <v>44991</v>
      </c>
      <c r="C299" t="s">
        <v>174</v>
      </c>
      <c r="D299" t="s">
        <v>197</v>
      </c>
      <c r="E299" s="78">
        <v>38000</v>
      </c>
      <c r="F299" s="78">
        <v>0</v>
      </c>
      <c r="H299" s="78">
        <v>0</v>
      </c>
      <c r="I299" s="78">
        <v>0</v>
      </c>
      <c r="J299"/>
    </row>
    <row r="300" spans="1:10" hidden="1" x14ac:dyDescent="0.25">
      <c r="A300">
        <v>12</v>
      </c>
      <c r="B300" s="77">
        <v>45012</v>
      </c>
      <c r="C300" t="s">
        <v>174</v>
      </c>
      <c r="D300" t="s">
        <v>271</v>
      </c>
      <c r="E300" s="78">
        <v>39000</v>
      </c>
      <c r="F300" s="78">
        <v>0</v>
      </c>
      <c r="H300" s="78">
        <v>0</v>
      </c>
      <c r="I300" s="78">
        <v>0</v>
      </c>
      <c r="J300"/>
    </row>
    <row r="301" spans="1:10" hidden="1" x14ac:dyDescent="0.25">
      <c r="A301">
        <v>78</v>
      </c>
      <c r="B301" s="77">
        <v>44987</v>
      </c>
      <c r="C301" t="s">
        <v>174</v>
      </c>
      <c r="D301" t="s">
        <v>314</v>
      </c>
      <c r="E301" s="78">
        <v>60000</v>
      </c>
      <c r="F301" s="78">
        <v>0</v>
      </c>
      <c r="H301" s="78">
        <v>0</v>
      </c>
      <c r="I301" s="78">
        <v>0</v>
      </c>
      <c r="J301"/>
    </row>
    <row r="302" spans="1:10" hidden="1" x14ac:dyDescent="0.25">
      <c r="A302">
        <v>5</v>
      </c>
      <c r="B302" s="77">
        <v>45014</v>
      </c>
      <c r="C302" t="s">
        <v>174</v>
      </c>
      <c r="D302" t="s">
        <v>316</v>
      </c>
      <c r="E302" s="78">
        <v>110000</v>
      </c>
      <c r="F302" s="78">
        <v>0</v>
      </c>
      <c r="H302" s="78">
        <v>0</v>
      </c>
      <c r="I302" s="78">
        <v>0</v>
      </c>
      <c r="J302"/>
    </row>
    <row r="303" spans="1:10" hidden="1" x14ac:dyDescent="0.25">
      <c r="A303">
        <v>55</v>
      </c>
      <c r="B303" s="77">
        <v>44993</v>
      </c>
      <c r="C303" t="s">
        <v>180</v>
      </c>
      <c r="D303" t="s">
        <v>181</v>
      </c>
      <c r="E303" s="78">
        <v>0</v>
      </c>
      <c r="F303" s="78">
        <v>63386.65</v>
      </c>
      <c r="H303" s="78">
        <v>0</v>
      </c>
      <c r="I303" s="78">
        <v>0</v>
      </c>
      <c r="J303"/>
    </row>
    <row r="304" spans="1:10" hidden="1" x14ac:dyDescent="0.25">
      <c r="A304">
        <v>49</v>
      </c>
      <c r="B304" s="77">
        <v>44995</v>
      </c>
      <c r="C304" t="s">
        <v>178</v>
      </c>
      <c r="D304" t="s">
        <v>179</v>
      </c>
      <c r="E304" s="78">
        <v>0</v>
      </c>
      <c r="F304" s="78">
        <v>210264.08</v>
      </c>
      <c r="H304" s="78">
        <v>0</v>
      </c>
      <c r="I304" s="78">
        <v>0</v>
      </c>
      <c r="J304"/>
    </row>
    <row r="305" spans="1:10" hidden="1" x14ac:dyDescent="0.25">
      <c r="A305">
        <v>33</v>
      </c>
      <c r="B305" s="77">
        <v>45005</v>
      </c>
      <c r="C305" t="s">
        <v>207</v>
      </c>
      <c r="E305" s="78">
        <v>0</v>
      </c>
      <c r="F305" s="78">
        <v>0</v>
      </c>
      <c r="H305" s="78">
        <v>1000000</v>
      </c>
      <c r="I305" s="78">
        <v>0</v>
      </c>
      <c r="J305"/>
    </row>
    <row r="306" spans="1:10" hidden="1" x14ac:dyDescent="0.25">
      <c r="A306">
        <v>53</v>
      </c>
      <c r="B306" s="77">
        <v>44994</v>
      </c>
      <c r="C306" t="s">
        <v>285</v>
      </c>
      <c r="D306" t="s">
        <v>311</v>
      </c>
      <c r="E306" s="78">
        <v>0</v>
      </c>
      <c r="F306" s="78">
        <v>0</v>
      </c>
      <c r="H306" s="78">
        <v>0</v>
      </c>
      <c r="I306" s="78">
        <v>100</v>
      </c>
      <c r="J306"/>
    </row>
    <row r="307" spans="1:10" hidden="1" x14ac:dyDescent="0.25">
      <c r="A307">
        <v>57</v>
      </c>
      <c r="B307" s="77">
        <v>44993</v>
      </c>
      <c r="C307" t="s">
        <v>285</v>
      </c>
      <c r="D307" t="s">
        <v>288</v>
      </c>
      <c r="E307" s="78">
        <v>0</v>
      </c>
      <c r="F307" s="78">
        <v>0</v>
      </c>
      <c r="H307" s="78">
        <v>0</v>
      </c>
      <c r="I307" s="78">
        <v>1000</v>
      </c>
      <c r="J307"/>
    </row>
    <row r="308" spans="1:10" hidden="1" x14ac:dyDescent="0.25">
      <c r="A308">
        <v>76</v>
      </c>
      <c r="B308" s="77">
        <v>44987</v>
      </c>
      <c r="C308" t="s">
        <v>185</v>
      </c>
      <c r="D308" t="s">
        <v>186</v>
      </c>
      <c r="E308" s="78">
        <v>0</v>
      </c>
      <c r="F308" s="78">
        <v>0</v>
      </c>
      <c r="H308" s="78">
        <v>0</v>
      </c>
      <c r="I308" s="78">
        <v>5000</v>
      </c>
      <c r="J308"/>
    </row>
    <row r="309" spans="1:10" hidden="1" x14ac:dyDescent="0.25">
      <c r="A309">
        <v>1</v>
      </c>
      <c r="B309" s="77">
        <v>45016</v>
      </c>
      <c r="C309" t="s">
        <v>185</v>
      </c>
      <c r="D309" t="s">
        <v>186</v>
      </c>
      <c r="E309" s="78">
        <v>0</v>
      </c>
      <c r="F309" s="78">
        <v>0</v>
      </c>
      <c r="H309" s="78">
        <v>0</v>
      </c>
      <c r="I309" s="78">
        <v>10000</v>
      </c>
      <c r="J309"/>
    </row>
    <row r="310" spans="1:10" hidden="1" x14ac:dyDescent="0.25">
      <c r="A310">
        <v>64</v>
      </c>
      <c r="B310" s="77">
        <v>44991</v>
      </c>
      <c r="C310" t="s">
        <v>285</v>
      </c>
      <c r="D310" t="s">
        <v>312</v>
      </c>
      <c r="E310" s="78">
        <v>0</v>
      </c>
      <c r="F310" s="78">
        <v>0</v>
      </c>
      <c r="H310" s="78">
        <v>0</v>
      </c>
      <c r="I310" s="78">
        <v>10000</v>
      </c>
      <c r="J310"/>
    </row>
    <row r="311" spans="1:10" hidden="1" x14ac:dyDescent="0.25">
      <c r="A311">
        <v>65</v>
      </c>
      <c r="B311" s="77">
        <v>44991</v>
      </c>
      <c r="C311" t="s">
        <v>285</v>
      </c>
      <c r="D311" t="s">
        <v>312</v>
      </c>
      <c r="E311" s="78">
        <v>0</v>
      </c>
      <c r="F311" s="78">
        <v>0</v>
      </c>
      <c r="H311" s="78">
        <v>0</v>
      </c>
      <c r="I311" s="78">
        <v>10000</v>
      </c>
      <c r="J311"/>
    </row>
    <row r="312" spans="1:10" hidden="1" x14ac:dyDescent="0.25">
      <c r="A312">
        <v>39</v>
      </c>
      <c r="B312" s="77">
        <v>45001</v>
      </c>
      <c r="C312" t="s">
        <v>285</v>
      </c>
      <c r="D312" t="s">
        <v>288</v>
      </c>
      <c r="E312" s="78">
        <v>0</v>
      </c>
      <c r="F312" s="78">
        <v>0</v>
      </c>
      <c r="H312" s="78">
        <v>0</v>
      </c>
      <c r="I312" s="78">
        <v>20000</v>
      </c>
      <c r="J312"/>
    </row>
    <row r="313" spans="1:10" hidden="1" x14ac:dyDescent="0.25">
      <c r="A313">
        <v>47</v>
      </c>
      <c r="B313" s="77">
        <v>44995</v>
      </c>
      <c r="C313" t="s">
        <v>285</v>
      </c>
      <c r="D313" t="s">
        <v>288</v>
      </c>
      <c r="E313" s="78">
        <v>0</v>
      </c>
      <c r="F313" s="78">
        <v>0</v>
      </c>
      <c r="H313" s="78">
        <v>0</v>
      </c>
      <c r="I313" s="78">
        <v>20000</v>
      </c>
      <c r="J313"/>
    </row>
    <row r="314" spans="1:10" hidden="1" x14ac:dyDescent="0.25">
      <c r="A314">
        <v>52</v>
      </c>
      <c r="B314" s="77">
        <v>44994</v>
      </c>
      <c r="C314" t="s">
        <v>185</v>
      </c>
      <c r="D314" t="s">
        <v>186</v>
      </c>
      <c r="E314" s="78">
        <v>0</v>
      </c>
      <c r="F314" s="78">
        <v>0</v>
      </c>
      <c r="H314" s="78">
        <v>0</v>
      </c>
      <c r="I314" s="78">
        <v>20000</v>
      </c>
      <c r="J314"/>
    </row>
    <row r="315" spans="1:10" hidden="1" x14ac:dyDescent="0.25">
      <c r="A315">
        <v>48</v>
      </c>
      <c r="B315" s="77">
        <v>44995</v>
      </c>
      <c r="C315" t="s">
        <v>285</v>
      </c>
      <c r="D315" t="s">
        <v>288</v>
      </c>
      <c r="E315" s="78">
        <v>0</v>
      </c>
      <c r="F315" s="78">
        <v>0</v>
      </c>
      <c r="H315" s="78">
        <v>0</v>
      </c>
      <c r="I315" s="78">
        <v>30000</v>
      </c>
      <c r="J315"/>
    </row>
    <row r="316" spans="1:10" hidden="1" x14ac:dyDescent="0.25">
      <c r="A316">
        <v>54</v>
      </c>
      <c r="B316" s="77">
        <v>44994</v>
      </c>
      <c r="C316" t="s">
        <v>313</v>
      </c>
      <c r="E316" s="78">
        <v>0</v>
      </c>
      <c r="F316" s="78">
        <v>0</v>
      </c>
      <c r="H316" s="78">
        <v>0</v>
      </c>
      <c r="I316" s="78">
        <v>30000</v>
      </c>
      <c r="J316"/>
    </row>
    <row r="317" spans="1:10" hidden="1" x14ac:dyDescent="0.25">
      <c r="A317" s="82"/>
      <c r="B317" s="81">
        <v>44995</v>
      </c>
      <c r="C317" s="82" t="s">
        <v>215</v>
      </c>
      <c r="D317" s="82"/>
      <c r="E317" s="78">
        <v>0</v>
      </c>
      <c r="F317" s="78">
        <v>0</v>
      </c>
      <c r="G317" s="79">
        <v>20559</v>
      </c>
      <c r="H317" s="78">
        <v>0</v>
      </c>
      <c r="I317" s="78">
        <v>0</v>
      </c>
      <c r="J317"/>
    </row>
    <row r="318" spans="1:10" hidden="1" x14ac:dyDescent="0.25">
      <c r="A318" s="82"/>
      <c r="B318" s="81">
        <v>44995</v>
      </c>
      <c r="C318" s="82" t="s">
        <v>205</v>
      </c>
      <c r="D318" s="82"/>
      <c r="E318" s="78">
        <v>0</v>
      </c>
      <c r="F318" s="78">
        <v>-20559</v>
      </c>
      <c r="H318" s="78">
        <v>0</v>
      </c>
      <c r="I318" s="78">
        <v>0</v>
      </c>
      <c r="J318"/>
    </row>
    <row r="319" spans="1:10" hidden="1" x14ac:dyDescent="0.25">
      <c r="A319">
        <v>2</v>
      </c>
      <c r="B319" s="77">
        <v>45107</v>
      </c>
      <c r="C319" t="s">
        <v>172</v>
      </c>
      <c r="E319" s="78">
        <v>494.42</v>
      </c>
      <c r="F319" s="78">
        <v>0</v>
      </c>
      <c r="H319" s="78">
        <v>0</v>
      </c>
      <c r="I319" s="78">
        <v>0</v>
      </c>
      <c r="J319"/>
    </row>
    <row r="320" spans="1:10" hidden="1" x14ac:dyDescent="0.25">
      <c r="A320">
        <v>12</v>
      </c>
      <c r="B320" s="77">
        <v>45099</v>
      </c>
      <c r="C320" t="s">
        <v>168</v>
      </c>
      <c r="D320" t="s">
        <v>198</v>
      </c>
      <c r="E320" s="78">
        <v>500</v>
      </c>
      <c r="F320" s="78">
        <v>0</v>
      </c>
      <c r="H320" s="78">
        <v>0</v>
      </c>
      <c r="I320" s="78">
        <v>0</v>
      </c>
      <c r="J320"/>
    </row>
    <row r="321" spans="1:10" hidden="1" x14ac:dyDescent="0.25">
      <c r="A321">
        <v>57</v>
      </c>
      <c r="B321" s="77">
        <v>45083</v>
      </c>
      <c r="C321" t="s">
        <v>168</v>
      </c>
      <c r="D321" t="s">
        <v>443</v>
      </c>
      <c r="E321" s="78">
        <v>500</v>
      </c>
      <c r="F321" s="78">
        <v>0</v>
      </c>
      <c r="H321" s="78">
        <v>0</v>
      </c>
      <c r="I321" s="78">
        <v>0</v>
      </c>
      <c r="J321"/>
    </row>
    <row r="322" spans="1:10" hidden="1" x14ac:dyDescent="0.25">
      <c r="A322">
        <v>67</v>
      </c>
      <c r="B322" s="77">
        <v>45082</v>
      </c>
      <c r="C322" t="s">
        <v>168</v>
      </c>
      <c r="D322" t="s">
        <v>259</v>
      </c>
      <c r="E322" s="78">
        <v>530</v>
      </c>
      <c r="F322" s="78">
        <v>0</v>
      </c>
      <c r="H322" s="78">
        <v>0</v>
      </c>
      <c r="I322" s="78">
        <v>0</v>
      </c>
      <c r="J322"/>
    </row>
    <row r="323" spans="1:10" hidden="1" x14ac:dyDescent="0.25">
      <c r="A323">
        <v>0</v>
      </c>
      <c r="B323" s="77">
        <v>45107</v>
      </c>
      <c r="C323" t="s">
        <v>168</v>
      </c>
      <c r="E323" s="78">
        <v>600</v>
      </c>
      <c r="F323" s="78">
        <v>0</v>
      </c>
      <c r="H323" s="78">
        <v>0</v>
      </c>
      <c r="I323" s="78">
        <v>0</v>
      </c>
      <c r="J323"/>
    </row>
    <row r="324" spans="1:10" hidden="1" x14ac:dyDescent="0.25">
      <c r="A324">
        <v>34</v>
      </c>
      <c r="B324" s="77">
        <v>45089</v>
      </c>
      <c r="C324" t="s">
        <v>168</v>
      </c>
      <c r="D324" t="s">
        <v>198</v>
      </c>
      <c r="E324" s="78">
        <v>830</v>
      </c>
      <c r="F324" s="78">
        <v>0</v>
      </c>
      <c r="H324" s="78">
        <v>0</v>
      </c>
      <c r="I324" s="78">
        <v>0</v>
      </c>
      <c r="J324"/>
    </row>
    <row r="325" spans="1:10" hidden="1" x14ac:dyDescent="0.25">
      <c r="A325">
        <v>29</v>
      </c>
      <c r="B325" s="77">
        <v>45090</v>
      </c>
      <c r="C325" t="s">
        <v>168</v>
      </c>
      <c r="D325" t="s">
        <v>198</v>
      </c>
      <c r="E325" s="78">
        <v>900</v>
      </c>
      <c r="F325" s="78">
        <v>0</v>
      </c>
      <c r="H325" s="78">
        <v>0</v>
      </c>
      <c r="I325" s="78">
        <v>0</v>
      </c>
      <c r="J325"/>
    </row>
    <row r="326" spans="1:10" hidden="1" x14ac:dyDescent="0.25">
      <c r="A326">
        <v>15</v>
      </c>
      <c r="B326" s="77">
        <v>45098</v>
      </c>
      <c r="C326" t="s">
        <v>168</v>
      </c>
      <c r="D326" t="s">
        <v>208</v>
      </c>
      <c r="E326" s="78">
        <v>1000</v>
      </c>
      <c r="F326" s="78">
        <v>0</v>
      </c>
      <c r="H326" s="78">
        <v>0</v>
      </c>
      <c r="I326" s="78">
        <v>0</v>
      </c>
      <c r="J326"/>
    </row>
    <row r="327" spans="1:10" hidden="1" x14ac:dyDescent="0.25">
      <c r="A327">
        <v>43</v>
      </c>
      <c r="B327" s="77">
        <v>45084</v>
      </c>
      <c r="C327" t="s">
        <v>168</v>
      </c>
      <c r="D327" t="s">
        <v>169</v>
      </c>
      <c r="E327" s="78">
        <v>1010</v>
      </c>
      <c r="F327" s="78">
        <v>0</v>
      </c>
      <c r="H327" s="78">
        <v>0</v>
      </c>
      <c r="I327" s="78">
        <v>0</v>
      </c>
      <c r="J327"/>
    </row>
    <row r="328" spans="1:10" hidden="1" x14ac:dyDescent="0.25">
      <c r="A328">
        <v>19</v>
      </c>
      <c r="B328" s="77">
        <v>45093</v>
      </c>
      <c r="C328" t="s">
        <v>168</v>
      </c>
      <c r="D328" t="s">
        <v>198</v>
      </c>
      <c r="E328" s="78">
        <v>1050</v>
      </c>
      <c r="F328" s="78">
        <v>0</v>
      </c>
      <c r="H328" s="78">
        <v>0</v>
      </c>
      <c r="I328" s="78">
        <v>0</v>
      </c>
      <c r="J328"/>
    </row>
    <row r="329" spans="1:10" hidden="1" x14ac:dyDescent="0.25">
      <c r="A329">
        <v>25</v>
      </c>
      <c r="B329" s="77">
        <v>45090</v>
      </c>
      <c r="C329" t="s">
        <v>168</v>
      </c>
      <c r="D329" t="s">
        <v>302</v>
      </c>
      <c r="E329" s="78">
        <v>1190</v>
      </c>
      <c r="F329" s="78">
        <v>0</v>
      </c>
      <c r="H329" s="78">
        <v>0</v>
      </c>
      <c r="I329" s="78">
        <v>0</v>
      </c>
      <c r="J329"/>
    </row>
    <row r="330" spans="1:10" hidden="1" x14ac:dyDescent="0.25">
      <c r="A330">
        <v>7</v>
      </c>
      <c r="B330" s="77">
        <v>45103</v>
      </c>
      <c r="C330" t="s">
        <v>168</v>
      </c>
      <c r="D330" t="s">
        <v>198</v>
      </c>
      <c r="E330" s="78">
        <v>1345</v>
      </c>
      <c r="F330" s="78">
        <v>0</v>
      </c>
      <c r="H330" s="78">
        <v>0</v>
      </c>
      <c r="I330" s="78">
        <v>0</v>
      </c>
      <c r="J330"/>
    </row>
    <row r="331" spans="1:10" hidden="1" x14ac:dyDescent="0.25">
      <c r="A331">
        <v>37</v>
      </c>
      <c r="B331" s="77">
        <v>45089</v>
      </c>
      <c r="C331" t="s">
        <v>168</v>
      </c>
      <c r="D331" t="s">
        <v>209</v>
      </c>
      <c r="E331" s="78">
        <v>1480</v>
      </c>
      <c r="F331" s="78">
        <v>0</v>
      </c>
      <c r="H331" s="78">
        <v>0</v>
      </c>
      <c r="I331" s="78">
        <v>0</v>
      </c>
      <c r="J331"/>
    </row>
    <row r="332" spans="1:10" hidden="1" x14ac:dyDescent="0.25">
      <c r="A332">
        <v>68</v>
      </c>
      <c r="B332" s="77">
        <v>45082</v>
      </c>
      <c r="C332" t="s">
        <v>168</v>
      </c>
      <c r="D332" t="s">
        <v>209</v>
      </c>
      <c r="E332" s="78">
        <v>1480</v>
      </c>
      <c r="F332" s="78">
        <v>0</v>
      </c>
      <c r="H332" s="78">
        <v>0</v>
      </c>
      <c r="I332" s="78">
        <v>0</v>
      </c>
      <c r="J332"/>
    </row>
    <row r="333" spans="1:10" hidden="1" x14ac:dyDescent="0.25">
      <c r="A333">
        <v>33</v>
      </c>
      <c r="B333" s="77">
        <v>45089</v>
      </c>
      <c r="C333" t="s">
        <v>168</v>
      </c>
      <c r="D333" t="s">
        <v>439</v>
      </c>
      <c r="E333" s="78">
        <v>1500</v>
      </c>
      <c r="F333" s="78">
        <v>0</v>
      </c>
      <c r="H333" s="78">
        <v>0</v>
      </c>
      <c r="I333" s="78">
        <v>0</v>
      </c>
      <c r="J333"/>
    </row>
    <row r="334" spans="1:10" hidden="1" x14ac:dyDescent="0.25">
      <c r="A334">
        <v>17</v>
      </c>
      <c r="B334" s="77">
        <v>45098</v>
      </c>
      <c r="C334" t="s">
        <v>168</v>
      </c>
      <c r="D334" t="s">
        <v>198</v>
      </c>
      <c r="E334" s="78">
        <v>1530</v>
      </c>
      <c r="F334" s="78">
        <v>0</v>
      </c>
      <c r="H334" s="78">
        <v>0</v>
      </c>
      <c r="I334" s="78">
        <v>0</v>
      </c>
      <c r="J334"/>
    </row>
    <row r="335" spans="1:10" hidden="1" x14ac:dyDescent="0.25">
      <c r="A335">
        <v>32</v>
      </c>
      <c r="B335" s="77">
        <v>45089</v>
      </c>
      <c r="C335" t="s">
        <v>168</v>
      </c>
      <c r="D335" t="s">
        <v>438</v>
      </c>
      <c r="E335" s="78">
        <v>1590</v>
      </c>
      <c r="F335" s="78">
        <v>0</v>
      </c>
      <c r="H335" s="78">
        <v>0</v>
      </c>
      <c r="I335" s="78">
        <v>0</v>
      </c>
      <c r="J335"/>
    </row>
    <row r="336" spans="1:10" hidden="1" x14ac:dyDescent="0.25">
      <c r="A336">
        <v>6</v>
      </c>
      <c r="B336" s="77">
        <v>45103</v>
      </c>
      <c r="C336" t="s">
        <v>168</v>
      </c>
      <c r="D336" t="s">
        <v>221</v>
      </c>
      <c r="E336" s="78">
        <v>1612</v>
      </c>
      <c r="F336" s="78">
        <v>0</v>
      </c>
      <c r="H336" s="78">
        <v>0</v>
      </c>
      <c r="I336" s="78">
        <v>0</v>
      </c>
      <c r="J336"/>
    </row>
    <row r="337" spans="1:10" hidden="1" x14ac:dyDescent="0.25">
      <c r="A337">
        <v>26</v>
      </c>
      <c r="B337" s="77">
        <v>45090</v>
      </c>
      <c r="C337" t="s">
        <v>168</v>
      </c>
      <c r="D337" t="s">
        <v>220</v>
      </c>
      <c r="E337" s="78">
        <v>1700</v>
      </c>
      <c r="F337" s="78">
        <v>0</v>
      </c>
      <c r="H337" s="78">
        <v>0</v>
      </c>
      <c r="I337" s="78">
        <v>0</v>
      </c>
      <c r="J337"/>
    </row>
    <row r="338" spans="1:10" hidden="1" x14ac:dyDescent="0.25">
      <c r="A338">
        <v>42</v>
      </c>
      <c r="B338" s="77">
        <v>45084</v>
      </c>
      <c r="C338" t="s">
        <v>168</v>
      </c>
      <c r="D338" t="s">
        <v>442</v>
      </c>
      <c r="E338" s="78">
        <v>1800</v>
      </c>
      <c r="F338" s="78">
        <v>0</v>
      </c>
      <c r="H338" s="78">
        <v>0</v>
      </c>
      <c r="I338" s="78">
        <v>0</v>
      </c>
      <c r="J338"/>
    </row>
    <row r="339" spans="1:10" hidden="1" x14ac:dyDescent="0.25">
      <c r="A339">
        <v>22</v>
      </c>
      <c r="B339" s="77">
        <v>45091</v>
      </c>
      <c r="C339" t="s">
        <v>168</v>
      </c>
      <c r="D339" t="s">
        <v>365</v>
      </c>
      <c r="E339" s="78">
        <v>1850</v>
      </c>
      <c r="F339" s="78">
        <v>0</v>
      </c>
      <c r="H339" s="78">
        <v>0</v>
      </c>
      <c r="I339" s="78">
        <v>0</v>
      </c>
      <c r="J339"/>
    </row>
    <row r="340" spans="1:10" hidden="1" x14ac:dyDescent="0.25">
      <c r="A340">
        <v>44</v>
      </c>
      <c r="B340" s="77">
        <v>45084</v>
      </c>
      <c r="C340" t="s">
        <v>168</v>
      </c>
      <c r="D340" t="s">
        <v>173</v>
      </c>
      <c r="E340" s="78">
        <v>2339.17</v>
      </c>
      <c r="F340" s="78">
        <v>0</v>
      </c>
      <c r="H340" s="78">
        <v>0</v>
      </c>
      <c r="I340" s="78">
        <v>0</v>
      </c>
      <c r="J340"/>
    </row>
    <row r="341" spans="1:10" hidden="1" x14ac:dyDescent="0.25">
      <c r="A341">
        <v>1</v>
      </c>
      <c r="B341" s="77">
        <v>45107</v>
      </c>
      <c r="C341" t="s">
        <v>171</v>
      </c>
      <c r="E341" s="78">
        <v>2354.39</v>
      </c>
      <c r="F341" s="78">
        <v>0</v>
      </c>
      <c r="H341" s="78">
        <v>0</v>
      </c>
      <c r="I341" s="78">
        <v>0</v>
      </c>
      <c r="J341"/>
    </row>
    <row r="342" spans="1:10" hidden="1" x14ac:dyDescent="0.25">
      <c r="A342">
        <v>39</v>
      </c>
      <c r="B342" s="77">
        <v>45086</v>
      </c>
      <c r="C342" t="s">
        <v>168</v>
      </c>
      <c r="D342" t="s">
        <v>441</v>
      </c>
      <c r="E342" s="78">
        <v>2450</v>
      </c>
      <c r="F342" s="78">
        <v>0</v>
      </c>
      <c r="H342" s="78">
        <v>0</v>
      </c>
      <c r="I342" s="78">
        <v>0</v>
      </c>
      <c r="J342"/>
    </row>
    <row r="343" spans="1:10" hidden="1" x14ac:dyDescent="0.25">
      <c r="A343">
        <v>27</v>
      </c>
      <c r="B343" s="77">
        <v>45090</v>
      </c>
      <c r="C343" t="s">
        <v>168</v>
      </c>
      <c r="D343" t="s">
        <v>437</v>
      </c>
      <c r="E343" s="78">
        <v>2780</v>
      </c>
      <c r="F343" s="78">
        <v>0</v>
      </c>
      <c r="H343" s="78">
        <v>0</v>
      </c>
      <c r="I343" s="78">
        <v>0</v>
      </c>
      <c r="J343"/>
    </row>
    <row r="344" spans="1:10" hidden="1" x14ac:dyDescent="0.25">
      <c r="A344">
        <v>71</v>
      </c>
      <c r="B344" s="77">
        <v>45078</v>
      </c>
      <c r="C344" t="s">
        <v>174</v>
      </c>
      <c r="D344" t="s">
        <v>386</v>
      </c>
      <c r="E344" s="78">
        <v>3000</v>
      </c>
      <c r="F344" s="78">
        <v>0</v>
      </c>
      <c r="H344" s="78">
        <v>0</v>
      </c>
      <c r="I344" s="78">
        <v>0</v>
      </c>
      <c r="J344"/>
    </row>
    <row r="345" spans="1:10" hidden="1" x14ac:dyDescent="0.25">
      <c r="A345">
        <v>14</v>
      </c>
      <c r="B345" s="77">
        <v>45099</v>
      </c>
      <c r="C345" t="s">
        <v>168</v>
      </c>
      <c r="D345" t="s">
        <v>375</v>
      </c>
      <c r="E345" s="78">
        <v>3260</v>
      </c>
      <c r="F345" s="78">
        <v>0</v>
      </c>
      <c r="H345" s="78">
        <v>0</v>
      </c>
      <c r="I345" s="78">
        <v>0</v>
      </c>
      <c r="J345"/>
    </row>
    <row r="346" spans="1:10" hidden="1" x14ac:dyDescent="0.25">
      <c r="A346">
        <v>36</v>
      </c>
      <c r="B346" s="77">
        <v>45089</v>
      </c>
      <c r="C346" t="s">
        <v>168</v>
      </c>
      <c r="D346" t="s">
        <v>208</v>
      </c>
      <c r="E346" s="78">
        <v>3780</v>
      </c>
      <c r="F346" s="78">
        <v>0</v>
      </c>
      <c r="H346" s="78">
        <v>0</v>
      </c>
      <c r="I346" s="78">
        <v>0</v>
      </c>
      <c r="J346"/>
    </row>
    <row r="347" spans="1:10" hidden="1" x14ac:dyDescent="0.25">
      <c r="A347">
        <v>18</v>
      </c>
      <c r="B347" s="77">
        <v>45093</v>
      </c>
      <c r="C347" t="s">
        <v>168</v>
      </c>
      <c r="D347" t="s">
        <v>444</v>
      </c>
      <c r="E347" s="78">
        <v>3800</v>
      </c>
      <c r="F347" s="78">
        <v>0</v>
      </c>
      <c r="H347" s="78">
        <v>0</v>
      </c>
      <c r="I347" s="78">
        <v>0</v>
      </c>
      <c r="J347"/>
    </row>
    <row r="348" spans="1:10" hidden="1" x14ac:dyDescent="0.25">
      <c r="A348">
        <v>3</v>
      </c>
      <c r="B348" s="77">
        <v>45106</v>
      </c>
      <c r="C348" t="s">
        <v>168</v>
      </c>
      <c r="D348" t="s">
        <v>173</v>
      </c>
      <c r="E348" s="78">
        <v>4309.5</v>
      </c>
      <c r="F348" s="78">
        <v>0</v>
      </c>
      <c r="H348" s="78">
        <v>0</v>
      </c>
      <c r="I348" s="78">
        <v>0</v>
      </c>
      <c r="J348"/>
    </row>
    <row r="349" spans="1:10" hidden="1" x14ac:dyDescent="0.25">
      <c r="A349">
        <v>35</v>
      </c>
      <c r="B349" s="77">
        <v>45089</v>
      </c>
      <c r="C349" t="s">
        <v>168</v>
      </c>
      <c r="D349" t="s">
        <v>440</v>
      </c>
      <c r="E349" s="78">
        <v>4734</v>
      </c>
      <c r="F349" s="78">
        <v>0</v>
      </c>
      <c r="H349" s="78">
        <v>0</v>
      </c>
      <c r="I349" s="78">
        <v>0</v>
      </c>
      <c r="J349"/>
    </row>
    <row r="350" spans="1:10" hidden="1" x14ac:dyDescent="0.25">
      <c r="A350">
        <v>13</v>
      </c>
      <c r="B350" s="77">
        <v>45099</v>
      </c>
      <c r="C350" t="s">
        <v>168</v>
      </c>
      <c r="D350" t="s">
        <v>213</v>
      </c>
      <c r="E350" s="78">
        <v>5193.03</v>
      </c>
      <c r="F350" s="78">
        <v>0</v>
      </c>
      <c r="H350" s="78">
        <v>0</v>
      </c>
      <c r="I350" s="78">
        <v>0</v>
      </c>
      <c r="J350"/>
    </row>
    <row r="351" spans="1:10" hidden="1" x14ac:dyDescent="0.25">
      <c r="A351">
        <v>28</v>
      </c>
      <c r="B351" s="77">
        <v>45090</v>
      </c>
      <c r="C351" t="s">
        <v>168</v>
      </c>
      <c r="D351" t="s">
        <v>213</v>
      </c>
      <c r="E351" s="78">
        <v>5654.96</v>
      </c>
      <c r="F351" s="78">
        <v>0</v>
      </c>
      <c r="H351" s="78">
        <v>0</v>
      </c>
      <c r="I351" s="78">
        <v>0</v>
      </c>
      <c r="J351"/>
    </row>
    <row r="352" spans="1:10" hidden="1" x14ac:dyDescent="0.25">
      <c r="A352">
        <v>60</v>
      </c>
      <c r="B352" s="77">
        <v>45083</v>
      </c>
      <c r="C352" t="s">
        <v>174</v>
      </c>
      <c r="D352" t="s">
        <v>387</v>
      </c>
      <c r="E352" s="78">
        <v>7000</v>
      </c>
      <c r="F352" s="78">
        <v>0</v>
      </c>
      <c r="H352" s="78">
        <v>0</v>
      </c>
      <c r="I352" s="78">
        <v>0</v>
      </c>
      <c r="J352"/>
    </row>
    <row r="353" spans="1:10" hidden="1" x14ac:dyDescent="0.25">
      <c r="A353">
        <v>45</v>
      </c>
      <c r="B353" s="77">
        <v>45084</v>
      </c>
      <c r="C353" t="s">
        <v>174</v>
      </c>
      <c r="D353" t="s">
        <v>457</v>
      </c>
      <c r="E353" s="78">
        <v>7756.31</v>
      </c>
      <c r="F353" s="78">
        <v>0</v>
      </c>
      <c r="H353" s="78">
        <v>0</v>
      </c>
      <c r="I353" s="78">
        <v>0</v>
      </c>
      <c r="J353"/>
    </row>
    <row r="354" spans="1:10" hidden="1" x14ac:dyDescent="0.25">
      <c r="A354">
        <v>16</v>
      </c>
      <c r="B354" s="77">
        <v>45098</v>
      </c>
      <c r="C354" t="s">
        <v>168</v>
      </c>
      <c r="D354" t="s">
        <v>437</v>
      </c>
      <c r="E354" s="78">
        <v>8760</v>
      </c>
      <c r="F354" s="78">
        <v>0</v>
      </c>
      <c r="H354" s="78">
        <v>0</v>
      </c>
      <c r="I354" s="78">
        <v>0</v>
      </c>
      <c r="J354"/>
    </row>
    <row r="355" spans="1:10" hidden="1" x14ac:dyDescent="0.25">
      <c r="A355">
        <v>20</v>
      </c>
      <c r="B355" s="77">
        <v>45093</v>
      </c>
      <c r="C355" t="s">
        <v>174</v>
      </c>
      <c r="D355" t="s">
        <v>197</v>
      </c>
      <c r="E355" s="78">
        <v>10000</v>
      </c>
      <c r="F355" s="78">
        <v>0</v>
      </c>
      <c r="H355" s="78">
        <v>0</v>
      </c>
      <c r="I355" s="78">
        <v>0</v>
      </c>
      <c r="J355"/>
    </row>
    <row r="356" spans="1:10" hidden="1" x14ac:dyDescent="0.25">
      <c r="A356">
        <v>24</v>
      </c>
      <c r="B356" s="77">
        <v>45091</v>
      </c>
      <c r="C356" t="s">
        <v>172</v>
      </c>
      <c r="E356" s="78">
        <v>18437.419999999998</v>
      </c>
      <c r="F356" s="78">
        <v>0</v>
      </c>
      <c r="H356" s="78">
        <v>0</v>
      </c>
      <c r="I356" s="78">
        <v>0</v>
      </c>
      <c r="J356"/>
    </row>
    <row r="357" spans="1:10" hidden="1" x14ac:dyDescent="0.25">
      <c r="A357">
        <v>23</v>
      </c>
      <c r="B357" s="77">
        <v>45091</v>
      </c>
      <c r="C357" t="s">
        <v>445</v>
      </c>
      <c r="E357" s="78">
        <v>87797.25</v>
      </c>
      <c r="F357" s="78">
        <v>0</v>
      </c>
      <c r="H357" s="78">
        <v>0</v>
      </c>
      <c r="I357" s="78">
        <v>0</v>
      </c>
      <c r="J357"/>
    </row>
    <row r="358" spans="1:10" hidden="1" x14ac:dyDescent="0.25">
      <c r="A358">
        <v>58</v>
      </c>
      <c r="B358" s="77">
        <v>45083</v>
      </c>
      <c r="C358" t="s">
        <v>336</v>
      </c>
      <c r="D358" t="s">
        <v>378</v>
      </c>
      <c r="E358" s="78">
        <v>0</v>
      </c>
      <c r="F358" s="78">
        <v>296181.01</v>
      </c>
      <c r="H358" s="78">
        <v>0</v>
      </c>
      <c r="I358" s="78">
        <v>0</v>
      </c>
      <c r="J358"/>
    </row>
    <row r="359" spans="1:10" hidden="1" x14ac:dyDescent="0.25">
      <c r="A359">
        <v>56</v>
      </c>
      <c r="B359" s="77">
        <v>45083</v>
      </c>
      <c r="C359" t="s">
        <v>180</v>
      </c>
      <c r="D359" t="s">
        <v>181</v>
      </c>
      <c r="E359" s="78">
        <v>0</v>
      </c>
      <c r="F359" s="78">
        <v>84741.32</v>
      </c>
      <c r="H359" s="78">
        <v>0</v>
      </c>
      <c r="I359" s="78">
        <v>0</v>
      </c>
      <c r="J359"/>
    </row>
    <row r="360" spans="1:10" hidden="1" x14ac:dyDescent="0.25">
      <c r="A360">
        <v>54</v>
      </c>
      <c r="B360" s="77">
        <v>45084</v>
      </c>
      <c r="C360" t="s">
        <v>380</v>
      </c>
      <c r="E360" s="78">
        <v>0</v>
      </c>
      <c r="F360" s="78">
        <v>0</v>
      </c>
      <c r="H360" s="78">
        <v>15210</v>
      </c>
      <c r="I360" s="78">
        <v>0</v>
      </c>
      <c r="J360"/>
    </row>
    <row r="361" spans="1:10" hidden="1" x14ac:dyDescent="0.25">
      <c r="A361">
        <v>55</v>
      </c>
      <c r="B361" s="77">
        <v>45084</v>
      </c>
      <c r="C361" t="s">
        <v>381</v>
      </c>
      <c r="E361" s="78">
        <v>0</v>
      </c>
      <c r="F361" s="78">
        <v>0</v>
      </c>
      <c r="H361" s="78">
        <v>17745</v>
      </c>
      <c r="I361" s="78">
        <v>0</v>
      </c>
      <c r="J361"/>
    </row>
    <row r="362" spans="1:10" hidden="1" x14ac:dyDescent="0.25">
      <c r="A362">
        <v>46</v>
      </c>
      <c r="B362" s="77">
        <v>45084</v>
      </c>
      <c r="C362" t="s">
        <v>379</v>
      </c>
      <c r="E362" s="78">
        <v>0</v>
      </c>
      <c r="F362" s="78">
        <v>0</v>
      </c>
      <c r="H362" s="78">
        <v>50700</v>
      </c>
      <c r="I362" s="78">
        <v>0</v>
      </c>
      <c r="J362"/>
    </row>
    <row r="363" spans="1:10" hidden="1" x14ac:dyDescent="0.25">
      <c r="A363">
        <v>4</v>
      </c>
      <c r="B363" s="77">
        <v>45104</v>
      </c>
      <c r="C363" t="s">
        <v>285</v>
      </c>
      <c r="D363" t="s">
        <v>288</v>
      </c>
      <c r="E363" s="78">
        <v>0</v>
      </c>
      <c r="F363" s="78">
        <v>0</v>
      </c>
      <c r="I363" s="78">
        <v>1000</v>
      </c>
      <c r="J363"/>
    </row>
    <row r="364" spans="1:10" hidden="1" x14ac:dyDescent="0.25">
      <c r="A364">
        <v>38</v>
      </c>
      <c r="B364" s="77">
        <v>45089</v>
      </c>
      <c r="C364" t="s">
        <v>285</v>
      </c>
      <c r="D364" t="s">
        <v>288</v>
      </c>
      <c r="E364" s="78">
        <v>0</v>
      </c>
      <c r="F364" s="78">
        <v>0</v>
      </c>
      <c r="I364" s="78">
        <v>1000</v>
      </c>
      <c r="J364"/>
    </row>
    <row r="365" spans="1:10" hidden="1" x14ac:dyDescent="0.25">
      <c r="A365">
        <v>5</v>
      </c>
      <c r="B365" s="77">
        <v>45104</v>
      </c>
      <c r="C365" t="s">
        <v>285</v>
      </c>
      <c r="D365" t="s">
        <v>288</v>
      </c>
      <c r="E365" s="78">
        <v>0</v>
      </c>
      <c r="F365" s="78">
        <v>0</v>
      </c>
      <c r="I365" s="78">
        <v>5000</v>
      </c>
      <c r="J365"/>
    </row>
    <row r="366" spans="1:10" hidden="1" x14ac:dyDescent="0.25">
      <c r="A366">
        <v>9</v>
      </c>
      <c r="B366" s="77">
        <v>45100</v>
      </c>
      <c r="C366" t="s">
        <v>285</v>
      </c>
      <c r="D366" t="s">
        <v>288</v>
      </c>
      <c r="E366" s="78">
        <v>0</v>
      </c>
      <c r="F366" s="78">
        <v>0</v>
      </c>
      <c r="I366" s="78">
        <v>5000</v>
      </c>
      <c r="J366"/>
    </row>
    <row r="367" spans="1:10" hidden="1" x14ac:dyDescent="0.25">
      <c r="A367">
        <v>10</v>
      </c>
      <c r="B367" s="77">
        <v>45100</v>
      </c>
      <c r="C367" t="s">
        <v>285</v>
      </c>
      <c r="D367" t="s">
        <v>288</v>
      </c>
      <c r="E367" s="78">
        <v>0</v>
      </c>
      <c r="F367" s="78">
        <v>0</v>
      </c>
      <c r="I367" s="78">
        <v>5000</v>
      </c>
      <c r="J367"/>
    </row>
    <row r="368" spans="1:10" hidden="1" x14ac:dyDescent="0.25">
      <c r="A368">
        <v>30</v>
      </c>
      <c r="B368" s="77">
        <v>45090</v>
      </c>
      <c r="C368" t="s">
        <v>185</v>
      </c>
      <c r="D368" t="s">
        <v>186</v>
      </c>
      <c r="E368" s="78">
        <v>0</v>
      </c>
      <c r="F368" s="78">
        <v>0</v>
      </c>
      <c r="I368" s="78">
        <v>5000</v>
      </c>
      <c r="J368"/>
    </row>
    <row r="369" spans="1:10" hidden="1" x14ac:dyDescent="0.25">
      <c r="A369">
        <v>70</v>
      </c>
      <c r="B369" s="77">
        <v>45078</v>
      </c>
      <c r="C369" t="s">
        <v>285</v>
      </c>
      <c r="D369" t="s">
        <v>288</v>
      </c>
      <c r="E369" s="78">
        <v>0</v>
      </c>
      <c r="F369" s="78">
        <v>0</v>
      </c>
      <c r="I369" s="78">
        <v>5000</v>
      </c>
      <c r="J369"/>
    </row>
    <row r="370" spans="1:10" hidden="1" x14ac:dyDescent="0.25">
      <c r="A370">
        <v>11</v>
      </c>
      <c r="B370" s="77">
        <v>45100</v>
      </c>
      <c r="C370" t="s">
        <v>285</v>
      </c>
      <c r="D370" t="s">
        <v>288</v>
      </c>
      <c r="E370" s="78">
        <v>0</v>
      </c>
      <c r="I370" s="78">
        <v>10000</v>
      </c>
      <c r="J370"/>
    </row>
    <row r="371" spans="1:10" hidden="1" x14ac:dyDescent="0.25">
      <c r="A371">
        <v>21</v>
      </c>
      <c r="B371" s="77">
        <v>45092</v>
      </c>
      <c r="C371" t="s">
        <v>285</v>
      </c>
      <c r="D371" t="s">
        <v>288</v>
      </c>
      <c r="E371" s="78">
        <v>0</v>
      </c>
      <c r="I371" s="78">
        <v>10000</v>
      </c>
      <c r="J371"/>
    </row>
    <row r="372" spans="1:10" hidden="1" x14ac:dyDescent="0.25">
      <c r="A372">
        <v>41</v>
      </c>
      <c r="B372" s="77">
        <v>45085</v>
      </c>
      <c r="C372" t="s">
        <v>285</v>
      </c>
      <c r="D372" t="s">
        <v>288</v>
      </c>
      <c r="E372" s="78">
        <v>0</v>
      </c>
      <c r="I372" s="78">
        <v>10000</v>
      </c>
      <c r="J372"/>
    </row>
    <row r="373" spans="1:10" hidden="1" x14ac:dyDescent="0.25">
      <c r="A373">
        <v>8</v>
      </c>
      <c r="B373" s="77">
        <v>45100</v>
      </c>
      <c r="C373" t="s">
        <v>185</v>
      </c>
      <c r="D373" t="s">
        <v>186</v>
      </c>
      <c r="E373" s="78">
        <v>0</v>
      </c>
      <c r="I373" s="78">
        <v>12000</v>
      </c>
      <c r="J373"/>
    </row>
    <row r="374" spans="1:10" hidden="1" x14ac:dyDescent="0.25">
      <c r="A374">
        <v>31</v>
      </c>
      <c r="B374" s="77">
        <v>45090</v>
      </c>
      <c r="C374" t="s">
        <v>185</v>
      </c>
      <c r="D374" t="s">
        <v>186</v>
      </c>
      <c r="E374" s="78">
        <v>0</v>
      </c>
      <c r="I374" s="78">
        <v>12000</v>
      </c>
      <c r="J374"/>
    </row>
    <row r="375" spans="1:10" hidden="1" x14ac:dyDescent="0.25">
      <c r="A375" s="82">
        <v>900</v>
      </c>
      <c r="B375" s="81">
        <v>45107</v>
      </c>
      <c r="C375" s="82" t="s">
        <v>357</v>
      </c>
      <c r="D375" s="82" t="s">
        <v>358</v>
      </c>
      <c r="E375" s="78">
        <v>0</v>
      </c>
      <c r="F375" s="79">
        <v>-23299</v>
      </c>
      <c r="J375"/>
    </row>
    <row r="376" spans="1:10" hidden="1" x14ac:dyDescent="0.25">
      <c r="B376" s="77"/>
      <c r="J376"/>
    </row>
    <row r="377" spans="1:10" hidden="1" x14ac:dyDescent="0.25">
      <c r="B377" s="77"/>
      <c r="J377"/>
    </row>
    <row r="378" spans="1:10" hidden="1" x14ac:dyDescent="0.25">
      <c r="B378" s="77"/>
      <c r="J378"/>
    </row>
    <row r="379" spans="1:10" hidden="1" x14ac:dyDescent="0.25">
      <c r="B379" s="77"/>
      <c r="J379"/>
    </row>
    <row r="380" spans="1:10" hidden="1" x14ac:dyDescent="0.25">
      <c r="B380" s="77"/>
      <c r="J380"/>
    </row>
    <row r="381" spans="1:10" hidden="1" x14ac:dyDescent="0.25">
      <c r="B381" s="77"/>
      <c r="J381"/>
    </row>
    <row r="382" spans="1:10" hidden="1" x14ac:dyDescent="0.25">
      <c r="B382" s="77"/>
      <c r="J382"/>
    </row>
    <row r="383" spans="1:10" hidden="1" x14ac:dyDescent="0.25">
      <c r="B383" s="77"/>
      <c r="J383"/>
    </row>
    <row r="384" spans="1:10" hidden="1" x14ac:dyDescent="0.25">
      <c r="B384" s="77"/>
      <c r="J384"/>
    </row>
    <row r="385" spans="1:10" hidden="1" x14ac:dyDescent="0.25">
      <c r="B385" s="77"/>
      <c r="J385"/>
    </row>
    <row r="386" spans="1:10" hidden="1" x14ac:dyDescent="0.25">
      <c r="B386" s="77"/>
      <c r="J386"/>
    </row>
    <row r="387" spans="1:10" hidden="1" x14ac:dyDescent="0.25">
      <c r="B387" s="77"/>
      <c r="J387"/>
    </row>
    <row r="388" spans="1:10" hidden="1" x14ac:dyDescent="0.25">
      <c r="B388" s="77"/>
      <c r="J388"/>
    </row>
    <row r="389" spans="1:10" hidden="1" x14ac:dyDescent="0.25">
      <c r="B389" s="77"/>
      <c r="J389"/>
    </row>
    <row r="390" spans="1:10" hidden="1" x14ac:dyDescent="0.25">
      <c r="B390" s="77"/>
      <c r="J390"/>
    </row>
    <row r="391" spans="1:10" hidden="1" x14ac:dyDescent="0.25">
      <c r="B391" s="77"/>
      <c r="J391"/>
    </row>
    <row r="392" spans="1:10" hidden="1" x14ac:dyDescent="0.25">
      <c r="A392">
        <v>41</v>
      </c>
      <c r="B392" s="77">
        <v>45121</v>
      </c>
      <c r="C392" t="s">
        <v>168</v>
      </c>
      <c r="D392" t="s">
        <v>218</v>
      </c>
      <c r="E392" s="78">
        <v>251.03</v>
      </c>
    </row>
    <row r="393" spans="1:10" hidden="1" x14ac:dyDescent="0.25">
      <c r="A393">
        <v>50</v>
      </c>
      <c r="B393" s="77">
        <v>45119</v>
      </c>
      <c r="C393" t="s">
        <v>168</v>
      </c>
      <c r="D393" t="s">
        <v>374</v>
      </c>
      <c r="E393" s="78">
        <v>434.01</v>
      </c>
    </row>
    <row r="394" spans="1:10" hidden="1" x14ac:dyDescent="0.25">
      <c r="A394">
        <v>4</v>
      </c>
      <c r="B394" s="77">
        <v>45138</v>
      </c>
      <c r="C394" t="s">
        <v>172</v>
      </c>
      <c r="E394" s="78">
        <v>603.19000000000005</v>
      </c>
    </row>
    <row r="395" spans="1:10" hidden="1" x14ac:dyDescent="0.25">
      <c r="A395">
        <v>52</v>
      </c>
      <c r="B395" s="77">
        <v>45117</v>
      </c>
      <c r="C395" t="s">
        <v>168</v>
      </c>
      <c r="D395" t="s">
        <v>198</v>
      </c>
      <c r="E395" s="78">
        <v>650</v>
      </c>
    </row>
    <row r="396" spans="1:10" hidden="1" x14ac:dyDescent="0.25">
      <c r="A396">
        <v>29</v>
      </c>
      <c r="B396" s="77">
        <v>45126</v>
      </c>
      <c r="C396" t="s">
        <v>168</v>
      </c>
      <c r="D396" t="s">
        <v>365</v>
      </c>
      <c r="E396" s="78">
        <v>760</v>
      </c>
    </row>
    <row r="397" spans="1:10" hidden="1" x14ac:dyDescent="0.25">
      <c r="A397">
        <v>25</v>
      </c>
      <c r="B397" s="77">
        <v>45128</v>
      </c>
      <c r="C397" t="s">
        <v>168</v>
      </c>
      <c r="D397" t="s">
        <v>198</v>
      </c>
      <c r="E397" s="78">
        <v>1050</v>
      </c>
    </row>
    <row r="398" spans="1:10" hidden="1" x14ac:dyDescent="0.25">
      <c r="A398">
        <v>67</v>
      </c>
      <c r="B398" s="77">
        <v>45113</v>
      </c>
      <c r="C398" t="s">
        <v>168</v>
      </c>
      <c r="D398" t="s">
        <v>198</v>
      </c>
      <c r="E398" s="78">
        <v>1160</v>
      </c>
    </row>
    <row r="399" spans="1:10" hidden="1" x14ac:dyDescent="0.25">
      <c r="A399">
        <v>65</v>
      </c>
      <c r="B399" s="77">
        <v>45114</v>
      </c>
      <c r="C399" t="s">
        <v>168</v>
      </c>
      <c r="D399" t="s">
        <v>198</v>
      </c>
      <c r="E399" s="78">
        <v>1185</v>
      </c>
    </row>
    <row r="400" spans="1:10" hidden="1" x14ac:dyDescent="0.25">
      <c r="A400">
        <v>21</v>
      </c>
      <c r="B400" s="77">
        <v>45131</v>
      </c>
      <c r="C400" t="s">
        <v>174</v>
      </c>
      <c r="D400" t="s">
        <v>505</v>
      </c>
      <c r="E400" s="78">
        <v>1200</v>
      </c>
    </row>
    <row r="401" spans="1:5" hidden="1" x14ac:dyDescent="0.25">
      <c r="A401">
        <v>62</v>
      </c>
      <c r="B401" s="77">
        <v>45114</v>
      </c>
      <c r="C401" t="s">
        <v>168</v>
      </c>
      <c r="D401" t="s">
        <v>263</v>
      </c>
      <c r="E401" s="78">
        <v>1200</v>
      </c>
    </row>
    <row r="402" spans="1:5" hidden="1" x14ac:dyDescent="0.25">
      <c r="A402">
        <v>20</v>
      </c>
      <c r="B402" s="77">
        <v>45131</v>
      </c>
      <c r="C402" t="s">
        <v>168</v>
      </c>
      <c r="D402" t="s">
        <v>238</v>
      </c>
      <c r="E402" s="78">
        <v>1210</v>
      </c>
    </row>
    <row r="403" spans="1:5" hidden="1" x14ac:dyDescent="0.25">
      <c r="A403">
        <v>54</v>
      </c>
      <c r="B403" s="77">
        <v>45117</v>
      </c>
      <c r="C403" t="s">
        <v>168</v>
      </c>
      <c r="D403" t="s">
        <v>198</v>
      </c>
      <c r="E403" s="78">
        <v>1340</v>
      </c>
    </row>
    <row r="404" spans="1:5" hidden="1" x14ac:dyDescent="0.25">
      <c r="A404">
        <v>76</v>
      </c>
      <c r="B404" s="77">
        <v>45110</v>
      </c>
      <c r="C404" t="s">
        <v>168</v>
      </c>
      <c r="D404" t="s">
        <v>198</v>
      </c>
      <c r="E404" s="78">
        <v>1340</v>
      </c>
    </row>
    <row r="405" spans="1:5" hidden="1" x14ac:dyDescent="0.25">
      <c r="A405">
        <v>2</v>
      </c>
      <c r="B405" s="77">
        <v>45138</v>
      </c>
      <c r="C405" t="s">
        <v>168</v>
      </c>
      <c r="D405" t="s">
        <v>201</v>
      </c>
      <c r="E405" s="78">
        <v>1350</v>
      </c>
    </row>
    <row r="406" spans="1:5" hidden="1" x14ac:dyDescent="0.25">
      <c r="A406">
        <v>44</v>
      </c>
      <c r="B406" s="77">
        <v>45121</v>
      </c>
      <c r="C406" t="s">
        <v>168</v>
      </c>
      <c r="D406" t="s">
        <v>198</v>
      </c>
      <c r="E406" s="78">
        <v>1520</v>
      </c>
    </row>
    <row r="407" spans="1:5" hidden="1" x14ac:dyDescent="0.25">
      <c r="A407">
        <v>33</v>
      </c>
      <c r="B407" s="77">
        <v>45125</v>
      </c>
      <c r="C407" t="s">
        <v>168</v>
      </c>
      <c r="D407" t="s">
        <v>198</v>
      </c>
      <c r="E407" s="78">
        <v>1700</v>
      </c>
    </row>
    <row r="408" spans="1:5" hidden="1" x14ac:dyDescent="0.25">
      <c r="A408">
        <v>17</v>
      </c>
      <c r="B408" s="77">
        <v>45131</v>
      </c>
      <c r="C408" t="s">
        <v>168</v>
      </c>
      <c r="D408" t="s">
        <v>198</v>
      </c>
      <c r="E408" s="78">
        <v>1790</v>
      </c>
    </row>
    <row r="409" spans="1:5" hidden="1" x14ac:dyDescent="0.25">
      <c r="A409">
        <v>18</v>
      </c>
      <c r="B409" s="77">
        <v>45131</v>
      </c>
      <c r="C409" t="s">
        <v>168</v>
      </c>
      <c r="D409" t="s">
        <v>219</v>
      </c>
      <c r="E409" s="78">
        <v>1800</v>
      </c>
    </row>
    <row r="410" spans="1:5" hidden="1" x14ac:dyDescent="0.25">
      <c r="A410">
        <v>39</v>
      </c>
      <c r="B410" s="77">
        <v>45124</v>
      </c>
      <c r="C410" t="s">
        <v>200</v>
      </c>
      <c r="D410" t="s">
        <v>489</v>
      </c>
      <c r="E410" s="78">
        <v>1800</v>
      </c>
    </row>
    <row r="411" spans="1:5" hidden="1" x14ac:dyDescent="0.25">
      <c r="A411">
        <v>46</v>
      </c>
      <c r="B411" s="77">
        <v>45120</v>
      </c>
      <c r="C411" t="s">
        <v>168</v>
      </c>
      <c r="D411" t="s">
        <v>326</v>
      </c>
      <c r="E411" s="78">
        <v>1840</v>
      </c>
    </row>
    <row r="412" spans="1:5" hidden="1" x14ac:dyDescent="0.25">
      <c r="A412">
        <v>26</v>
      </c>
      <c r="B412" s="77">
        <v>45128</v>
      </c>
      <c r="C412" t="s">
        <v>168</v>
      </c>
      <c r="D412" t="s">
        <v>301</v>
      </c>
      <c r="E412" s="78">
        <v>1960</v>
      </c>
    </row>
    <row r="413" spans="1:5" hidden="1" x14ac:dyDescent="0.25">
      <c r="A413">
        <v>49</v>
      </c>
      <c r="B413" s="77">
        <v>45119</v>
      </c>
      <c r="C413" t="s">
        <v>168</v>
      </c>
      <c r="D413" t="s">
        <v>438</v>
      </c>
      <c r="E413" s="78">
        <v>2000</v>
      </c>
    </row>
    <row r="414" spans="1:5" hidden="1" x14ac:dyDescent="0.25">
      <c r="A414">
        <v>43</v>
      </c>
      <c r="B414" s="77">
        <v>45121</v>
      </c>
      <c r="C414" t="s">
        <v>168</v>
      </c>
      <c r="D414" t="s">
        <v>218</v>
      </c>
      <c r="E414" s="78">
        <v>2092.77</v>
      </c>
    </row>
    <row r="415" spans="1:5" hidden="1" x14ac:dyDescent="0.25">
      <c r="A415">
        <v>6</v>
      </c>
      <c r="B415" s="77">
        <v>45135</v>
      </c>
      <c r="C415" t="s">
        <v>168</v>
      </c>
      <c r="D415" t="s">
        <v>220</v>
      </c>
      <c r="E415" s="78">
        <v>2100</v>
      </c>
    </row>
    <row r="416" spans="1:5" hidden="1" x14ac:dyDescent="0.25">
      <c r="A416">
        <v>1</v>
      </c>
      <c r="B416" s="77">
        <v>45138</v>
      </c>
      <c r="C416" t="s">
        <v>168</v>
      </c>
      <c r="D416" t="s">
        <v>488</v>
      </c>
      <c r="E416" s="78">
        <v>2300</v>
      </c>
    </row>
    <row r="417" spans="1:5" hidden="1" x14ac:dyDescent="0.25">
      <c r="A417">
        <v>24</v>
      </c>
      <c r="B417" s="77">
        <v>45128</v>
      </c>
      <c r="C417" t="s">
        <v>168</v>
      </c>
      <c r="D417" t="s">
        <v>485</v>
      </c>
      <c r="E417" s="78">
        <v>2500</v>
      </c>
    </row>
    <row r="418" spans="1:5" hidden="1" x14ac:dyDescent="0.25">
      <c r="A418">
        <v>63</v>
      </c>
      <c r="B418" s="77">
        <v>45114</v>
      </c>
      <c r="C418" t="s">
        <v>168</v>
      </c>
      <c r="D418" t="s">
        <v>483</v>
      </c>
      <c r="E418" s="78">
        <v>2550</v>
      </c>
    </row>
    <row r="419" spans="1:5" hidden="1" x14ac:dyDescent="0.25">
      <c r="A419">
        <v>74</v>
      </c>
      <c r="B419" s="77">
        <v>45111</v>
      </c>
      <c r="C419" t="s">
        <v>168</v>
      </c>
      <c r="D419" t="s">
        <v>208</v>
      </c>
      <c r="E419" s="78">
        <v>2810</v>
      </c>
    </row>
    <row r="420" spans="1:5" hidden="1" x14ac:dyDescent="0.25">
      <c r="A420">
        <v>3</v>
      </c>
      <c r="B420" s="77">
        <v>45138</v>
      </c>
      <c r="C420" t="s">
        <v>171</v>
      </c>
      <c r="E420" s="78">
        <v>2872.35</v>
      </c>
    </row>
    <row r="421" spans="1:5" hidden="1" x14ac:dyDescent="0.25">
      <c r="A421">
        <v>27</v>
      </c>
      <c r="B421" s="77">
        <v>45128</v>
      </c>
      <c r="C421" t="s">
        <v>168</v>
      </c>
      <c r="D421" t="s">
        <v>335</v>
      </c>
      <c r="E421" s="78">
        <v>2900</v>
      </c>
    </row>
    <row r="422" spans="1:5" hidden="1" x14ac:dyDescent="0.25">
      <c r="A422">
        <v>73</v>
      </c>
      <c r="B422" s="77">
        <v>45111</v>
      </c>
      <c r="C422" t="s">
        <v>168</v>
      </c>
      <c r="D422" t="s">
        <v>479</v>
      </c>
      <c r="E422" s="78">
        <v>2942.65</v>
      </c>
    </row>
    <row r="423" spans="1:5" hidden="1" x14ac:dyDescent="0.25">
      <c r="A423">
        <v>5</v>
      </c>
      <c r="B423" s="77">
        <v>45135</v>
      </c>
      <c r="C423" t="s">
        <v>168</v>
      </c>
      <c r="D423" t="s">
        <v>173</v>
      </c>
      <c r="E423" s="78">
        <v>3145.33</v>
      </c>
    </row>
    <row r="424" spans="1:5" hidden="1" x14ac:dyDescent="0.25">
      <c r="A424">
        <v>48</v>
      </c>
      <c r="B424" s="77">
        <v>45119</v>
      </c>
      <c r="C424" t="s">
        <v>168</v>
      </c>
      <c r="D424" t="s">
        <v>481</v>
      </c>
      <c r="E424" s="78">
        <v>3300</v>
      </c>
    </row>
    <row r="425" spans="1:5" hidden="1" x14ac:dyDescent="0.25">
      <c r="A425">
        <v>11</v>
      </c>
      <c r="B425" s="77">
        <v>45134</v>
      </c>
      <c r="C425" t="s">
        <v>168</v>
      </c>
      <c r="D425" t="s">
        <v>176</v>
      </c>
      <c r="E425" s="78">
        <v>3742.02</v>
      </c>
    </row>
    <row r="426" spans="1:5" hidden="1" x14ac:dyDescent="0.25">
      <c r="A426">
        <v>38</v>
      </c>
      <c r="B426" s="77">
        <v>45124</v>
      </c>
      <c r="C426" t="s">
        <v>168</v>
      </c>
      <c r="D426" t="s">
        <v>480</v>
      </c>
      <c r="E426" s="78">
        <v>3780</v>
      </c>
    </row>
    <row r="427" spans="1:5" hidden="1" x14ac:dyDescent="0.25">
      <c r="A427">
        <v>47</v>
      </c>
      <c r="B427" s="77">
        <v>45120</v>
      </c>
      <c r="C427" t="s">
        <v>174</v>
      </c>
      <c r="D427" t="s">
        <v>504</v>
      </c>
      <c r="E427" s="78">
        <v>3890</v>
      </c>
    </row>
    <row r="428" spans="1:5" hidden="1" x14ac:dyDescent="0.25">
      <c r="A428">
        <v>19</v>
      </c>
      <c r="B428" s="77">
        <v>45131</v>
      </c>
      <c r="C428" t="s">
        <v>168</v>
      </c>
      <c r="D428" t="s">
        <v>486</v>
      </c>
      <c r="E428" s="78">
        <v>4380</v>
      </c>
    </row>
    <row r="429" spans="1:5" hidden="1" x14ac:dyDescent="0.25">
      <c r="A429">
        <v>53</v>
      </c>
      <c r="B429" s="77">
        <v>45117</v>
      </c>
      <c r="C429" t="s">
        <v>168</v>
      </c>
      <c r="D429" t="s">
        <v>201</v>
      </c>
      <c r="E429" s="78">
        <v>4385.05</v>
      </c>
    </row>
    <row r="430" spans="1:5" hidden="1" x14ac:dyDescent="0.25">
      <c r="A430">
        <v>15</v>
      </c>
      <c r="B430" s="77">
        <v>45133</v>
      </c>
      <c r="C430" t="s">
        <v>174</v>
      </c>
      <c r="D430" t="s">
        <v>387</v>
      </c>
      <c r="E430" s="78">
        <v>4800</v>
      </c>
    </row>
    <row r="431" spans="1:5" hidden="1" x14ac:dyDescent="0.25">
      <c r="A431">
        <v>0</v>
      </c>
      <c r="B431" s="77">
        <v>45138</v>
      </c>
      <c r="C431" t="s">
        <v>168</v>
      </c>
      <c r="D431" t="s">
        <v>484</v>
      </c>
      <c r="E431" s="78">
        <v>5400</v>
      </c>
    </row>
    <row r="432" spans="1:5" hidden="1" x14ac:dyDescent="0.25">
      <c r="A432">
        <v>12</v>
      </c>
      <c r="B432" s="77">
        <v>45134</v>
      </c>
      <c r="C432" t="s">
        <v>168</v>
      </c>
      <c r="D432" t="s">
        <v>487</v>
      </c>
      <c r="E432" s="78">
        <v>5434.99</v>
      </c>
    </row>
    <row r="433" spans="1:10" hidden="1" x14ac:dyDescent="0.25">
      <c r="A433">
        <v>64</v>
      </c>
      <c r="B433" s="77">
        <v>45114</v>
      </c>
      <c r="C433" t="s">
        <v>168</v>
      </c>
      <c r="D433" t="s">
        <v>213</v>
      </c>
      <c r="E433" s="78">
        <v>5480.56</v>
      </c>
    </row>
    <row r="434" spans="1:10" hidden="1" x14ac:dyDescent="0.25">
      <c r="A434">
        <v>23</v>
      </c>
      <c r="B434" s="77">
        <v>45128</v>
      </c>
      <c r="C434" t="s">
        <v>168</v>
      </c>
      <c r="D434" t="s">
        <v>213</v>
      </c>
      <c r="E434" s="78">
        <v>5887.01</v>
      </c>
    </row>
    <row r="435" spans="1:10" hidden="1" x14ac:dyDescent="0.25">
      <c r="A435">
        <v>32</v>
      </c>
      <c r="B435" s="77">
        <v>45125</v>
      </c>
      <c r="C435" t="s">
        <v>168</v>
      </c>
      <c r="D435" t="s">
        <v>482</v>
      </c>
      <c r="E435" s="78">
        <v>6000</v>
      </c>
    </row>
    <row r="436" spans="1:10" hidden="1" x14ac:dyDescent="0.25">
      <c r="A436">
        <v>42</v>
      </c>
      <c r="B436" s="77">
        <v>45121</v>
      </c>
      <c r="C436" t="s">
        <v>168</v>
      </c>
      <c r="D436" t="s">
        <v>208</v>
      </c>
      <c r="E436" s="78">
        <v>7570</v>
      </c>
    </row>
    <row r="437" spans="1:10" hidden="1" x14ac:dyDescent="0.25">
      <c r="A437">
        <v>34</v>
      </c>
      <c r="B437" s="77">
        <v>45125</v>
      </c>
      <c r="C437" t="s">
        <v>200</v>
      </c>
      <c r="D437" t="s">
        <v>490</v>
      </c>
      <c r="E437" s="78">
        <v>8000</v>
      </c>
    </row>
    <row r="438" spans="1:10" hidden="1" x14ac:dyDescent="0.25">
      <c r="A438">
        <v>22</v>
      </c>
      <c r="B438" s="77">
        <v>45131</v>
      </c>
      <c r="C438" t="s">
        <v>174</v>
      </c>
      <c r="D438" t="s">
        <v>387</v>
      </c>
      <c r="E438" s="78">
        <v>9000</v>
      </c>
    </row>
    <row r="439" spans="1:10" hidden="1" x14ac:dyDescent="0.25">
      <c r="A439">
        <v>10</v>
      </c>
      <c r="B439" s="77">
        <v>45135</v>
      </c>
      <c r="C439" t="s">
        <v>174</v>
      </c>
      <c r="D439" t="s">
        <v>355</v>
      </c>
      <c r="E439" s="78">
        <v>9900</v>
      </c>
    </row>
    <row r="440" spans="1:10" hidden="1" x14ac:dyDescent="0.25">
      <c r="A440">
        <v>72</v>
      </c>
      <c r="B440" s="77">
        <v>45112</v>
      </c>
      <c r="C440" t="s">
        <v>478</v>
      </c>
      <c r="E440" s="78">
        <v>12072</v>
      </c>
    </row>
    <row r="441" spans="1:10" hidden="1" x14ac:dyDescent="0.25">
      <c r="A441">
        <v>8</v>
      </c>
      <c r="B441" s="77">
        <v>45135</v>
      </c>
      <c r="C441" t="s">
        <v>493</v>
      </c>
      <c r="D441" t="s">
        <v>494</v>
      </c>
      <c r="F441" s="78">
        <v>17714</v>
      </c>
      <c r="J441" s="78" t="s">
        <v>506</v>
      </c>
    </row>
    <row r="442" spans="1:10" hidden="1" x14ac:dyDescent="0.25">
      <c r="A442">
        <v>16</v>
      </c>
      <c r="B442" s="77">
        <v>45132</v>
      </c>
      <c r="C442" t="s">
        <v>174</v>
      </c>
      <c r="D442" t="s">
        <v>503</v>
      </c>
      <c r="E442" s="78">
        <v>18500</v>
      </c>
    </row>
    <row r="443" spans="1:10" hidden="1" x14ac:dyDescent="0.25">
      <c r="A443">
        <v>66</v>
      </c>
      <c r="B443" s="77">
        <v>45114</v>
      </c>
      <c r="C443" t="s">
        <v>174</v>
      </c>
      <c r="D443" t="s">
        <v>502</v>
      </c>
      <c r="E443" s="78">
        <v>28000</v>
      </c>
    </row>
    <row r="444" spans="1:10" hidden="1" x14ac:dyDescent="0.25">
      <c r="A444">
        <v>69</v>
      </c>
      <c r="B444" s="77">
        <v>45112</v>
      </c>
      <c r="C444" t="s">
        <v>336</v>
      </c>
      <c r="D444" t="s">
        <v>378</v>
      </c>
      <c r="F444" s="78">
        <v>341947.88</v>
      </c>
      <c r="J444" s="78" t="s">
        <v>409</v>
      </c>
    </row>
    <row r="445" spans="1:10" hidden="1" x14ac:dyDescent="0.25">
      <c r="A445">
        <v>51</v>
      </c>
      <c r="B445" s="77">
        <v>45117</v>
      </c>
      <c r="C445" t="s">
        <v>180</v>
      </c>
      <c r="D445" t="s">
        <v>181</v>
      </c>
      <c r="F445" s="78">
        <v>83962.87</v>
      </c>
      <c r="J445" s="78" t="s">
        <v>410</v>
      </c>
    </row>
    <row r="446" spans="1:10" hidden="1" x14ac:dyDescent="0.25">
      <c r="A446">
        <v>7</v>
      </c>
      <c r="B446" s="77">
        <v>45135</v>
      </c>
      <c r="C446" t="s">
        <v>491</v>
      </c>
      <c r="D446" t="s">
        <v>492</v>
      </c>
      <c r="F446" s="78">
        <v>144556.35999999999</v>
      </c>
      <c r="J446" s="78" t="s">
        <v>506</v>
      </c>
    </row>
    <row r="447" spans="1:10" hidden="1" x14ac:dyDescent="0.25">
      <c r="A447">
        <v>36</v>
      </c>
      <c r="B447" s="77">
        <v>45125</v>
      </c>
      <c r="C447" t="s">
        <v>380</v>
      </c>
      <c r="H447" s="78">
        <v>16800</v>
      </c>
    </row>
    <row r="448" spans="1:10" hidden="1" x14ac:dyDescent="0.25">
      <c r="A448">
        <v>37</v>
      </c>
      <c r="B448" s="77">
        <v>45125</v>
      </c>
      <c r="C448" t="s">
        <v>381</v>
      </c>
      <c r="H448" s="78">
        <v>19600</v>
      </c>
    </row>
    <row r="449" spans="1:9" hidden="1" x14ac:dyDescent="0.25">
      <c r="A449">
        <v>35</v>
      </c>
      <c r="B449" s="77">
        <v>45125</v>
      </c>
      <c r="C449" t="s">
        <v>379</v>
      </c>
      <c r="H449" s="78">
        <v>56000</v>
      </c>
    </row>
    <row r="450" spans="1:9" hidden="1" x14ac:dyDescent="0.25">
      <c r="A450">
        <v>77</v>
      </c>
      <c r="B450" s="77">
        <v>45110</v>
      </c>
      <c r="C450" t="s">
        <v>285</v>
      </c>
      <c r="D450" t="s">
        <v>311</v>
      </c>
      <c r="I450" s="78">
        <v>3000</v>
      </c>
    </row>
    <row r="451" spans="1:9" hidden="1" x14ac:dyDescent="0.25">
      <c r="A451">
        <v>14</v>
      </c>
      <c r="B451" s="77">
        <v>45133</v>
      </c>
      <c r="C451" t="s">
        <v>285</v>
      </c>
      <c r="D451" t="s">
        <v>288</v>
      </c>
      <c r="I451" s="78">
        <v>10000</v>
      </c>
    </row>
    <row r="452" spans="1:9" hidden="1" x14ac:dyDescent="0.25">
      <c r="A452">
        <v>30</v>
      </c>
      <c r="B452" s="77">
        <v>45126</v>
      </c>
      <c r="C452" t="s">
        <v>285</v>
      </c>
      <c r="D452" t="s">
        <v>288</v>
      </c>
      <c r="I452" s="78">
        <v>10000</v>
      </c>
    </row>
    <row r="453" spans="1:9" hidden="1" x14ac:dyDescent="0.25">
      <c r="A453">
        <v>31</v>
      </c>
      <c r="B453" s="77">
        <v>45126</v>
      </c>
      <c r="C453" t="s">
        <v>285</v>
      </c>
      <c r="D453" t="s">
        <v>288</v>
      </c>
      <c r="I453" s="78">
        <v>10000</v>
      </c>
    </row>
    <row r="454" spans="1:9" hidden="1" x14ac:dyDescent="0.25">
      <c r="A454">
        <v>75</v>
      </c>
      <c r="B454" s="77">
        <v>45111</v>
      </c>
      <c r="C454" t="s">
        <v>285</v>
      </c>
      <c r="D454" t="s">
        <v>288</v>
      </c>
      <c r="I454" s="78">
        <v>10000</v>
      </c>
    </row>
    <row r="455" spans="1:9" hidden="1" x14ac:dyDescent="0.25">
      <c r="A455">
        <v>13</v>
      </c>
      <c r="B455" s="77">
        <v>45134</v>
      </c>
      <c r="C455" t="s">
        <v>185</v>
      </c>
      <c r="D455" t="s">
        <v>186</v>
      </c>
      <c r="I455" s="78">
        <v>13000</v>
      </c>
    </row>
    <row r="456" spans="1:9" hidden="1" x14ac:dyDescent="0.25">
      <c r="A456">
        <v>45</v>
      </c>
      <c r="B456" s="77">
        <v>45121</v>
      </c>
      <c r="C456" t="s">
        <v>185</v>
      </c>
      <c r="D456" t="s">
        <v>186</v>
      </c>
      <c r="I456" s="78">
        <v>22000</v>
      </c>
    </row>
    <row r="457" spans="1:9" hidden="1" x14ac:dyDescent="0.25">
      <c r="A457" s="82">
        <v>900</v>
      </c>
      <c r="B457" s="81">
        <v>45138</v>
      </c>
      <c r="C457" s="82" t="s">
        <v>357</v>
      </c>
      <c r="D457" s="82" t="s">
        <v>358</v>
      </c>
      <c r="E457" s="79"/>
      <c r="F457" s="79">
        <v>-23299</v>
      </c>
    </row>
    <row r="458" spans="1:9" hidden="1" x14ac:dyDescent="0.25">
      <c r="A458">
        <v>60</v>
      </c>
      <c r="B458" s="77">
        <v>45139</v>
      </c>
      <c r="C458" t="s">
        <v>172</v>
      </c>
      <c r="E458" s="78">
        <v>14.98</v>
      </c>
    </row>
    <row r="459" spans="1:9" hidden="1" x14ac:dyDescent="0.25">
      <c r="A459">
        <v>58</v>
      </c>
      <c r="B459" s="77">
        <v>45139</v>
      </c>
      <c r="C459" t="s">
        <v>526</v>
      </c>
      <c r="E459" s="78">
        <v>71.33</v>
      </c>
    </row>
    <row r="460" spans="1:9" hidden="1" x14ac:dyDescent="0.25">
      <c r="A460">
        <v>21</v>
      </c>
      <c r="B460" s="77">
        <v>45152</v>
      </c>
      <c r="C460" t="s">
        <v>168</v>
      </c>
      <c r="D460" t="s">
        <v>198</v>
      </c>
      <c r="E460" s="78">
        <v>380</v>
      </c>
    </row>
    <row r="461" spans="1:9" hidden="1" x14ac:dyDescent="0.25">
      <c r="A461">
        <v>1</v>
      </c>
      <c r="B461" s="77">
        <v>45163</v>
      </c>
      <c r="C461" t="s">
        <v>168</v>
      </c>
      <c r="D461" t="s">
        <v>201</v>
      </c>
      <c r="E461" s="78">
        <v>790</v>
      </c>
    </row>
    <row r="462" spans="1:9" hidden="1" x14ac:dyDescent="0.25">
      <c r="A462">
        <v>54</v>
      </c>
      <c r="B462" s="77">
        <v>45140</v>
      </c>
      <c r="C462" t="s">
        <v>168</v>
      </c>
      <c r="D462" t="s">
        <v>173</v>
      </c>
      <c r="E462" s="78">
        <v>812.25</v>
      </c>
    </row>
    <row r="463" spans="1:9" hidden="1" x14ac:dyDescent="0.25">
      <c r="A463">
        <v>36</v>
      </c>
      <c r="B463" s="77">
        <v>45145</v>
      </c>
      <c r="C463" t="s">
        <v>168</v>
      </c>
      <c r="D463" t="s">
        <v>209</v>
      </c>
      <c r="E463" s="78">
        <v>980</v>
      </c>
    </row>
    <row r="464" spans="1:9" hidden="1" x14ac:dyDescent="0.25">
      <c r="A464">
        <v>16</v>
      </c>
      <c r="B464" s="77">
        <v>45155</v>
      </c>
      <c r="C464" t="s">
        <v>168</v>
      </c>
      <c r="D464" t="s">
        <v>538</v>
      </c>
      <c r="E464" s="78">
        <v>1250</v>
      </c>
    </row>
    <row r="465" spans="1:5" hidden="1" x14ac:dyDescent="0.25">
      <c r="A465">
        <v>46</v>
      </c>
      <c r="B465" s="77">
        <v>45142</v>
      </c>
      <c r="C465" t="s">
        <v>168</v>
      </c>
      <c r="D465" t="s">
        <v>198</v>
      </c>
      <c r="E465" s="78">
        <v>1320</v>
      </c>
    </row>
    <row r="466" spans="1:5" hidden="1" x14ac:dyDescent="0.25">
      <c r="A466">
        <v>48</v>
      </c>
      <c r="B466" s="77">
        <v>45142</v>
      </c>
      <c r="C466" t="s">
        <v>168</v>
      </c>
      <c r="D466" t="s">
        <v>483</v>
      </c>
      <c r="E466" s="78">
        <v>1350</v>
      </c>
    </row>
    <row r="467" spans="1:5" hidden="1" x14ac:dyDescent="0.25">
      <c r="A467">
        <v>15</v>
      </c>
      <c r="B467" s="77">
        <v>45156</v>
      </c>
      <c r="C467" t="s">
        <v>200</v>
      </c>
      <c r="D467" t="s">
        <v>539</v>
      </c>
      <c r="E467" s="78">
        <v>1500</v>
      </c>
    </row>
    <row r="468" spans="1:5" hidden="1" x14ac:dyDescent="0.25">
      <c r="A468">
        <v>23</v>
      </c>
      <c r="B468" s="77">
        <v>45152</v>
      </c>
      <c r="C468" t="s">
        <v>168</v>
      </c>
      <c r="D468" t="s">
        <v>198</v>
      </c>
      <c r="E468" s="78">
        <v>1510</v>
      </c>
    </row>
    <row r="469" spans="1:5" hidden="1" x14ac:dyDescent="0.25">
      <c r="A469">
        <v>32</v>
      </c>
      <c r="B469" s="77">
        <v>45146</v>
      </c>
      <c r="C469" t="s">
        <v>168</v>
      </c>
      <c r="D469" t="s">
        <v>326</v>
      </c>
      <c r="E469" s="78">
        <v>2050</v>
      </c>
    </row>
    <row r="470" spans="1:5" hidden="1" x14ac:dyDescent="0.25">
      <c r="A470">
        <v>9</v>
      </c>
      <c r="B470" s="77">
        <v>45160</v>
      </c>
      <c r="C470" t="s">
        <v>168</v>
      </c>
      <c r="D470" t="s">
        <v>540</v>
      </c>
      <c r="E470" s="78">
        <v>2100</v>
      </c>
    </row>
    <row r="471" spans="1:5" hidden="1" x14ac:dyDescent="0.25">
      <c r="A471">
        <v>2</v>
      </c>
      <c r="B471" s="77">
        <v>45163</v>
      </c>
      <c r="C471" t="s">
        <v>168</v>
      </c>
      <c r="D471" t="s">
        <v>219</v>
      </c>
      <c r="E471" s="78">
        <v>2300</v>
      </c>
    </row>
    <row r="472" spans="1:5" hidden="1" x14ac:dyDescent="0.25">
      <c r="A472">
        <v>37</v>
      </c>
      <c r="B472" s="77">
        <v>45145</v>
      </c>
      <c r="C472" t="s">
        <v>168</v>
      </c>
      <c r="D472" t="s">
        <v>444</v>
      </c>
      <c r="E472" s="78">
        <v>2400</v>
      </c>
    </row>
    <row r="473" spans="1:5" hidden="1" x14ac:dyDescent="0.25">
      <c r="A473">
        <v>8</v>
      </c>
      <c r="B473" s="77">
        <v>45160</v>
      </c>
      <c r="C473" t="s">
        <v>168</v>
      </c>
      <c r="D473" t="s">
        <v>198</v>
      </c>
      <c r="E473" s="78">
        <v>2520</v>
      </c>
    </row>
    <row r="474" spans="1:5" hidden="1" x14ac:dyDescent="0.25">
      <c r="A474">
        <v>52</v>
      </c>
      <c r="B474" s="77">
        <v>45141</v>
      </c>
      <c r="C474" t="s">
        <v>168</v>
      </c>
      <c r="D474" t="s">
        <v>208</v>
      </c>
      <c r="E474" s="78">
        <v>2700</v>
      </c>
    </row>
    <row r="475" spans="1:5" hidden="1" x14ac:dyDescent="0.25">
      <c r="A475">
        <v>26</v>
      </c>
      <c r="B475" s="77">
        <v>45149</v>
      </c>
      <c r="C475" t="s">
        <v>174</v>
      </c>
      <c r="D475" t="s">
        <v>535</v>
      </c>
      <c r="E475" s="78">
        <v>3000</v>
      </c>
    </row>
    <row r="476" spans="1:5" hidden="1" x14ac:dyDescent="0.25">
      <c r="A476">
        <v>13</v>
      </c>
      <c r="B476" s="77">
        <v>45156</v>
      </c>
      <c r="C476" t="s">
        <v>168</v>
      </c>
      <c r="D476" t="s">
        <v>173</v>
      </c>
      <c r="E476" s="78">
        <v>3441.75</v>
      </c>
    </row>
    <row r="477" spans="1:5" hidden="1" x14ac:dyDescent="0.25">
      <c r="A477">
        <v>4</v>
      </c>
      <c r="B477" s="77">
        <v>45163</v>
      </c>
      <c r="C477" t="s">
        <v>168</v>
      </c>
      <c r="D477" t="s">
        <v>208</v>
      </c>
      <c r="E477" s="78">
        <v>3500</v>
      </c>
    </row>
    <row r="478" spans="1:5" hidden="1" x14ac:dyDescent="0.25">
      <c r="A478">
        <v>3</v>
      </c>
      <c r="B478" s="77">
        <v>45163</v>
      </c>
      <c r="C478" t="s">
        <v>168</v>
      </c>
      <c r="D478" t="s">
        <v>253</v>
      </c>
      <c r="E478" s="78">
        <v>3700</v>
      </c>
    </row>
    <row r="479" spans="1:5" hidden="1" x14ac:dyDescent="0.25">
      <c r="A479">
        <v>14</v>
      </c>
      <c r="B479" s="77">
        <v>45156</v>
      </c>
      <c r="C479" t="s">
        <v>168</v>
      </c>
      <c r="D479" t="s">
        <v>208</v>
      </c>
      <c r="E479" s="78">
        <v>4000</v>
      </c>
    </row>
    <row r="480" spans="1:5" hidden="1" x14ac:dyDescent="0.25">
      <c r="A480">
        <v>51</v>
      </c>
      <c r="B480" s="77">
        <v>45142</v>
      </c>
      <c r="C480" t="s">
        <v>174</v>
      </c>
      <c r="D480" t="s">
        <v>527</v>
      </c>
      <c r="E480" s="78">
        <v>4100</v>
      </c>
    </row>
    <row r="481" spans="1:8" hidden="1" x14ac:dyDescent="0.25">
      <c r="A481">
        <v>7</v>
      </c>
      <c r="B481" s="77">
        <v>45160</v>
      </c>
      <c r="C481" t="s">
        <v>168</v>
      </c>
      <c r="D481" t="s">
        <v>541</v>
      </c>
      <c r="E481" s="78">
        <v>4250</v>
      </c>
    </row>
    <row r="482" spans="1:8" hidden="1" x14ac:dyDescent="0.25">
      <c r="A482">
        <v>22</v>
      </c>
      <c r="B482" s="77">
        <v>45152</v>
      </c>
      <c r="C482" t="s">
        <v>168</v>
      </c>
      <c r="D482" t="s">
        <v>208</v>
      </c>
      <c r="E482" s="78">
        <v>4830</v>
      </c>
    </row>
    <row r="483" spans="1:8" hidden="1" x14ac:dyDescent="0.25">
      <c r="A483">
        <v>47</v>
      </c>
      <c r="B483" s="77">
        <v>45142</v>
      </c>
      <c r="C483" t="s">
        <v>168</v>
      </c>
      <c r="D483" t="s">
        <v>213</v>
      </c>
      <c r="E483" s="78">
        <v>6000</v>
      </c>
    </row>
    <row r="484" spans="1:8" hidden="1" x14ac:dyDescent="0.25">
      <c r="A484">
        <v>57</v>
      </c>
      <c r="B484" s="77">
        <v>45140</v>
      </c>
      <c r="C484" t="s">
        <v>200</v>
      </c>
      <c r="D484" t="s">
        <v>214</v>
      </c>
      <c r="E484" s="78">
        <v>6300</v>
      </c>
    </row>
    <row r="485" spans="1:8" hidden="1" x14ac:dyDescent="0.25">
      <c r="A485">
        <v>18</v>
      </c>
      <c r="B485" s="77">
        <v>45155</v>
      </c>
      <c r="C485" t="s">
        <v>168</v>
      </c>
      <c r="D485" t="s">
        <v>253</v>
      </c>
      <c r="E485" s="78">
        <v>6780</v>
      </c>
    </row>
    <row r="486" spans="1:8" hidden="1" x14ac:dyDescent="0.25">
      <c r="A486">
        <v>25</v>
      </c>
      <c r="B486" s="77">
        <v>45152</v>
      </c>
      <c r="C486" t="s">
        <v>174</v>
      </c>
      <c r="D486" t="s">
        <v>291</v>
      </c>
      <c r="E486" s="78">
        <v>8000</v>
      </c>
    </row>
    <row r="487" spans="1:8" hidden="1" x14ac:dyDescent="0.25">
      <c r="A487">
        <v>10</v>
      </c>
      <c r="B487" s="77">
        <v>45160</v>
      </c>
      <c r="C487" t="s">
        <v>168</v>
      </c>
      <c r="D487" t="s">
        <v>201</v>
      </c>
      <c r="E487" s="78">
        <v>8806.5</v>
      </c>
    </row>
    <row r="488" spans="1:8" hidden="1" x14ac:dyDescent="0.25">
      <c r="A488">
        <v>35</v>
      </c>
      <c r="B488" s="77">
        <v>45145</v>
      </c>
      <c r="C488" t="s">
        <v>168</v>
      </c>
      <c r="D488" t="s">
        <v>528</v>
      </c>
      <c r="E488" s="78">
        <v>8950</v>
      </c>
    </row>
    <row r="489" spans="1:8" hidden="1" x14ac:dyDescent="0.25">
      <c r="A489">
        <v>17</v>
      </c>
      <c r="B489" s="77">
        <v>45155</v>
      </c>
      <c r="C489" t="s">
        <v>168</v>
      </c>
      <c r="D489" t="s">
        <v>537</v>
      </c>
      <c r="E489" s="78">
        <v>10900</v>
      </c>
    </row>
    <row r="490" spans="1:8" hidden="1" x14ac:dyDescent="0.25">
      <c r="A490">
        <v>12</v>
      </c>
      <c r="B490" s="77">
        <v>45160</v>
      </c>
      <c r="C490" t="s">
        <v>200</v>
      </c>
      <c r="D490" t="s">
        <v>214</v>
      </c>
      <c r="E490" s="78">
        <v>14000</v>
      </c>
    </row>
    <row r="491" spans="1:8" hidden="1" x14ac:dyDescent="0.25">
      <c r="A491">
        <v>20</v>
      </c>
      <c r="B491" s="77">
        <v>45155</v>
      </c>
      <c r="C491" t="s">
        <v>174</v>
      </c>
      <c r="D491" t="s">
        <v>536</v>
      </c>
      <c r="E491" s="78">
        <v>18100</v>
      </c>
    </row>
    <row r="492" spans="1:8" hidden="1" x14ac:dyDescent="0.25">
      <c r="A492">
        <v>6</v>
      </c>
      <c r="B492" s="77">
        <v>45162</v>
      </c>
      <c r="C492" t="s">
        <v>174</v>
      </c>
      <c r="D492" t="s">
        <v>542</v>
      </c>
      <c r="E492" s="78">
        <v>188800</v>
      </c>
    </row>
    <row r="493" spans="1:8" hidden="1" x14ac:dyDescent="0.25">
      <c r="A493">
        <v>34</v>
      </c>
      <c r="B493" s="77">
        <v>45145</v>
      </c>
      <c r="C493" t="s">
        <v>180</v>
      </c>
      <c r="D493" t="s">
        <v>181</v>
      </c>
      <c r="F493" s="78">
        <v>64789.440000000002</v>
      </c>
    </row>
    <row r="494" spans="1:8" hidden="1" x14ac:dyDescent="0.25">
      <c r="A494">
        <v>39</v>
      </c>
      <c r="B494" s="77">
        <v>45145</v>
      </c>
      <c r="C494" t="s">
        <v>336</v>
      </c>
      <c r="D494" t="s">
        <v>378</v>
      </c>
      <c r="F494" s="78">
        <v>282828.75</v>
      </c>
    </row>
    <row r="495" spans="1:8" hidden="1" x14ac:dyDescent="0.25">
      <c r="A495">
        <v>30</v>
      </c>
      <c r="B495" s="77">
        <v>45148</v>
      </c>
      <c r="C495" t="s">
        <v>380</v>
      </c>
      <c r="H495" s="78">
        <v>17820</v>
      </c>
    </row>
    <row r="496" spans="1:8" hidden="1" x14ac:dyDescent="0.25">
      <c r="A496">
        <v>31</v>
      </c>
      <c r="B496" s="77">
        <v>45148</v>
      </c>
      <c r="C496" t="s">
        <v>381</v>
      </c>
      <c r="H496" s="78">
        <v>26730</v>
      </c>
    </row>
    <row r="497" spans="1:9" hidden="1" x14ac:dyDescent="0.25">
      <c r="A497">
        <v>29</v>
      </c>
      <c r="B497" s="77">
        <v>45148</v>
      </c>
      <c r="C497" t="s">
        <v>379</v>
      </c>
      <c r="H497" s="78">
        <v>59400</v>
      </c>
    </row>
    <row r="498" spans="1:9" hidden="1" x14ac:dyDescent="0.25">
      <c r="A498">
        <v>55</v>
      </c>
      <c r="B498" s="77">
        <v>45140</v>
      </c>
      <c r="C498" t="s">
        <v>285</v>
      </c>
      <c r="D498" t="s">
        <v>288</v>
      </c>
      <c r="I498" s="78">
        <v>1000</v>
      </c>
    </row>
    <row r="499" spans="1:9" hidden="1" x14ac:dyDescent="0.25">
      <c r="A499">
        <v>56</v>
      </c>
      <c r="B499" s="77">
        <v>45140</v>
      </c>
      <c r="C499" t="s">
        <v>285</v>
      </c>
      <c r="D499" t="s">
        <v>288</v>
      </c>
      <c r="I499" s="78">
        <v>4000</v>
      </c>
    </row>
    <row r="500" spans="1:9" hidden="1" x14ac:dyDescent="0.25">
      <c r="A500">
        <v>27</v>
      </c>
      <c r="B500" s="77">
        <v>45148</v>
      </c>
      <c r="C500" t="s">
        <v>285</v>
      </c>
      <c r="D500" t="s">
        <v>288</v>
      </c>
      <c r="I500" s="78">
        <v>5000</v>
      </c>
    </row>
    <row r="501" spans="1:9" hidden="1" x14ac:dyDescent="0.25">
      <c r="A501">
        <v>33</v>
      </c>
      <c r="B501" s="77">
        <v>45146</v>
      </c>
      <c r="C501" t="s">
        <v>285</v>
      </c>
      <c r="D501" t="s">
        <v>288</v>
      </c>
      <c r="I501" s="78">
        <v>5000</v>
      </c>
    </row>
    <row r="502" spans="1:9" hidden="1" x14ac:dyDescent="0.25">
      <c r="A502">
        <v>24</v>
      </c>
      <c r="B502" s="77">
        <v>45152</v>
      </c>
      <c r="C502" t="s">
        <v>285</v>
      </c>
      <c r="D502" t="s">
        <v>311</v>
      </c>
      <c r="I502" s="78">
        <v>6000</v>
      </c>
    </row>
    <row r="503" spans="1:9" hidden="1" x14ac:dyDescent="0.25">
      <c r="A503">
        <v>11</v>
      </c>
      <c r="B503" s="77">
        <v>45160</v>
      </c>
      <c r="C503" t="s">
        <v>285</v>
      </c>
      <c r="D503" t="s">
        <v>288</v>
      </c>
      <c r="I503" s="78">
        <v>10000</v>
      </c>
    </row>
    <row r="504" spans="1:9" hidden="1" x14ac:dyDescent="0.25">
      <c r="A504">
        <v>19</v>
      </c>
      <c r="B504" s="77">
        <v>45155</v>
      </c>
      <c r="C504" t="s">
        <v>285</v>
      </c>
      <c r="D504" t="s">
        <v>288</v>
      </c>
      <c r="I504" s="78">
        <v>10000</v>
      </c>
    </row>
    <row r="505" spans="1:9" hidden="1" x14ac:dyDescent="0.25">
      <c r="A505">
        <v>28</v>
      </c>
      <c r="B505" s="77">
        <v>45148</v>
      </c>
      <c r="C505" t="s">
        <v>285</v>
      </c>
      <c r="D505" t="s">
        <v>288</v>
      </c>
      <c r="I505" s="78">
        <v>10000</v>
      </c>
    </row>
    <row r="506" spans="1:9" hidden="1" x14ac:dyDescent="0.25">
      <c r="A506">
        <v>38</v>
      </c>
      <c r="B506" s="77">
        <v>45145</v>
      </c>
      <c r="C506" t="s">
        <v>285</v>
      </c>
      <c r="D506" t="s">
        <v>288</v>
      </c>
      <c r="I506" s="78">
        <v>10000</v>
      </c>
    </row>
    <row r="507" spans="1:9" hidden="1" x14ac:dyDescent="0.25">
      <c r="A507" s="82">
        <v>900</v>
      </c>
      <c r="B507" s="81">
        <v>45169</v>
      </c>
      <c r="C507" s="82" t="s">
        <v>357</v>
      </c>
      <c r="D507" s="82" t="s">
        <v>358</v>
      </c>
      <c r="E507" s="79"/>
      <c r="F507" s="79"/>
      <c r="G507" s="79">
        <v>23299</v>
      </c>
    </row>
    <row r="508" spans="1:9" hidden="1" x14ac:dyDescent="0.25">
      <c r="A508">
        <v>67</v>
      </c>
      <c r="B508" s="77">
        <v>45173</v>
      </c>
      <c r="C508" t="s">
        <v>168</v>
      </c>
      <c r="D508" t="s">
        <v>656</v>
      </c>
      <c r="E508" s="78">
        <v>350</v>
      </c>
    </row>
    <row r="509" spans="1:9" hidden="1" x14ac:dyDescent="0.25">
      <c r="A509">
        <v>72</v>
      </c>
      <c r="B509" s="77">
        <v>45173</v>
      </c>
      <c r="C509" t="s">
        <v>168</v>
      </c>
      <c r="D509" t="s">
        <v>654</v>
      </c>
      <c r="E509" s="78">
        <v>400</v>
      </c>
    </row>
    <row r="510" spans="1:9" hidden="1" x14ac:dyDescent="0.25">
      <c r="A510">
        <v>49</v>
      </c>
      <c r="B510" s="77">
        <v>45175</v>
      </c>
      <c r="C510" t="s">
        <v>168</v>
      </c>
      <c r="D510" t="s">
        <v>668</v>
      </c>
      <c r="E510" s="78">
        <v>450</v>
      </c>
    </row>
    <row r="511" spans="1:9" hidden="1" x14ac:dyDescent="0.25">
      <c r="A511">
        <v>54</v>
      </c>
      <c r="B511" s="77">
        <v>45174</v>
      </c>
      <c r="C511" t="s">
        <v>168</v>
      </c>
      <c r="D511" t="s">
        <v>658</v>
      </c>
      <c r="E511" s="78">
        <v>690</v>
      </c>
    </row>
    <row r="512" spans="1:9" hidden="1" x14ac:dyDescent="0.25">
      <c r="A512">
        <v>4</v>
      </c>
      <c r="B512" s="77">
        <v>45198</v>
      </c>
      <c r="C512" t="s">
        <v>172</v>
      </c>
      <c r="E512" s="78">
        <v>796.22</v>
      </c>
    </row>
    <row r="513" spans="1:5" hidden="1" x14ac:dyDescent="0.25">
      <c r="A513">
        <v>64</v>
      </c>
      <c r="B513" s="77">
        <v>45173</v>
      </c>
      <c r="C513" t="s">
        <v>168</v>
      </c>
      <c r="D513" t="s">
        <v>649</v>
      </c>
      <c r="E513" s="78">
        <v>900</v>
      </c>
    </row>
    <row r="514" spans="1:5" hidden="1" x14ac:dyDescent="0.25">
      <c r="A514">
        <v>31</v>
      </c>
      <c r="B514" s="77">
        <v>45184</v>
      </c>
      <c r="C514" t="s">
        <v>168</v>
      </c>
      <c r="D514" t="s">
        <v>198</v>
      </c>
      <c r="E514" s="78">
        <v>930</v>
      </c>
    </row>
    <row r="515" spans="1:5" hidden="1" x14ac:dyDescent="0.25">
      <c r="A515">
        <v>22</v>
      </c>
      <c r="B515" s="77">
        <v>45188</v>
      </c>
      <c r="C515" t="s">
        <v>168</v>
      </c>
      <c r="D515" t="s">
        <v>198</v>
      </c>
      <c r="E515" s="78">
        <v>1010</v>
      </c>
    </row>
    <row r="516" spans="1:5" hidden="1" x14ac:dyDescent="0.25">
      <c r="A516">
        <v>73</v>
      </c>
      <c r="B516" s="77">
        <v>45173</v>
      </c>
      <c r="C516" t="s">
        <v>168</v>
      </c>
      <c r="D516" t="s">
        <v>655</v>
      </c>
      <c r="E516" s="78">
        <v>1170</v>
      </c>
    </row>
    <row r="517" spans="1:5" hidden="1" x14ac:dyDescent="0.25">
      <c r="A517">
        <v>46</v>
      </c>
      <c r="B517" s="77">
        <v>45176</v>
      </c>
      <c r="C517" t="s">
        <v>168</v>
      </c>
      <c r="D517" t="s">
        <v>670</v>
      </c>
      <c r="E517" s="78">
        <v>1200</v>
      </c>
    </row>
    <row r="518" spans="1:5" hidden="1" x14ac:dyDescent="0.25">
      <c r="A518">
        <v>69</v>
      </c>
      <c r="B518" s="77">
        <v>45173</v>
      </c>
      <c r="C518" t="s">
        <v>168</v>
      </c>
      <c r="D518" t="s">
        <v>653</v>
      </c>
      <c r="E518" s="78">
        <v>1200</v>
      </c>
    </row>
    <row r="519" spans="1:5" hidden="1" x14ac:dyDescent="0.25">
      <c r="A519">
        <v>66</v>
      </c>
      <c r="B519" s="77">
        <v>45173</v>
      </c>
      <c r="C519" t="s">
        <v>168</v>
      </c>
      <c r="D519" t="s">
        <v>651</v>
      </c>
      <c r="E519" s="78">
        <v>1300</v>
      </c>
    </row>
    <row r="520" spans="1:5" hidden="1" x14ac:dyDescent="0.25">
      <c r="A520">
        <v>27</v>
      </c>
      <c r="B520" s="77">
        <v>45187</v>
      </c>
      <c r="C520" t="s">
        <v>168</v>
      </c>
      <c r="D520" t="s">
        <v>198</v>
      </c>
      <c r="E520" s="78">
        <v>1330</v>
      </c>
    </row>
    <row r="521" spans="1:5" hidden="1" x14ac:dyDescent="0.25">
      <c r="A521">
        <v>24</v>
      </c>
      <c r="B521" s="77">
        <v>45188</v>
      </c>
      <c r="C521" t="s">
        <v>174</v>
      </c>
      <c r="D521" t="s">
        <v>676</v>
      </c>
      <c r="E521" s="78">
        <v>1400</v>
      </c>
    </row>
    <row r="522" spans="1:5" hidden="1" x14ac:dyDescent="0.25">
      <c r="A522">
        <v>47</v>
      </c>
      <c r="B522" s="77">
        <v>45176</v>
      </c>
      <c r="C522" t="s">
        <v>168</v>
      </c>
      <c r="D522" t="s">
        <v>669</v>
      </c>
      <c r="E522" s="78">
        <v>1450</v>
      </c>
    </row>
    <row r="523" spans="1:5" hidden="1" x14ac:dyDescent="0.25">
      <c r="A523">
        <v>12</v>
      </c>
      <c r="B523" s="77">
        <v>45194</v>
      </c>
      <c r="C523" t="s">
        <v>168</v>
      </c>
      <c r="D523" t="s">
        <v>198</v>
      </c>
      <c r="E523" s="78">
        <v>1501.5</v>
      </c>
    </row>
    <row r="524" spans="1:5" hidden="1" x14ac:dyDescent="0.25">
      <c r="A524">
        <v>78</v>
      </c>
      <c r="B524" s="77">
        <v>45170</v>
      </c>
      <c r="C524" t="s">
        <v>168</v>
      </c>
      <c r="D524" t="s">
        <v>648</v>
      </c>
      <c r="E524" s="78">
        <v>1532.88</v>
      </c>
    </row>
    <row r="525" spans="1:5" hidden="1" x14ac:dyDescent="0.25">
      <c r="A525">
        <v>10</v>
      </c>
      <c r="B525" s="77">
        <v>45194</v>
      </c>
      <c r="C525" t="s">
        <v>168</v>
      </c>
      <c r="D525" t="s">
        <v>678</v>
      </c>
      <c r="E525" s="78">
        <v>1550</v>
      </c>
    </row>
    <row r="526" spans="1:5" hidden="1" x14ac:dyDescent="0.25">
      <c r="A526">
        <v>0</v>
      </c>
      <c r="B526" s="77">
        <v>45198</v>
      </c>
      <c r="C526" t="s">
        <v>168</v>
      </c>
      <c r="D526" t="s">
        <v>326</v>
      </c>
      <c r="E526" s="78">
        <v>1600</v>
      </c>
    </row>
    <row r="527" spans="1:5" hidden="1" x14ac:dyDescent="0.25">
      <c r="A527">
        <v>16</v>
      </c>
      <c r="B527" s="77">
        <v>45190</v>
      </c>
      <c r="C527" t="s">
        <v>168</v>
      </c>
      <c r="D527" t="s">
        <v>213</v>
      </c>
      <c r="E527" s="78">
        <v>1691.5</v>
      </c>
    </row>
    <row r="528" spans="1:5" hidden="1" x14ac:dyDescent="0.25">
      <c r="A528">
        <v>75</v>
      </c>
      <c r="B528" s="77">
        <v>45173</v>
      </c>
      <c r="C528" t="s">
        <v>168</v>
      </c>
      <c r="D528" t="s">
        <v>648</v>
      </c>
      <c r="E528" s="78">
        <v>1730.07</v>
      </c>
    </row>
    <row r="529" spans="1:5" hidden="1" x14ac:dyDescent="0.25">
      <c r="A529">
        <v>9</v>
      </c>
      <c r="B529" s="77">
        <v>45196</v>
      </c>
      <c r="C529" t="s">
        <v>168</v>
      </c>
      <c r="D529" t="s">
        <v>326</v>
      </c>
      <c r="E529" s="78">
        <v>1780</v>
      </c>
    </row>
    <row r="530" spans="1:5" hidden="1" x14ac:dyDescent="0.25">
      <c r="A530">
        <v>65</v>
      </c>
      <c r="B530" s="77">
        <v>45173</v>
      </c>
      <c r="C530" t="s">
        <v>168</v>
      </c>
      <c r="D530" t="s">
        <v>650</v>
      </c>
      <c r="E530" s="78">
        <v>1800</v>
      </c>
    </row>
    <row r="531" spans="1:5" hidden="1" x14ac:dyDescent="0.25">
      <c r="A531">
        <v>40</v>
      </c>
      <c r="B531" s="77">
        <v>45180</v>
      </c>
      <c r="C531" t="s">
        <v>168</v>
      </c>
      <c r="D531" t="s">
        <v>198</v>
      </c>
      <c r="E531" s="78">
        <v>1880</v>
      </c>
    </row>
    <row r="532" spans="1:5" hidden="1" x14ac:dyDescent="0.25">
      <c r="A532">
        <v>50</v>
      </c>
      <c r="B532" s="77">
        <v>45175</v>
      </c>
      <c r="C532" t="s">
        <v>168</v>
      </c>
      <c r="D532" t="s">
        <v>667</v>
      </c>
      <c r="E532" s="78">
        <v>1970</v>
      </c>
    </row>
    <row r="533" spans="1:5" hidden="1" x14ac:dyDescent="0.25">
      <c r="A533">
        <v>7</v>
      </c>
      <c r="B533" s="77">
        <v>45197</v>
      </c>
      <c r="C533" t="s">
        <v>168</v>
      </c>
      <c r="D533" t="s">
        <v>680</v>
      </c>
      <c r="E533" s="78">
        <v>2000</v>
      </c>
    </row>
    <row r="534" spans="1:5" hidden="1" x14ac:dyDescent="0.25">
      <c r="A534">
        <v>53</v>
      </c>
      <c r="B534" s="77">
        <v>45174</v>
      </c>
      <c r="C534" t="s">
        <v>168</v>
      </c>
      <c r="D534" t="s">
        <v>651</v>
      </c>
      <c r="E534" s="78">
        <v>2390</v>
      </c>
    </row>
    <row r="535" spans="1:5" hidden="1" x14ac:dyDescent="0.25">
      <c r="A535">
        <v>15</v>
      </c>
      <c r="B535" s="77">
        <v>45190</v>
      </c>
      <c r="C535" t="s">
        <v>168</v>
      </c>
      <c r="D535" t="s">
        <v>485</v>
      </c>
      <c r="E535" s="78">
        <v>2600</v>
      </c>
    </row>
    <row r="536" spans="1:5" hidden="1" x14ac:dyDescent="0.25">
      <c r="A536">
        <v>13</v>
      </c>
      <c r="B536" s="77">
        <v>45191</v>
      </c>
      <c r="C536" t="s">
        <v>168</v>
      </c>
      <c r="D536" t="s">
        <v>677</v>
      </c>
      <c r="E536" s="78">
        <v>2700</v>
      </c>
    </row>
    <row r="537" spans="1:5" hidden="1" x14ac:dyDescent="0.25">
      <c r="A537">
        <v>70</v>
      </c>
      <c r="B537" s="77">
        <v>45173</v>
      </c>
      <c r="C537" t="s">
        <v>168</v>
      </c>
      <c r="D537" t="s">
        <v>650</v>
      </c>
      <c r="E537" s="78">
        <v>2700</v>
      </c>
    </row>
    <row r="538" spans="1:5" hidden="1" x14ac:dyDescent="0.25">
      <c r="A538">
        <v>48</v>
      </c>
      <c r="B538" s="77">
        <v>45176</v>
      </c>
      <c r="C538" t="s">
        <v>168</v>
      </c>
      <c r="D538" t="s">
        <v>671</v>
      </c>
      <c r="E538" s="78">
        <v>3000</v>
      </c>
    </row>
    <row r="539" spans="1:5" hidden="1" x14ac:dyDescent="0.25">
      <c r="A539">
        <v>8</v>
      </c>
      <c r="B539" s="77">
        <v>45197</v>
      </c>
      <c r="C539" t="s">
        <v>168</v>
      </c>
      <c r="D539" t="s">
        <v>208</v>
      </c>
      <c r="E539" s="78">
        <v>3120</v>
      </c>
    </row>
    <row r="540" spans="1:5" hidden="1" x14ac:dyDescent="0.25">
      <c r="A540">
        <v>11</v>
      </c>
      <c r="B540" s="77">
        <v>45194</v>
      </c>
      <c r="C540" t="s">
        <v>168</v>
      </c>
      <c r="D540" t="s">
        <v>213</v>
      </c>
      <c r="E540" s="78">
        <v>3165</v>
      </c>
    </row>
    <row r="541" spans="1:5" hidden="1" x14ac:dyDescent="0.25">
      <c r="A541">
        <v>26</v>
      </c>
      <c r="B541" s="77">
        <v>45187</v>
      </c>
      <c r="C541" t="s">
        <v>168</v>
      </c>
      <c r="D541" t="s">
        <v>283</v>
      </c>
      <c r="E541" s="78">
        <v>3300</v>
      </c>
    </row>
    <row r="542" spans="1:5" hidden="1" x14ac:dyDescent="0.25">
      <c r="A542">
        <v>3</v>
      </c>
      <c r="B542" s="77">
        <v>45198</v>
      </c>
      <c r="C542" t="s">
        <v>171</v>
      </c>
      <c r="E542" s="78">
        <v>3791.5</v>
      </c>
    </row>
    <row r="543" spans="1:5" hidden="1" x14ac:dyDescent="0.25">
      <c r="A543">
        <v>33</v>
      </c>
      <c r="B543" s="77">
        <v>45184</v>
      </c>
      <c r="C543" t="s">
        <v>168</v>
      </c>
      <c r="D543" t="s">
        <v>253</v>
      </c>
      <c r="E543" s="78">
        <v>3800</v>
      </c>
    </row>
    <row r="544" spans="1:5" hidden="1" x14ac:dyDescent="0.25">
      <c r="A544">
        <v>23</v>
      </c>
      <c r="B544" s="77">
        <v>45188</v>
      </c>
      <c r="C544" t="s">
        <v>168</v>
      </c>
      <c r="D544" t="s">
        <v>208</v>
      </c>
      <c r="E544" s="78">
        <v>4000</v>
      </c>
    </row>
    <row r="545" spans="1:5" hidden="1" x14ac:dyDescent="0.25">
      <c r="A545">
        <v>77</v>
      </c>
      <c r="B545" s="77">
        <v>45170</v>
      </c>
      <c r="C545" t="s">
        <v>168</v>
      </c>
      <c r="D545" t="s">
        <v>208</v>
      </c>
      <c r="E545" s="78">
        <v>4200</v>
      </c>
    </row>
    <row r="546" spans="1:5" hidden="1" x14ac:dyDescent="0.25">
      <c r="A546">
        <v>37</v>
      </c>
      <c r="B546" s="77">
        <v>45180</v>
      </c>
      <c r="C546" t="s">
        <v>168</v>
      </c>
      <c r="D546" t="s">
        <v>201</v>
      </c>
      <c r="E546" s="78">
        <v>4294.75</v>
      </c>
    </row>
    <row r="547" spans="1:5" hidden="1" x14ac:dyDescent="0.25">
      <c r="A547">
        <v>17</v>
      </c>
      <c r="B547" s="77">
        <v>45190</v>
      </c>
      <c r="C547" t="s">
        <v>168</v>
      </c>
      <c r="D547" t="s">
        <v>441</v>
      </c>
      <c r="E547" s="78">
        <v>5400</v>
      </c>
    </row>
    <row r="548" spans="1:5" hidden="1" x14ac:dyDescent="0.25">
      <c r="A548">
        <v>68</v>
      </c>
      <c r="B548" s="77">
        <v>45173</v>
      </c>
      <c r="C548" t="s">
        <v>168</v>
      </c>
      <c r="D548" t="s">
        <v>652</v>
      </c>
      <c r="E548" s="78">
        <v>5500</v>
      </c>
    </row>
    <row r="549" spans="1:5" hidden="1" x14ac:dyDescent="0.25">
      <c r="A549">
        <v>32</v>
      </c>
      <c r="B549" s="77">
        <v>45184</v>
      </c>
      <c r="C549" t="s">
        <v>168</v>
      </c>
      <c r="D549" t="s">
        <v>213</v>
      </c>
      <c r="E549" s="78">
        <v>5588.77</v>
      </c>
    </row>
    <row r="550" spans="1:5" hidden="1" x14ac:dyDescent="0.25">
      <c r="A550">
        <v>38</v>
      </c>
      <c r="B550" s="77">
        <v>45180</v>
      </c>
      <c r="C550" t="s">
        <v>168</v>
      </c>
      <c r="D550" t="s">
        <v>208</v>
      </c>
      <c r="E550" s="78">
        <v>5800</v>
      </c>
    </row>
    <row r="551" spans="1:5" hidden="1" x14ac:dyDescent="0.25">
      <c r="A551">
        <v>21</v>
      </c>
      <c r="B551" s="77">
        <v>45188</v>
      </c>
      <c r="C551" t="s">
        <v>168</v>
      </c>
      <c r="D551" t="s">
        <v>365</v>
      </c>
      <c r="E551" s="78">
        <v>6200</v>
      </c>
    </row>
    <row r="552" spans="1:5" hidden="1" x14ac:dyDescent="0.25">
      <c r="A552">
        <v>74</v>
      </c>
      <c r="B552" s="77">
        <v>45173</v>
      </c>
      <c r="C552" t="s">
        <v>168</v>
      </c>
      <c r="D552" t="s">
        <v>213</v>
      </c>
      <c r="E552" s="78">
        <v>6565.45</v>
      </c>
    </row>
    <row r="553" spans="1:5" hidden="1" x14ac:dyDescent="0.25">
      <c r="A553">
        <v>28</v>
      </c>
      <c r="B553" s="77">
        <v>45187</v>
      </c>
      <c r="C553" t="s">
        <v>168</v>
      </c>
      <c r="D553" t="s">
        <v>675</v>
      </c>
      <c r="E553" s="78">
        <v>7455</v>
      </c>
    </row>
    <row r="554" spans="1:5" hidden="1" x14ac:dyDescent="0.25">
      <c r="A554">
        <v>2</v>
      </c>
      <c r="B554" s="77">
        <v>45198</v>
      </c>
      <c r="C554" t="s">
        <v>174</v>
      </c>
      <c r="D554" t="s">
        <v>210</v>
      </c>
      <c r="E554" s="78">
        <v>8400</v>
      </c>
    </row>
    <row r="555" spans="1:5" hidden="1" x14ac:dyDescent="0.25">
      <c r="A555">
        <v>43</v>
      </c>
      <c r="B555" s="77">
        <v>45177</v>
      </c>
      <c r="C555" t="s">
        <v>200</v>
      </c>
      <c r="D555" t="s">
        <v>214</v>
      </c>
      <c r="E555" s="78">
        <v>10000</v>
      </c>
    </row>
    <row r="556" spans="1:5" hidden="1" x14ac:dyDescent="0.25">
      <c r="A556">
        <v>39</v>
      </c>
      <c r="B556" s="77">
        <v>45180</v>
      </c>
      <c r="C556" t="s">
        <v>168</v>
      </c>
      <c r="D556" t="s">
        <v>603</v>
      </c>
      <c r="E556" s="78">
        <v>12689.99</v>
      </c>
    </row>
    <row r="557" spans="1:5" hidden="1" x14ac:dyDescent="0.25">
      <c r="A557">
        <v>71</v>
      </c>
      <c r="B557" s="77">
        <v>45173</v>
      </c>
      <c r="C557" t="s">
        <v>168</v>
      </c>
      <c r="D557" t="s">
        <v>650</v>
      </c>
      <c r="E557" s="78">
        <v>15450</v>
      </c>
    </row>
    <row r="558" spans="1:5" hidden="1" x14ac:dyDescent="0.25">
      <c r="A558">
        <v>20</v>
      </c>
      <c r="B558" s="77">
        <v>45189</v>
      </c>
      <c r="C558" t="s">
        <v>200</v>
      </c>
      <c r="D558" t="s">
        <v>271</v>
      </c>
      <c r="E558" s="78">
        <v>17000</v>
      </c>
    </row>
    <row r="559" spans="1:5" hidden="1" x14ac:dyDescent="0.25">
      <c r="A559">
        <v>19</v>
      </c>
      <c r="B559" s="77">
        <v>45190</v>
      </c>
      <c r="C559" t="s">
        <v>174</v>
      </c>
      <c r="D559" t="s">
        <v>317</v>
      </c>
      <c r="E559" s="78">
        <v>25000</v>
      </c>
    </row>
    <row r="560" spans="1:5" hidden="1" x14ac:dyDescent="0.25">
      <c r="A560">
        <v>55</v>
      </c>
      <c r="B560" s="77">
        <v>45174</v>
      </c>
      <c r="C560" t="s">
        <v>174</v>
      </c>
      <c r="D560" t="s">
        <v>659</v>
      </c>
      <c r="E560" s="78">
        <v>32400</v>
      </c>
    </row>
    <row r="561" spans="1:9" hidden="1" x14ac:dyDescent="0.25">
      <c r="A561">
        <v>52</v>
      </c>
      <c r="B561" s="77">
        <v>45175</v>
      </c>
      <c r="C561" t="s">
        <v>174</v>
      </c>
      <c r="D561" t="s">
        <v>666</v>
      </c>
      <c r="E561" s="78">
        <v>36000</v>
      </c>
    </row>
    <row r="562" spans="1:9" hidden="1" x14ac:dyDescent="0.25">
      <c r="A562">
        <v>36</v>
      </c>
      <c r="B562" s="77">
        <v>45182</v>
      </c>
      <c r="C562" t="s">
        <v>200</v>
      </c>
      <c r="D562" t="s">
        <v>673</v>
      </c>
      <c r="E562" s="78">
        <v>85000</v>
      </c>
    </row>
    <row r="563" spans="1:9" hidden="1" x14ac:dyDescent="0.25">
      <c r="A563">
        <v>18</v>
      </c>
      <c r="B563" s="77">
        <v>45190</v>
      </c>
      <c r="C563" t="s">
        <v>174</v>
      </c>
      <c r="D563" t="s">
        <v>197</v>
      </c>
      <c r="E563" s="78">
        <v>100000</v>
      </c>
    </row>
    <row r="564" spans="1:9" hidden="1" x14ac:dyDescent="0.25">
      <c r="A564">
        <v>41</v>
      </c>
      <c r="B564" s="77">
        <v>45177</v>
      </c>
      <c r="C564" t="s">
        <v>180</v>
      </c>
      <c r="D564" t="s">
        <v>181</v>
      </c>
      <c r="F564" s="78">
        <v>94474.21</v>
      </c>
    </row>
    <row r="565" spans="1:9" hidden="1" x14ac:dyDescent="0.25">
      <c r="A565">
        <v>44</v>
      </c>
      <c r="B565" s="77">
        <v>45177</v>
      </c>
      <c r="C565" t="s">
        <v>336</v>
      </c>
      <c r="D565" t="s">
        <v>378</v>
      </c>
      <c r="F565" s="78">
        <v>311303.65000000002</v>
      </c>
    </row>
    <row r="566" spans="1:9" hidden="1" x14ac:dyDescent="0.25">
      <c r="A566">
        <v>34</v>
      </c>
      <c r="B566" s="77">
        <v>45184</v>
      </c>
      <c r="C566" t="s">
        <v>285</v>
      </c>
      <c r="D566" t="s">
        <v>288</v>
      </c>
      <c r="I566" s="78">
        <v>5000</v>
      </c>
    </row>
    <row r="567" spans="1:9" hidden="1" x14ac:dyDescent="0.25">
      <c r="A567">
        <v>14</v>
      </c>
      <c r="B567" s="77">
        <v>45191</v>
      </c>
      <c r="C567" t="s">
        <v>285</v>
      </c>
      <c r="D567" t="s">
        <v>288</v>
      </c>
      <c r="I567" s="78">
        <v>10000</v>
      </c>
    </row>
    <row r="568" spans="1:9" hidden="1" x14ac:dyDescent="0.25">
      <c r="A568">
        <v>35</v>
      </c>
      <c r="B568" s="77">
        <v>45182</v>
      </c>
      <c r="C568" t="s">
        <v>285</v>
      </c>
      <c r="D568" t="s">
        <v>288</v>
      </c>
      <c r="I568" s="78">
        <v>10000</v>
      </c>
    </row>
    <row r="569" spans="1:9" hidden="1" x14ac:dyDescent="0.25">
      <c r="A569">
        <v>30</v>
      </c>
      <c r="B569" s="77">
        <v>45187</v>
      </c>
      <c r="C569" t="s">
        <v>285</v>
      </c>
      <c r="D569" t="s">
        <v>288</v>
      </c>
      <c r="I569" s="78">
        <v>20000</v>
      </c>
    </row>
    <row r="570" spans="1:9" hidden="1" x14ac:dyDescent="0.25">
      <c r="A570">
        <v>22</v>
      </c>
      <c r="B570" s="77">
        <v>45218</v>
      </c>
      <c r="C570" t="s">
        <v>168</v>
      </c>
      <c r="D570" t="s">
        <v>209</v>
      </c>
      <c r="E570" s="78">
        <v>500</v>
      </c>
    </row>
    <row r="571" spans="1:9" hidden="1" x14ac:dyDescent="0.25">
      <c r="A571">
        <v>3</v>
      </c>
      <c r="B571" s="77">
        <v>45230</v>
      </c>
      <c r="C571" t="s">
        <v>172</v>
      </c>
      <c r="E571" s="78">
        <v>796.22</v>
      </c>
    </row>
    <row r="572" spans="1:9" hidden="1" x14ac:dyDescent="0.25">
      <c r="A572">
        <v>18</v>
      </c>
      <c r="B572" s="77">
        <v>45219</v>
      </c>
      <c r="C572" t="s">
        <v>168</v>
      </c>
      <c r="D572" t="s">
        <v>198</v>
      </c>
      <c r="E572" s="78">
        <v>1050</v>
      </c>
    </row>
    <row r="573" spans="1:9" hidden="1" x14ac:dyDescent="0.25">
      <c r="A573">
        <v>63</v>
      </c>
      <c r="B573" s="77">
        <v>45203</v>
      </c>
      <c r="C573" t="s">
        <v>168</v>
      </c>
      <c r="D573" t="s">
        <v>198</v>
      </c>
      <c r="E573" s="78">
        <v>1370</v>
      </c>
    </row>
    <row r="574" spans="1:9" hidden="1" x14ac:dyDescent="0.25">
      <c r="A574">
        <v>41</v>
      </c>
      <c r="B574" s="77">
        <v>45210</v>
      </c>
      <c r="C574" t="s">
        <v>168</v>
      </c>
      <c r="D574" t="s">
        <v>213</v>
      </c>
      <c r="E574" s="78">
        <v>1393</v>
      </c>
    </row>
    <row r="575" spans="1:9" hidden="1" x14ac:dyDescent="0.25">
      <c r="A575">
        <v>39</v>
      </c>
      <c r="B575" s="77">
        <v>45211</v>
      </c>
      <c r="C575" t="s">
        <v>168</v>
      </c>
      <c r="D575" t="s">
        <v>198</v>
      </c>
      <c r="E575" s="78">
        <v>1545</v>
      </c>
    </row>
    <row r="576" spans="1:9" hidden="1" x14ac:dyDescent="0.25">
      <c r="A576">
        <v>0</v>
      </c>
      <c r="B576" s="77">
        <v>45230</v>
      </c>
      <c r="C576" t="s">
        <v>168</v>
      </c>
      <c r="D576" t="s">
        <v>326</v>
      </c>
      <c r="E576" s="78">
        <v>1605</v>
      </c>
    </row>
    <row r="577" spans="1:5" hidden="1" x14ac:dyDescent="0.25">
      <c r="A577">
        <v>28</v>
      </c>
      <c r="B577" s="77">
        <v>45216</v>
      </c>
      <c r="C577" t="s">
        <v>168</v>
      </c>
      <c r="D577" t="s">
        <v>198</v>
      </c>
      <c r="E577" s="78">
        <v>1632.5</v>
      </c>
    </row>
    <row r="578" spans="1:5" hidden="1" x14ac:dyDescent="0.25">
      <c r="A578">
        <v>1</v>
      </c>
      <c r="B578" s="77">
        <v>45230</v>
      </c>
      <c r="C578" t="s">
        <v>168</v>
      </c>
      <c r="D578" t="s">
        <v>441</v>
      </c>
      <c r="E578" s="78">
        <v>1800</v>
      </c>
    </row>
    <row r="579" spans="1:5" hidden="1" x14ac:dyDescent="0.25">
      <c r="A579">
        <v>51</v>
      </c>
      <c r="B579" s="77">
        <v>45205</v>
      </c>
      <c r="C579" t="s">
        <v>168</v>
      </c>
      <c r="D579" t="s">
        <v>219</v>
      </c>
      <c r="E579" s="78">
        <v>1900</v>
      </c>
    </row>
    <row r="580" spans="1:5" hidden="1" x14ac:dyDescent="0.25">
      <c r="A580">
        <v>19</v>
      </c>
      <c r="B580" s="77">
        <v>45219</v>
      </c>
      <c r="C580" t="s">
        <v>168</v>
      </c>
      <c r="D580" t="s">
        <v>375</v>
      </c>
      <c r="E580" s="78">
        <v>1980</v>
      </c>
    </row>
    <row r="581" spans="1:5" hidden="1" x14ac:dyDescent="0.25">
      <c r="A581">
        <v>25</v>
      </c>
      <c r="B581" s="77">
        <v>45216</v>
      </c>
      <c r="C581" t="s">
        <v>168</v>
      </c>
      <c r="D581" t="s">
        <v>201</v>
      </c>
      <c r="E581" s="78">
        <v>2227</v>
      </c>
    </row>
    <row r="582" spans="1:5" hidden="1" x14ac:dyDescent="0.25">
      <c r="A582">
        <v>12</v>
      </c>
      <c r="B582" s="77">
        <v>45222</v>
      </c>
      <c r="C582" t="s">
        <v>168</v>
      </c>
      <c r="D582" t="s">
        <v>741</v>
      </c>
      <c r="E582" s="78">
        <v>2360</v>
      </c>
    </row>
    <row r="583" spans="1:5" hidden="1" x14ac:dyDescent="0.25">
      <c r="A583">
        <v>64</v>
      </c>
      <c r="B583" s="77">
        <v>45202</v>
      </c>
      <c r="C583" t="s">
        <v>168</v>
      </c>
      <c r="D583" t="s">
        <v>253</v>
      </c>
      <c r="E583" s="78">
        <v>3000</v>
      </c>
    </row>
    <row r="584" spans="1:5" hidden="1" x14ac:dyDescent="0.25">
      <c r="A584">
        <v>5</v>
      </c>
      <c r="B584" s="77">
        <v>45229</v>
      </c>
      <c r="C584" t="s">
        <v>168</v>
      </c>
      <c r="D584" t="s">
        <v>745</v>
      </c>
      <c r="E584" s="78">
        <v>3200</v>
      </c>
    </row>
    <row r="585" spans="1:5" hidden="1" x14ac:dyDescent="0.25">
      <c r="A585">
        <v>26</v>
      </c>
      <c r="B585" s="77">
        <v>45216</v>
      </c>
      <c r="C585" t="s">
        <v>168</v>
      </c>
      <c r="D585" t="s">
        <v>480</v>
      </c>
      <c r="E585" s="78">
        <v>3650</v>
      </c>
    </row>
    <row r="586" spans="1:5" hidden="1" x14ac:dyDescent="0.25">
      <c r="A586">
        <v>50</v>
      </c>
      <c r="B586" s="77">
        <v>45205</v>
      </c>
      <c r="C586" t="s">
        <v>168</v>
      </c>
      <c r="D586" t="s">
        <v>173</v>
      </c>
      <c r="E586" s="78">
        <v>3719.25</v>
      </c>
    </row>
    <row r="587" spans="1:5" hidden="1" x14ac:dyDescent="0.25">
      <c r="A587">
        <v>2</v>
      </c>
      <c r="B587" s="77">
        <v>45230</v>
      </c>
      <c r="C587" t="s">
        <v>171</v>
      </c>
      <c r="E587" s="78">
        <v>3791.5</v>
      </c>
    </row>
    <row r="588" spans="1:5" hidden="1" x14ac:dyDescent="0.25">
      <c r="A588">
        <v>37</v>
      </c>
      <c r="B588" s="77">
        <v>45211</v>
      </c>
      <c r="C588" t="s">
        <v>168</v>
      </c>
      <c r="D588" t="s">
        <v>208</v>
      </c>
      <c r="E588" s="78">
        <v>3910</v>
      </c>
    </row>
    <row r="589" spans="1:5" hidden="1" x14ac:dyDescent="0.25">
      <c r="A589">
        <v>13</v>
      </c>
      <c r="B589" s="77">
        <v>45222</v>
      </c>
      <c r="C589" t="s">
        <v>174</v>
      </c>
      <c r="D589" t="s">
        <v>210</v>
      </c>
      <c r="E589" s="78">
        <v>4000</v>
      </c>
    </row>
    <row r="590" spans="1:5" hidden="1" x14ac:dyDescent="0.25">
      <c r="A590">
        <v>6</v>
      </c>
      <c r="B590" s="77">
        <v>45229</v>
      </c>
      <c r="C590" t="s">
        <v>168</v>
      </c>
      <c r="D590" t="s">
        <v>208</v>
      </c>
      <c r="E590" s="78">
        <v>4250</v>
      </c>
    </row>
    <row r="591" spans="1:5" hidden="1" x14ac:dyDescent="0.25">
      <c r="A591">
        <v>74</v>
      </c>
      <c r="B591" s="77">
        <v>45201</v>
      </c>
      <c r="C591" t="s">
        <v>168</v>
      </c>
      <c r="D591" t="s">
        <v>219</v>
      </c>
      <c r="E591" s="78">
        <v>4500</v>
      </c>
    </row>
    <row r="592" spans="1:5" hidden="1" x14ac:dyDescent="0.25">
      <c r="A592">
        <v>75</v>
      </c>
      <c r="B592" s="77">
        <v>45201</v>
      </c>
      <c r="C592" t="s">
        <v>174</v>
      </c>
      <c r="D592" t="s">
        <v>210</v>
      </c>
      <c r="E592" s="78">
        <v>4600</v>
      </c>
    </row>
    <row r="593" spans="1:8" hidden="1" x14ac:dyDescent="0.25">
      <c r="A593">
        <v>56</v>
      </c>
      <c r="B593" s="77">
        <v>45204</v>
      </c>
      <c r="C593" t="s">
        <v>168</v>
      </c>
      <c r="D593" t="s">
        <v>208</v>
      </c>
      <c r="E593" s="78">
        <v>5400</v>
      </c>
    </row>
    <row r="594" spans="1:8" hidden="1" x14ac:dyDescent="0.25">
      <c r="A594">
        <v>38</v>
      </c>
      <c r="B594" s="77">
        <v>45211</v>
      </c>
      <c r="C594" t="s">
        <v>168</v>
      </c>
      <c r="D594" t="s">
        <v>213</v>
      </c>
      <c r="E594" s="78">
        <v>5459</v>
      </c>
    </row>
    <row r="595" spans="1:8" hidden="1" x14ac:dyDescent="0.25">
      <c r="A595">
        <v>27</v>
      </c>
      <c r="B595" s="77">
        <v>45216</v>
      </c>
      <c r="C595" t="s">
        <v>168</v>
      </c>
      <c r="D595" t="s">
        <v>201</v>
      </c>
      <c r="E595" s="78">
        <v>6150</v>
      </c>
    </row>
    <row r="596" spans="1:8" hidden="1" x14ac:dyDescent="0.25">
      <c r="A596">
        <v>23</v>
      </c>
      <c r="B596" s="77">
        <v>45218</v>
      </c>
      <c r="C596" t="s">
        <v>174</v>
      </c>
      <c r="D596" t="s">
        <v>735</v>
      </c>
      <c r="E596" s="78">
        <v>7000</v>
      </c>
    </row>
    <row r="597" spans="1:8" hidden="1" x14ac:dyDescent="0.25">
      <c r="A597">
        <v>20</v>
      </c>
      <c r="B597" s="77">
        <v>45219</v>
      </c>
      <c r="C597" t="s">
        <v>168</v>
      </c>
      <c r="D597" t="s">
        <v>213</v>
      </c>
      <c r="E597" s="78">
        <v>7014.43</v>
      </c>
    </row>
    <row r="598" spans="1:8" hidden="1" x14ac:dyDescent="0.25">
      <c r="A598">
        <v>44</v>
      </c>
      <c r="B598" s="77">
        <v>45208</v>
      </c>
      <c r="C598" t="s">
        <v>168</v>
      </c>
      <c r="D598" t="s">
        <v>219</v>
      </c>
      <c r="E598" s="78">
        <v>8300</v>
      </c>
    </row>
    <row r="599" spans="1:8" hidden="1" x14ac:dyDescent="0.25">
      <c r="A599">
        <v>11</v>
      </c>
      <c r="B599" s="77">
        <v>45224</v>
      </c>
      <c r="C599" t="s">
        <v>174</v>
      </c>
      <c r="D599" t="s">
        <v>742</v>
      </c>
      <c r="E599" s="78">
        <v>8600</v>
      </c>
    </row>
    <row r="600" spans="1:8" hidden="1" x14ac:dyDescent="0.25">
      <c r="A600">
        <v>62</v>
      </c>
      <c r="B600" s="77">
        <v>45203</v>
      </c>
      <c r="C600" t="s">
        <v>168</v>
      </c>
      <c r="D600" t="s">
        <v>213</v>
      </c>
      <c r="E600" s="78">
        <v>8997.2800000000007</v>
      </c>
    </row>
    <row r="601" spans="1:8" hidden="1" x14ac:dyDescent="0.25">
      <c r="A601">
        <v>67</v>
      </c>
      <c r="B601" s="77">
        <v>45202</v>
      </c>
      <c r="C601" t="s">
        <v>174</v>
      </c>
      <c r="D601" t="s">
        <v>722</v>
      </c>
      <c r="E601" s="78">
        <v>11000</v>
      </c>
    </row>
    <row r="602" spans="1:8" hidden="1" x14ac:dyDescent="0.25">
      <c r="A602">
        <v>43</v>
      </c>
      <c r="B602" s="77">
        <v>45208</v>
      </c>
      <c r="C602" t="s">
        <v>168</v>
      </c>
      <c r="D602" t="s">
        <v>335</v>
      </c>
      <c r="E602" s="78">
        <v>12000</v>
      </c>
    </row>
    <row r="603" spans="1:8" hidden="1" x14ac:dyDescent="0.25">
      <c r="A603">
        <v>30</v>
      </c>
      <c r="B603" s="77">
        <v>45216</v>
      </c>
      <c r="C603" t="s">
        <v>174</v>
      </c>
      <c r="D603" t="s">
        <v>210</v>
      </c>
      <c r="E603" s="78">
        <v>15000</v>
      </c>
    </row>
    <row r="604" spans="1:8" hidden="1" x14ac:dyDescent="0.25">
      <c r="A604">
        <v>53</v>
      </c>
      <c r="B604" s="77">
        <v>45205</v>
      </c>
      <c r="C604" t="s">
        <v>200</v>
      </c>
      <c r="D604" t="s">
        <v>490</v>
      </c>
      <c r="E604" s="78">
        <v>20000</v>
      </c>
    </row>
    <row r="605" spans="1:8" hidden="1" x14ac:dyDescent="0.25">
      <c r="A605">
        <v>8</v>
      </c>
      <c r="B605" s="77">
        <v>45226</v>
      </c>
      <c r="C605" t="s">
        <v>493</v>
      </c>
      <c r="D605" t="s">
        <v>494</v>
      </c>
      <c r="F605" s="78">
        <v>5061</v>
      </c>
    </row>
    <row r="606" spans="1:8" hidden="1" x14ac:dyDescent="0.25">
      <c r="A606">
        <v>55</v>
      </c>
      <c r="B606" s="77">
        <v>45204</v>
      </c>
      <c r="C606" t="s">
        <v>180</v>
      </c>
      <c r="D606" t="s">
        <v>181</v>
      </c>
      <c r="F606" s="78">
        <v>98958.47</v>
      </c>
    </row>
    <row r="607" spans="1:8" hidden="1" x14ac:dyDescent="0.25">
      <c r="A607">
        <v>57</v>
      </c>
      <c r="B607" s="77">
        <v>45204</v>
      </c>
      <c r="C607" t="s">
        <v>336</v>
      </c>
      <c r="D607" t="s">
        <v>378</v>
      </c>
      <c r="F607" s="78">
        <v>277323.13</v>
      </c>
    </row>
    <row r="608" spans="1:8" hidden="1" x14ac:dyDescent="0.25">
      <c r="A608">
        <v>60</v>
      </c>
      <c r="B608" s="77">
        <v>45204</v>
      </c>
      <c r="C608" t="s">
        <v>380</v>
      </c>
      <c r="H608" s="78">
        <v>22020</v>
      </c>
    </row>
    <row r="609" spans="1:9" hidden="1" x14ac:dyDescent="0.25">
      <c r="A609">
        <v>54</v>
      </c>
      <c r="B609" s="77">
        <v>45205</v>
      </c>
      <c r="C609" t="s">
        <v>207</v>
      </c>
      <c r="H609" s="78">
        <v>30000</v>
      </c>
    </row>
    <row r="610" spans="1:9" hidden="1" x14ac:dyDescent="0.25">
      <c r="A610">
        <v>61</v>
      </c>
      <c r="B610" s="77">
        <v>45204</v>
      </c>
      <c r="C610" t="s">
        <v>381</v>
      </c>
      <c r="H610" s="78">
        <v>33030</v>
      </c>
    </row>
    <row r="611" spans="1:9" hidden="1" x14ac:dyDescent="0.25">
      <c r="A611">
        <v>59</v>
      </c>
      <c r="B611" s="77">
        <v>45204</v>
      </c>
      <c r="C611" t="s">
        <v>379</v>
      </c>
      <c r="H611" s="78">
        <v>73400</v>
      </c>
    </row>
    <row r="612" spans="1:9" hidden="1" x14ac:dyDescent="0.25">
      <c r="A612">
        <v>42</v>
      </c>
      <c r="B612" s="77">
        <v>45209</v>
      </c>
      <c r="C612" t="s">
        <v>285</v>
      </c>
      <c r="D612" t="s">
        <v>288</v>
      </c>
      <c r="I612" s="78">
        <v>2000</v>
      </c>
    </row>
    <row r="613" spans="1:9" hidden="1" x14ac:dyDescent="0.25">
      <c r="A613">
        <v>10</v>
      </c>
      <c r="B613" s="77">
        <v>45225</v>
      </c>
      <c r="C613" t="s">
        <v>285</v>
      </c>
      <c r="D613" t="s">
        <v>743</v>
      </c>
      <c r="I613" s="78">
        <v>10000</v>
      </c>
    </row>
    <row r="614" spans="1:9" hidden="1" x14ac:dyDescent="0.25">
      <c r="A614">
        <v>29</v>
      </c>
      <c r="B614" s="77">
        <v>45216</v>
      </c>
      <c r="C614" t="s">
        <v>285</v>
      </c>
      <c r="D614" t="s">
        <v>288</v>
      </c>
      <c r="I614" s="78">
        <v>10000</v>
      </c>
    </row>
    <row r="615" spans="1:9" hidden="1" x14ac:dyDescent="0.25">
      <c r="A615">
        <v>65</v>
      </c>
      <c r="B615" s="77">
        <v>45202</v>
      </c>
      <c r="C615" t="s">
        <v>285</v>
      </c>
      <c r="D615" t="s">
        <v>288</v>
      </c>
      <c r="I615" s="78">
        <v>10000</v>
      </c>
    </row>
    <row r="616" spans="1:9" hidden="1" x14ac:dyDescent="0.25">
      <c r="A616">
        <v>66</v>
      </c>
      <c r="B616" s="77">
        <v>45202</v>
      </c>
      <c r="C616" t="s">
        <v>285</v>
      </c>
      <c r="D616" t="s">
        <v>311</v>
      </c>
      <c r="I616" s="78">
        <v>10000</v>
      </c>
    </row>
    <row r="617" spans="1:9" x14ac:dyDescent="0.25">
      <c r="A617">
        <v>56</v>
      </c>
      <c r="B617" s="77">
        <v>45237</v>
      </c>
      <c r="C617" t="s">
        <v>168</v>
      </c>
      <c r="D617" t="s">
        <v>741</v>
      </c>
      <c r="E617" s="78">
        <v>120</v>
      </c>
    </row>
    <row r="618" spans="1:9" x14ac:dyDescent="0.25">
      <c r="A618">
        <v>60</v>
      </c>
      <c r="B618" s="77">
        <v>45237</v>
      </c>
      <c r="C618" t="s">
        <v>168</v>
      </c>
      <c r="D618" t="s">
        <v>169</v>
      </c>
      <c r="E618" s="78">
        <v>390</v>
      </c>
    </row>
    <row r="619" spans="1:9" x14ac:dyDescent="0.25">
      <c r="A619">
        <v>0</v>
      </c>
      <c r="B619" s="77">
        <v>45260</v>
      </c>
      <c r="C619" t="s">
        <v>200</v>
      </c>
      <c r="D619" t="s">
        <v>796</v>
      </c>
      <c r="E619" s="78">
        <v>500</v>
      </c>
    </row>
    <row r="620" spans="1:9" x14ac:dyDescent="0.25">
      <c r="A620">
        <v>4</v>
      </c>
      <c r="B620" s="77">
        <v>45257</v>
      </c>
      <c r="C620" t="s">
        <v>168</v>
      </c>
      <c r="D620" t="s">
        <v>219</v>
      </c>
      <c r="E620" s="78">
        <v>900</v>
      </c>
    </row>
    <row r="621" spans="1:9" x14ac:dyDescent="0.25">
      <c r="A621">
        <v>34</v>
      </c>
      <c r="B621" s="77">
        <v>45245</v>
      </c>
      <c r="C621" t="s">
        <v>168</v>
      </c>
      <c r="D621" t="s">
        <v>797</v>
      </c>
      <c r="E621" s="78">
        <v>938.58</v>
      </c>
    </row>
    <row r="622" spans="1:9" x14ac:dyDescent="0.25">
      <c r="A622">
        <v>2</v>
      </c>
      <c r="B622" s="77">
        <v>45260</v>
      </c>
      <c r="C622" t="s">
        <v>172</v>
      </c>
      <c r="E622" s="78">
        <v>995.27</v>
      </c>
    </row>
    <row r="623" spans="1:9" x14ac:dyDescent="0.25">
      <c r="A623">
        <v>38</v>
      </c>
      <c r="B623" s="77">
        <v>45245</v>
      </c>
      <c r="C623" t="s">
        <v>200</v>
      </c>
      <c r="D623" t="s">
        <v>796</v>
      </c>
      <c r="E623" s="78">
        <v>1000</v>
      </c>
    </row>
    <row r="624" spans="1:9" x14ac:dyDescent="0.25">
      <c r="A624">
        <v>18</v>
      </c>
      <c r="B624" s="77">
        <v>45251</v>
      </c>
      <c r="C624" t="s">
        <v>168</v>
      </c>
      <c r="D624" t="s">
        <v>209</v>
      </c>
      <c r="E624" s="78">
        <v>1060</v>
      </c>
    </row>
    <row r="625" spans="1:5" x14ac:dyDescent="0.25">
      <c r="A625">
        <v>58</v>
      </c>
      <c r="B625" s="77">
        <v>45237</v>
      </c>
      <c r="C625" t="s">
        <v>168</v>
      </c>
      <c r="D625" t="s">
        <v>237</v>
      </c>
      <c r="E625" s="78">
        <v>1353</v>
      </c>
    </row>
    <row r="626" spans="1:5" x14ac:dyDescent="0.25">
      <c r="A626">
        <v>21</v>
      </c>
      <c r="B626" s="77">
        <v>45251</v>
      </c>
      <c r="C626" t="s">
        <v>168</v>
      </c>
      <c r="D626" t="s">
        <v>198</v>
      </c>
      <c r="E626" s="78">
        <v>1422.5</v>
      </c>
    </row>
    <row r="627" spans="1:5" x14ac:dyDescent="0.25">
      <c r="A627">
        <v>28</v>
      </c>
      <c r="B627" s="77">
        <v>45247</v>
      </c>
      <c r="C627" t="s">
        <v>168</v>
      </c>
      <c r="D627" t="s">
        <v>198</v>
      </c>
      <c r="E627" s="78">
        <v>1600</v>
      </c>
    </row>
    <row r="628" spans="1:5" x14ac:dyDescent="0.25">
      <c r="A628">
        <v>41</v>
      </c>
      <c r="B628" s="77">
        <v>45243</v>
      </c>
      <c r="C628" t="s">
        <v>168</v>
      </c>
      <c r="D628" t="s">
        <v>198</v>
      </c>
      <c r="E628" s="78">
        <v>1712.5</v>
      </c>
    </row>
    <row r="629" spans="1:5" x14ac:dyDescent="0.25">
      <c r="A629">
        <v>36</v>
      </c>
      <c r="B629" s="77">
        <v>45245</v>
      </c>
      <c r="C629" t="s">
        <v>168</v>
      </c>
      <c r="D629" t="s">
        <v>638</v>
      </c>
      <c r="E629" s="78">
        <v>1794</v>
      </c>
    </row>
    <row r="630" spans="1:5" x14ac:dyDescent="0.25">
      <c r="A630">
        <v>40</v>
      </c>
      <c r="B630" s="77">
        <v>45243</v>
      </c>
      <c r="C630" t="s">
        <v>168</v>
      </c>
      <c r="D630" t="s">
        <v>202</v>
      </c>
      <c r="E630" s="78">
        <v>1824.49</v>
      </c>
    </row>
    <row r="631" spans="1:5" x14ac:dyDescent="0.25">
      <c r="A631">
        <v>59</v>
      </c>
      <c r="B631" s="77">
        <v>45237</v>
      </c>
      <c r="C631" t="s">
        <v>168</v>
      </c>
      <c r="D631" t="s">
        <v>198</v>
      </c>
      <c r="E631" s="78">
        <v>1840</v>
      </c>
    </row>
    <row r="632" spans="1:5" x14ac:dyDescent="0.25">
      <c r="A632">
        <v>5</v>
      </c>
      <c r="B632" s="77">
        <v>45257</v>
      </c>
      <c r="C632" t="s">
        <v>168</v>
      </c>
      <c r="D632" t="s">
        <v>198</v>
      </c>
      <c r="E632" s="78">
        <v>1940</v>
      </c>
    </row>
    <row r="633" spans="1:5" x14ac:dyDescent="0.25">
      <c r="A633">
        <v>35</v>
      </c>
      <c r="B633" s="77">
        <v>45245</v>
      </c>
      <c r="C633" t="s">
        <v>168</v>
      </c>
      <c r="D633" t="s">
        <v>798</v>
      </c>
      <c r="E633" s="78">
        <v>2490</v>
      </c>
    </row>
    <row r="634" spans="1:5" x14ac:dyDescent="0.25">
      <c r="A634">
        <v>31</v>
      </c>
      <c r="B634" s="77">
        <v>45246</v>
      </c>
      <c r="C634" t="s">
        <v>200</v>
      </c>
      <c r="D634" t="s">
        <v>799</v>
      </c>
      <c r="E634" s="78">
        <v>2700</v>
      </c>
    </row>
    <row r="635" spans="1:5" x14ac:dyDescent="0.25">
      <c r="A635">
        <v>69</v>
      </c>
      <c r="B635" s="77">
        <v>45237</v>
      </c>
      <c r="C635" t="s">
        <v>174</v>
      </c>
      <c r="D635" t="s">
        <v>786</v>
      </c>
      <c r="E635" s="78">
        <v>3000</v>
      </c>
    </row>
    <row r="636" spans="1:5" x14ac:dyDescent="0.25">
      <c r="A636">
        <v>3</v>
      </c>
      <c r="B636" s="77">
        <v>45257</v>
      </c>
      <c r="C636" t="s">
        <v>168</v>
      </c>
      <c r="D636" t="s">
        <v>201</v>
      </c>
      <c r="E636" s="78">
        <v>3430</v>
      </c>
    </row>
    <row r="637" spans="1:5" x14ac:dyDescent="0.25">
      <c r="A637">
        <v>57</v>
      </c>
      <c r="B637" s="77">
        <v>45237</v>
      </c>
      <c r="C637" t="s">
        <v>168</v>
      </c>
      <c r="D637" t="s">
        <v>173</v>
      </c>
      <c r="E637" s="78">
        <v>4045.51</v>
      </c>
    </row>
    <row r="638" spans="1:5" x14ac:dyDescent="0.25">
      <c r="A638">
        <v>44</v>
      </c>
      <c r="B638" s="77">
        <v>45238</v>
      </c>
      <c r="C638" t="s">
        <v>168</v>
      </c>
      <c r="D638" t="s">
        <v>208</v>
      </c>
      <c r="E638" s="78">
        <v>4130</v>
      </c>
    </row>
    <row r="639" spans="1:5" x14ac:dyDescent="0.25">
      <c r="A639">
        <v>15</v>
      </c>
      <c r="B639" s="77">
        <v>45254</v>
      </c>
      <c r="C639" t="s">
        <v>168</v>
      </c>
      <c r="D639" t="s">
        <v>173</v>
      </c>
      <c r="E639" s="78">
        <v>4233.3</v>
      </c>
    </row>
    <row r="640" spans="1:5" x14ac:dyDescent="0.25">
      <c r="A640">
        <v>54</v>
      </c>
      <c r="B640" s="77">
        <v>45237</v>
      </c>
      <c r="C640" t="s">
        <v>168</v>
      </c>
      <c r="D640" t="s">
        <v>208</v>
      </c>
      <c r="E640" s="78">
        <v>4450</v>
      </c>
    </row>
    <row r="641" spans="1:5" x14ac:dyDescent="0.25">
      <c r="A641">
        <v>7</v>
      </c>
      <c r="B641" s="77">
        <v>45257</v>
      </c>
      <c r="C641" t="s">
        <v>174</v>
      </c>
      <c r="D641" t="s">
        <v>210</v>
      </c>
      <c r="E641" s="78">
        <v>4500</v>
      </c>
    </row>
    <row r="642" spans="1:5" x14ac:dyDescent="0.25">
      <c r="A642">
        <v>32</v>
      </c>
      <c r="B642" s="77">
        <v>45246</v>
      </c>
      <c r="C642" t="s">
        <v>174</v>
      </c>
      <c r="D642" t="s">
        <v>786</v>
      </c>
      <c r="E642" s="78">
        <v>4500</v>
      </c>
    </row>
    <row r="643" spans="1:5" x14ac:dyDescent="0.25">
      <c r="A643">
        <v>29</v>
      </c>
      <c r="B643" s="77">
        <v>45247</v>
      </c>
      <c r="C643" t="s">
        <v>168</v>
      </c>
      <c r="D643" t="s">
        <v>375</v>
      </c>
      <c r="E643" s="78">
        <v>4680</v>
      </c>
    </row>
    <row r="644" spans="1:5" x14ac:dyDescent="0.25">
      <c r="A644">
        <v>1</v>
      </c>
      <c r="B644" s="77">
        <v>45260</v>
      </c>
      <c r="C644" t="s">
        <v>171</v>
      </c>
      <c r="E644" s="78">
        <v>4739.38</v>
      </c>
    </row>
    <row r="645" spans="1:5" x14ac:dyDescent="0.25">
      <c r="A645">
        <v>27</v>
      </c>
      <c r="B645" s="77">
        <v>45247</v>
      </c>
      <c r="C645" t="s">
        <v>168</v>
      </c>
      <c r="D645" t="s">
        <v>298</v>
      </c>
      <c r="E645" s="78">
        <v>5200</v>
      </c>
    </row>
    <row r="646" spans="1:5" x14ac:dyDescent="0.25">
      <c r="A646">
        <v>37</v>
      </c>
      <c r="B646" s="77">
        <v>45245</v>
      </c>
      <c r="C646" t="s">
        <v>168</v>
      </c>
      <c r="D646" t="s">
        <v>208</v>
      </c>
      <c r="E646" s="78">
        <v>5600</v>
      </c>
    </row>
    <row r="647" spans="1:5" x14ac:dyDescent="0.25">
      <c r="A647">
        <v>20</v>
      </c>
      <c r="B647" s="77">
        <v>45251</v>
      </c>
      <c r="C647" t="s">
        <v>168</v>
      </c>
      <c r="D647" t="s">
        <v>741</v>
      </c>
      <c r="E647" s="78">
        <v>6300</v>
      </c>
    </row>
    <row r="648" spans="1:5" x14ac:dyDescent="0.25">
      <c r="A648">
        <v>19</v>
      </c>
      <c r="B648" s="77">
        <v>45251</v>
      </c>
      <c r="C648" t="s">
        <v>168</v>
      </c>
      <c r="D648" t="s">
        <v>806</v>
      </c>
      <c r="E648" s="78">
        <v>6400</v>
      </c>
    </row>
    <row r="649" spans="1:5" x14ac:dyDescent="0.25">
      <c r="A649">
        <v>67</v>
      </c>
      <c r="B649" s="77">
        <v>45237</v>
      </c>
      <c r="C649" t="s">
        <v>174</v>
      </c>
      <c r="D649" t="s">
        <v>787</v>
      </c>
      <c r="E649" s="78">
        <v>7000</v>
      </c>
    </row>
    <row r="650" spans="1:5" x14ac:dyDescent="0.25">
      <c r="A650">
        <v>17</v>
      </c>
      <c r="B650" s="77">
        <v>45253</v>
      </c>
      <c r="C650" t="s">
        <v>168</v>
      </c>
      <c r="D650" t="s">
        <v>213</v>
      </c>
      <c r="E650" s="78">
        <v>8920</v>
      </c>
    </row>
    <row r="651" spans="1:5" x14ac:dyDescent="0.25">
      <c r="A651">
        <v>68</v>
      </c>
      <c r="B651" s="77">
        <v>45237</v>
      </c>
      <c r="C651" t="s">
        <v>174</v>
      </c>
      <c r="D651" t="s">
        <v>210</v>
      </c>
      <c r="E651" s="78">
        <v>9000</v>
      </c>
    </row>
    <row r="652" spans="1:5" x14ac:dyDescent="0.25">
      <c r="A652">
        <v>30</v>
      </c>
      <c r="B652" s="77">
        <v>45246</v>
      </c>
      <c r="C652" t="s">
        <v>200</v>
      </c>
      <c r="D652" t="s">
        <v>800</v>
      </c>
      <c r="E652" s="78">
        <v>9100</v>
      </c>
    </row>
    <row r="653" spans="1:5" x14ac:dyDescent="0.25">
      <c r="A653">
        <v>6</v>
      </c>
      <c r="B653" s="77">
        <v>45257</v>
      </c>
      <c r="C653" t="s">
        <v>168</v>
      </c>
      <c r="D653" t="s">
        <v>208</v>
      </c>
      <c r="E653" s="78">
        <v>9300</v>
      </c>
    </row>
    <row r="654" spans="1:5" x14ac:dyDescent="0.25">
      <c r="A654">
        <v>55</v>
      </c>
      <c r="B654" s="77">
        <v>45237</v>
      </c>
      <c r="C654" t="s">
        <v>168</v>
      </c>
      <c r="D654" t="s">
        <v>201</v>
      </c>
      <c r="E654" s="78">
        <v>10978</v>
      </c>
    </row>
    <row r="655" spans="1:5" x14ac:dyDescent="0.25">
      <c r="A655">
        <v>8</v>
      </c>
      <c r="B655" s="77">
        <v>45257</v>
      </c>
      <c r="C655" t="s">
        <v>174</v>
      </c>
      <c r="D655" t="s">
        <v>210</v>
      </c>
      <c r="E655" s="78">
        <v>15000</v>
      </c>
    </row>
    <row r="656" spans="1:5" x14ac:dyDescent="0.25">
      <c r="A656">
        <v>66</v>
      </c>
      <c r="B656" s="77">
        <v>45237</v>
      </c>
      <c r="C656" t="s">
        <v>174</v>
      </c>
      <c r="D656" t="s">
        <v>210</v>
      </c>
      <c r="E656" s="78">
        <v>25000</v>
      </c>
    </row>
    <row r="657" spans="1:9" x14ac:dyDescent="0.25">
      <c r="A657">
        <v>39</v>
      </c>
      <c r="B657" s="77">
        <v>45244</v>
      </c>
      <c r="C657" t="s">
        <v>174</v>
      </c>
      <c r="D657" t="s">
        <v>271</v>
      </c>
      <c r="E657" s="78">
        <v>50000</v>
      </c>
    </row>
    <row r="658" spans="1:9" x14ac:dyDescent="0.25">
      <c r="A658">
        <v>9</v>
      </c>
      <c r="B658" s="77">
        <v>45257</v>
      </c>
      <c r="C658" t="s">
        <v>174</v>
      </c>
      <c r="D658" t="s">
        <v>197</v>
      </c>
      <c r="E658" s="78">
        <v>62000</v>
      </c>
    </row>
    <row r="659" spans="1:9" x14ac:dyDescent="0.25">
      <c r="A659">
        <v>45</v>
      </c>
      <c r="B659" s="77">
        <v>45238</v>
      </c>
      <c r="C659" t="s">
        <v>200</v>
      </c>
      <c r="D659" t="s">
        <v>378</v>
      </c>
      <c r="E659" s="78">
        <v>1000</v>
      </c>
    </row>
    <row r="660" spans="1:9" x14ac:dyDescent="0.25">
      <c r="A660">
        <v>64</v>
      </c>
      <c r="B660" s="77">
        <v>45237</v>
      </c>
      <c r="C660" t="s">
        <v>491</v>
      </c>
      <c r="D660" t="s">
        <v>492</v>
      </c>
      <c r="F660" s="78">
        <v>40655.21</v>
      </c>
    </row>
    <row r="661" spans="1:9" x14ac:dyDescent="0.25">
      <c r="A661">
        <v>53</v>
      </c>
      <c r="B661" s="77">
        <v>45237</v>
      </c>
      <c r="C661" t="s">
        <v>180</v>
      </c>
      <c r="D661" t="s">
        <v>181</v>
      </c>
      <c r="F661" s="78">
        <v>152680.32999999999</v>
      </c>
    </row>
    <row r="662" spans="1:9" x14ac:dyDescent="0.25">
      <c r="A662">
        <v>63</v>
      </c>
      <c r="B662" s="77">
        <v>45237</v>
      </c>
      <c r="C662" t="s">
        <v>336</v>
      </c>
      <c r="D662" t="s">
        <v>378</v>
      </c>
      <c r="F662" s="78">
        <v>347792.55</v>
      </c>
    </row>
    <row r="663" spans="1:9" x14ac:dyDescent="0.25">
      <c r="A663">
        <v>71</v>
      </c>
      <c r="B663" s="77">
        <v>45237</v>
      </c>
      <c r="C663" t="s">
        <v>207</v>
      </c>
      <c r="H663" s="78">
        <v>33103.56</v>
      </c>
    </row>
    <row r="664" spans="1:9" x14ac:dyDescent="0.25">
      <c r="A664">
        <v>42</v>
      </c>
      <c r="B664" s="77">
        <v>45243</v>
      </c>
      <c r="C664" t="s">
        <v>285</v>
      </c>
      <c r="D664" t="s">
        <v>288</v>
      </c>
      <c r="I664" s="78">
        <v>2000</v>
      </c>
    </row>
    <row r="665" spans="1:9" x14ac:dyDescent="0.25">
      <c r="A665">
        <v>62</v>
      </c>
      <c r="B665" s="77">
        <v>45237</v>
      </c>
      <c r="C665" t="s">
        <v>285</v>
      </c>
      <c r="D665" t="s">
        <v>288</v>
      </c>
      <c r="I665" s="78">
        <v>10000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1">
    <tabColor rgb="FF92D050"/>
  </sheetPr>
  <dimension ref="A1:H173"/>
  <sheetViews>
    <sheetView topLeftCell="A154" zoomScale="80" zoomScaleNormal="80" workbookViewId="0">
      <selection activeCell="H165" sqref="H165"/>
    </sheetView>
  </sheetViews>
  <sheetFormatPr baseColWidth="10" defaultRowHeight="15.75" x14ac:dyDescent="0.25"/>
  <cols>
    <col min="1" max="1" width="3.625" customWidth="1"/>
    <col min="2" max="2" width="15.75" customWidth="1"/>
    <col min="3" max="3" width="30.625" customWidth="1"/>
    <col min="4" max="4" width="40.625" customWidth="1"/>
    <col min="5" max="7" width="12.625" style="78" customWidth="1"/>
    <col min="8" max="8" width="14.5" bestFit="1" customWidth="1"/>
  </cols>
  <sheetData>
    <row r="1" spans="1:8" x14ac:dyDescent="0.25">
      <c r="A1" t="s">
        <v>188</v>
      </c>
      <c r="B1" t="s">
        <v>115</v>
      </c>
      <c r="C1" t="s">
        <v>166</v>
      </c>
      <c r="D1" t="s">
        <v>167</v>
      </c>
      <c r="E1" s="78" t="s">
        <v>195</v>
      </c>
      <c r="F1" s="78" t="s">
        <v>196</v>
      </c>
      <c r="G1" s="78" t="s">
        <v>192</v>
      </c>
      <c r="H1" t="s">
        <v>194</v>
      </c>
    </row>
    <row r="2" spans="1:8" hidden="1" x14ac:dyDescent="0.25">
      <c r="A2">
        <v>49</v>
      </c>
      <c r="B2" s="77">
        <v>45026</v>
      </c>
      <c r="C2" t="s">
        <v>182</v>
      </c>
      <c r="D2" t="s">
        <v>183</v>
      </c>
      <c r="E2" s="78">
        <v>8556</v>
      </c>
    </row>
    <row r="3" spans="1:8" hidden="1" x14ac:dyDescent="0.25">
      <c r="A3">
        <v>50</v>
      </c>
      <c r="B3" s="77">
        <v>45026</v>
      </c>
      <c r="C3" t="s">
        <v>182</v>
      </c>
      <c r="D3" t="s">
        <v>183</v>
      </c>
      <c r="E3" s="78">
        <v>393146.75</v>
      </c>
    </row>
    <row r="4" spans="1:8" hidden="1" x14ac:dyDescent="0.25">
      <c r="A4">
        <v>5</v>
      </c>
      <c r="B4" s="77">
        <v>45043</v>
      </c>
      <c r="C4" t="s">
        <v>338</v>
      </c>
      <c r="D4" t="s">
        <v>340</v>
      </c>
      <c r="F4" s="78">
        <v>35</v>
      </c>
    </row>
    <row r="5" spans="1:8" hidden="1" x14ac:dyDescent="0.25">
      <c r="A5">
        <v>68</v>
      </c>
      <c r="B5" s="77">
        <v>45017</v>
      </c>
      <c r="C5" t="s">
        <v>187</v>
      </c>
      <c r="F5" s="78">
        <v>51.64</v>
      </c>
    </row>
    <row r="6" spans="1:8" hidden="1" x14ac:dyDescent="0.25">
      <c r="A6">
        <v>6</v>
      </c>
      <c r="B6" s="77">
        <v>45043</v>
      </c>
      <c r="C6" t="s">
        <v>338</v>
      </c>
      <c r="D6" t="s">
        <v>341</v>
      </c>
      <c r="F6" s="78">
        <v>90</v>
      </c>
    </row>
    <row r="7" spans="1:8" hidden="1" x14ac:dyDescent="0.25">
      <c r="A7">
        <v>7</v>
      </c>
      <c r="B7" s="77">
        <v>45043</v>
      </c>
      <c r="C7" t="s">
        <v>338</v>
      </c>
      <c r="D7" t="s">
        <v>342</v>
      </c>
      <c r="F7" s="78">
        <v>94</v>
      </c>
    </row>
    <row r="8" spans="1:8" hidden="1" x14ac:dyDescent="0.25">
      <c r="A8">
        <v>8</v>
      </c>
      <c r="B8" s="77">
        <v>45043</v>
      </c>
      <c r="C8" t="s">
        <v>338</v>
      </c>
      <c r="D8" t="s">
        <v>348</v>
      </c>
      <c r="F8" s="78">
        <v>95</v>
      </c>
    </row>
    <row r="9" spans="1:8" hidden="1" x14ac:dyDescent="0.25">
      <c r="A9">
        <v>9</v>
      </c>
      <c r="B9" s="77">
        <v>45043</v>
      </c>
      <c r="C9" t="s">
        <v>338</v>
      </c>
      <c r="D9" t="s">
        <v>350</v>
      </c>
      <c r="F9" s="78">
        <v>181.11</v>
      </c>
    </row>
    <row r="10" spans="1:8" hidden="1" x14ac:dyDescent="0.25">
      <c r="A10">
        <v>10</v>
      </c>
      <c r="B10" s="77">
        <v>45043</v>
      </c>
      <c r="C10" t="s">
        <v>338</v>
      </c>
      <c r="D10" t="s">
        <v>349</v>
      </c>
      <c r="F10" s="78">
        <v>185</v>
      </c>
    </row>
    <row r="11" spans="1:8" hidden="1" x14ac:dyDescent="0.25">
      <c r="A11">
        <v>11</v>
      </c>
      <c r="B11" s="77">
        <v>45043</v>
      </c>
      <c r="C11" t="s">
        <v>338</v>
      </c>
      <c r="D11" t="s">
        <v>339</v>
      </c>
      <c r="F11" s="78">
        <v>263</v>
      </c>
    </row>
    <row r="12" spans="1:8" hidden="1" x14ac:dyDescent="0.25">
      <c r="A12">
        <v>12</v>
      </c>
      <c r="B12" s="77">
        <v>45043</v>
      </c>
      <c r="C12" t="s">
        <v>338</v>
      </c>
      <c r="D12" t="s">
        <v>347</v>
      </c>
      <c r="F12" s="78">
        <v>292.60000000000002</v>
      </c>
    </row>
    <row r="13" spans="1:8" hidden="1" x14ac:dyDescent="0.25">
      <c r="A13">
        <v>13</v>
      </c>
      <c r="B13" s="77">
        <v>45043</v>
      </c>
      <c r="C13" t="s">
        <v>338</v>
      </c>
      <c r="D13" t="s">
        <v>346</v>
      </c>
      <c r="F13" s="78">
        <v>304.42</v>
      </c>
    </row>
    <row r="14" spans="1:8" hidden="1" x14ac:dyDescent="0.25">
      <c r="A14">
        <v>14</v>
      </c>
      <c r="B14" s="77">
        <v>45043</v>
      </c>
      <c r="C14" t="s">
        <v>338</v>
      </c>
      <c r="D14" t="s">
        <v>345</v>
      </c>
      <c r="F14" s="78">
        <v>326.39</v>
      </c>
    </row>
    <row r="15" spans="1:8" hidden="1" x14ac:dyDescent="0.25">
      <c r="A15">
        <v>15</v>
      </c>
      <c r="B15" s="77">
        <v>45043</v>
      </c>
      <c r="C15" t="s">
        <v>338</v>
      </c>
      <c r="D15" t="s">
        <v>344</v>
      </c>
      <c r="F15" s="78">
        <v>353.9</v>
      </c>
    </row>
    <row r="16" spans="1:8" hidden="1" x14ac:dyDescent="0.25">
      <c r="A16">
        <v>16</v>
      </c>
      <c r="B16" s="77">
        <v>45043</v>
      </c>
      <c r="C16" t="s">
        <v>338</v>
      </c>
      <c r="D16" t="s">
        <v>343</v>
      </c>
      <c r="F16" s="78">
        <v>532</v>
      </c>
    </row>
    <row r="17" spans="1:7" hidden="1" x14ac:dyDescent="0.25">
      <c r="A17">
        <v>34</v>
      </c>
      <c r="B17" s="77">
        <v>45034</v>
      </c>
      <c r="C17" t="s">
        <v>267</v>
      </c>
      <c r="D17" t="s">
        <v>268</v>
      </c>
      <c r="F17" s="78">
        <v>6500</v>
      </c>
    </row>
    <row r="18" spans="1:7" hidden="1" x14ac:dyDescent="0.25">
      <c r="A18" s="82">
        <v>31</v>
      </c>
      <c r="B18" s="81">
        <v>45035</v>
      </c>
      <c r="C18" s="82" t="s">
        <v>199</v>
      </c>
      <c r="D18" s="82"/>
      <c r="E18" s="79"/>
      <c r="F18" s="79"/>
      <c r="G18" s="79">
        <v>64109.590000000084</v>
      </c>
    </row>
    <row r="19" spans="1:7" hidden="1" x14ac:dyDescent="0.25">
      <c r="A19">
        <v>54</v>
      </c>
      <c r="B19" s="77">
        <v>45051</v>
      </c>
      <c r="C19" t="s">
        <v>182</v>
      </c>
      <c r="D19" t="s">
        <v>183</v>
      </c>
      <c r="E19" s="78">
        <v>499330.36</v>
      </c>
    </row>
    <row r="20" spans="1:7" hidden="1" x14ac:dyDescent="0.25">
      <c r="A20">
        <v>71</v>
      </c>
      <c r="B20" s="77">
        <v>45047</v>
      </c>
      <c r="C20" t="s">
        <v>187</v>
      </c>
      <c r="F20" s="78">
        <v>49.24</v>
      </c>
    </row>
    <row r="21" spans="1:7" hidden="1" x14ac:dyDescent="0.25">
      <c r="A21">
        <v>51</v>
      </c>
      <c r="B21" s="77">
        <v>45054</v>
      </c>
      <c r="C21" t="s">
        <v>382</v>
      </c>
      <c r="D21" t="s">
        <v>383</v>
      </c>
      <c r="F21" s="78">
        <v>20000</v>
      </c>
    </row>
    <row r="22" spans="1:7" hidden="1" x14ac:dyDescent="0.25">
      <c r="A22">
        <v>35</v>
      </c>
      <c r="B22" s="77">
        <v>45061</v>
      </c>
      <c r="C22" t="s">
        <v>267</v>
      </c>
      <c r="D22" t="s">
        <v>384</v>
      </c>
      <c r="F22" s="78">
        <v>32000</v>
      </c>
    </row>
    <row r="23" spans="1:7" hidden="1" x14ac:dyDescent="0.25">
      <c r="A23">
        <v>49</v>
      </c>
      <c r="B23" s="77">
        <v>45054</v>
      </c>
      <c r="C23" t="s">
        <v>177</v>
      </c>
      <c r="D23" t="s">
        <v>206</v>
      </c>
      <c r="F23" s="78">
        <v>107000</v>
      </c>
    </row>
    <row r="24" spans="1:7" hidden="1" x14ac:dyDescent="0.25">
      <c r="A24">
        <v>53</v>
      </c>
      <c r="B24" s="77">
        <v>44931</v>
      </c>
      <c r="C24" t="s">
        <v>182</v>
      </c>
      <c r="D24" t="s">
        <v>183</v>
      </c>
      <c r="E24" s="78">
        <v>157806.07999999999</v>
      </c>
    </row>
    <row r="25" spans="1:7" hidden="1" x14ac:dyDescent="0.25">
      <c r="A25">
        <v>65</v>
      </c>
      <c r="B25" s="77">
        <v>44927</v>
      </c>
      <c r="C25" t="s">
        <v>187</v>
      </c>
      <c r="F25" s="78">
        <v>38.01</v>
      </c>
    </row>
    <row r="26" spans="1:7" hidden="1" x14ac:dyDescent="0.25">
      <c r="A26" s="82">
        <v>64</v>
      </c>
      <c r="B26" s="81">
        <v>44928</v>
      </c>
      <c r="C26" s="82" t="s">
        <v>269</v>
      </c>
      <c r="D26" s="82" t="s">
        <v>270</v>
      </c>
      <c r="E26" s="79"/>
      <c r="F26" s="79">
        <v>1000</v>
      </c>
      <c r="G26" s="79"/>
    </row>
    <row r="27" spans="1:7" hidden="1" x14ac:dyDescent="0.25">
      <c r="A27">
        <v>49</v>
      </c>
      <c r="B27" s="77">
        <v>44935</v>
      </c>
      <c r="C27" t="s">
        <v>177</v>
      </c>
      <c r="D27" t="s">
        <v>206</v>
      </c>
      <c r="F27" s="78">
        <v>1700</v>
      </c>
    </row>
    <row r="28" spans="1:7" hidden="1" x14ac:dyDescent="0.25">
      <c r="A28">
        <v>61</v>
      </c>
      <c r="B28" s="77">
        <v>44929</v>
      </c>
      <c r="C28" t="s">
        <v>177</v>
      </c>
      <c r="D28" t="s">
        <v>206</v>
      </c>
      <c r="F28" s="78">
        <v>2500</v>
      </c>
    </row>
    <row r="29" spans="1:7" hidden="1" x14ac:dyDescent="0.25">
      <c r="A29">
        <v>43</v>
      </c>
      <c r="B29" s="77">
        <v>44935</v>
      </c>
      <c r="C29" t="s">
        <v>234</v>
      </c>
      <c r="D29" t="s">
        <v>235</v>
      </c>
      <c r="F29" s="78">
        <v>20500</v>
      </c>
    </row>
    <row r="30" spans="1:7" hidden="1" x14ac:dyDescent="0.25">
      <c r="A30">
        <v>15</v>
      </c>
      <c r="B30" s="77">
        <v>44950</v>
      </c>
      <c r="C30" t="s">
        <v>177</v>
      </c>
      <c r="D30" t="s">
        <v>266</v>
      </c>
      <c r="F30" s="78">
        <v>23000</v>
      </c>
    </row>
    <row r="31" spans="1:7" hidden="1" x14ac:dyDescent="0.25">
      <c r="A31">
        <v>26</v>
      </c>
      <c r="B31" s="77">
        <v>44943</v>
      </c>
      <c r="C31" t="s">
        <v>267</v>
      </c>
      <c r="D31" t="s">
        <v>268</v>
      </c>
      <c r="F31" s="78">
        <v>47077</v>
      </c>
    </row>
    <row r="32" spans="1:7" hidden="1" x14ac:dyDescent="0.25">
      <c r="A32">
        <v>4</v>
      </c>
      <c r="B32" s="77">
        <v>44956</v>
      </c>
      <c r="C32" t="s">
        <v>177</v>
      </c>
      <c r="D32" t="s">
        <v>265</v>
      </c>
      <c r="F32" s="78">
        <v>80000</v>
      </c>
    </row>
    <row r="33" spans="1:8" hidden="1" x14ac:dyDescent="0.25">
      <c r="A33">
        <v>38</v>
      </c>
      <c r="B33" s="77">
        <v>44937</v>
      </c>
      <c r="C33" t="s">
        <v>199</v>
      </c>
      <c r="G33" s="78">
        <f>371575.34-350000</f>
        <v>21575.340000000026</v>
      </c>
    </row>
    <row r="34" spans="1:8" hidden="1" x14ac:dyDescent="0.25">
      <c r="A34">
        <v>15</v>
      </c>
      <c r="B34" s="77">
        <v>44981</v>
      </c>
      <c r="C34" t="s">
        <v>182</v>
      </c>
      <c r="D34" t="s">
        <v>183</v>
      </c>
      <c r="E34" s="78">
        <v>14261</v>
      </c>
    </row>
    <row r="35" spans="1:8" hidden="1" x14ac:dyDescent="0.25">
      <c r="A35">
        <v>25</v>
      </c>
      <c r="B35" s="77">
        <v>44974</v>
      </c>
      <c r="C35" t="s">
        <v>182</v>
      </c>
      <c r="D35" t="s">
        <v>183</v>
      </c>
      <c r="E35" s="78">
        <v>22818</v>
      </c>
    </row>
    <row r="36" spans="1:8" hidden="1" x14ac:dyDescent="0.25">
      <c r="A36">
        <v>62</v>
      </c>
      <c r="B36" s="77">
        <v>44960</v>
      </c>
      <c r="C36" t="s">
        <v>182</v>
      </c>
      <c r="D36" t="s">
        <v>183</v>
      </c>
      <c r="E36" s="78">
        <v>82673</v>
      </c>
    </row>
    <row r="37" spans="1:8" hidden="1" x14ac:dyDescent="0.25">
      <c r="A37">
        <v>58</v>
      </c>
      <c r="B37" s="77">
        <v>44963</v>
      </c>
      <c r="C37" t="s">
        <v>182</v>
      </c>
      <c r="D37" t="s">
        <v>183</v>
      </c>
      <c r="E37" s="78">
        <v>338576.37</v>
      </c>
    </row>
    <row r="38" spans="1:8" hidden="1" x14ac:dyDescent="0.25">
      <c r="A38">
        <v>73</v>
      </c>
      <c r="B38" s="77">
        <v>44958</v>
      </c>
      <c r="C38" t="s">
        <v>187</v>
      </c>
      <c r="F38" s="78">
        <v>48.19</v>
      </c>
    </row>
    <row r="39" spans="1:8" hidden="1" x14ac:dyDescent="0.25">
      <c r="A39">
        <v>2</v>
      </c>
      <c r="B39" s="77">
        <v>44984</v>
      </c>
      <c r="C39" t="s">
        <v>234</v>
      </c>
      <c r="D39" t="s">
        <v>214</v>
      </c>
      <c r="F39" s="78">
        <v>2000</v>
      </c>
    </row>
    <row r="40" spans="1:8" hidden="1" x14ac:dyDescent="0.25">
      <c r="A40">
        <v>8</v>
      </c>
      <c r="B40" s="77">
        <v>44984</v>
      </c>
      <c r="C40" t="s">
        <v>177</v>
      </c>
      <c r="D40" t="s">
        <v>206</v>
      </c>
      <c r="F40" s="78">
        <v>2000</v>
      </c>
    </row>
    <row r="41" spans="1:8" hidden="1" x14ac:dyDescent="0.25">
      <c r="A41">
        <v>57</v>
      </c>
      <c r="B41" s="77">
        <v>44963</v>
      </c>
      <c r="C41" t="s">
        <v>177</v>
      </c>
      <c r="D41" t="s">
        <v>284</v>
      </c>
      <c r="F41" s="78">
        <v>2000</v>
      </c>
    </row>
    <row r="42" spans="1:8" hidden="1" x14ac:dyDescent="0.25">
      <c r="A42">
        <v>33</v>
      </c>
      <c r="B42" s="77">
        <v>44971</v>
      </c>
      <c r="C42" t="s">
        <v>177</v>
      </c>
      <c r="D42" t="s">
        <v>206</v>
      </c>
      <c r="F42" s="78">
        <v>2798</v>
      </c>
    </row>
    <row r="43" spans="1:8" hidden="1" x14ac:dyDescent="0.25">
      <c r="A43">
        <v>61</v>
      </c>
      <c r="B43" s="77">
        <v>44960</v>
      </c>
      <c r="C43" t="s">
        <v>177</v>
      </c>
      <c r="D43" t="s">
        <v>206</v>
      </c>
      <c r="F43" s="78">
        <v>7000</v>
      </c>
    </row>
    <row r="44" spans="1:8" hidden="1" x14ac:dyDescent="0.25">
      <c r="A44">
        <v>74</v>
      </c>
      <c r="B44" s="77">
        <v>44988</v>
      </c>
      <c r="C44" t="s">
        <v>182</v>
      </c>
      <c r="D44" t="s">
        <v>183</v>
      </c>
      <c r="E44" s="78">
        <v>2852</v>
      </c>
      <c r="H44" s="78"/>
    </row>
    <row r="45" spans="1:8" hidden="1" x14ac:dyDescent="0.25">
      <c r="A45">
        <v>11</v>
      </c>
      <c r="B45" s="77">
        <v>45012</v>
      </c>
      <c r="C45" t="s">
        <v>182</v>
      </c>
      <c r="D45" t="s">
        <v>183</v>
      </c>
      <c r="E45" s="78">
        <v>8557</v>
      </c>
      <c r="H45" s="78"/>
    </row>
    <row r="46" spans="1:8" hidden="1" x14ac:dyDescent="0.25">
      <c r="A46">
        <v>36</v>
      </c>
      <c r="B46" s="77">
        <v>45002</v>
      </c>
      <c r="C46" t="s">
        <v>182</v>
      </c>
      <c r="D46" t="s">
        <v>183</v>
      </c>
      <c r="E46" s="78">
        <v>8557</v>
      </c>
      <c r="H46" s="78"/>
    </row>
    <row r="47" spans="1:8" hidden="1" x14ac:dyDescent="0.25">
      <c r="A47">
        <v>66</v>
      </c>
      <c r="B47" s="77">
        <v>44991</v>
      </c>
      <c r="C47" t="s">
        <v>182</v>
      </c>
      <c r="D47" t="s">
        <v>183</v>
      </c>
      <c r="E47" s="78">
        <v>21591.89</v>
      </c>
      <c r="H47" s="78"/>
    </row>
    <row r="48" spans="1:8" hidden="1" x14ac:dyDescent="0.25">
      <c r="A48">
        <v>67</v>
      </c>
      <c r="B48" s="77">
        <v>44991</v>
      </c>
      <c r="C48" t="s">
        <v>182</v>
      </c>
      <c r="D48" t="s">
        <v>183</v>
      </c>
      <c r="E48" s="78">
        <v>335293.31</v>
      </c>
      <c r="H48" s="78"/>
    </row>
    <row r="49" spans="1:8" hidden="1" x14ac:dyDescent="0.25">
      <c r="A49">
        <v>29</v>
      </c>
      <c r="B49" s="77">
        <v>45005</v>
      </c>
      <c r="C49" t="s">
        <v>182</v>
      </c>
      <c r="D49" t="s">
        <v>183</v>
      </c>
      <c r="E49" s="78">
        <v>1492603.35</v>
      </c>
      <c r="H49" s="78"/>
    </row>
    <row r="50" spans="1:8" hidden="1" x14ac:dyDescent="0.25">
      <c r="A50">
        <v>81</v>
      </c>
      <c r="B50" s="77">
        <v>44986</v>
      </c>
      <c r="C50" t="s">
        <v>187</v>
      </c>
      <c r="F50" s="78">
        <v>19.52</v>
      </c>
      <c r="H50" s="78"/>
    </row>
    <row r="51" spans="1:8" hidden="1" x14ac:dyDescent="0.25">
      <c r="A51">
        <v>46</v>
      </c>
      <c r="B51" s="77">
        <v>44995</v>
      </c>
      <c r="C51" t="s">
        <v>177</v>
      </c>
      <c r="D51" t="s">
        <v>309</v>
      </c>
      <c r="F51" s="78">
        <v>855</v>
      </c>
      <c r="H51" s="78"/>
    </row>
    <row r="52" spans="1:8" hidden="1" x14ac:dyDescent="0.25">
      <c r="A52">
        <v>61</v>
      </c>
      <c r="B52" s="77">
        <v>44992</v>
      </c>
      <c r="C52" t="s">
        <v>177</v>
      </c>
      <c r="D52" t="s">
        <v>206</v>
      </c>
      <c r="F52" s="78">
        <v>7600</v>
      </c>
      <c r="H52" s="78"/>
    </row>
    <row r="53" spans="1:8" hidden="1" x14ac:dyDescent="0.25">
      <c r="A53">
        <v>77</v>
      </c>
      <c r="B53" s="77">
        <v>44987</v>
      </c>
      <c r="C53" t="s">
        <v>267</v>
      </c>
      <c r="D53" t="s">
        <v>197</v>
      </c>
      <c r="F53" s="78">
        <v>50000</v>
      </c>
      <c r="H53" s="78"/>
    </row>
    <row r="54" spans="1:8" hidden="1" x14ac:dyDescent="0.25">
      <c r="A54">
        <v>35</v>
      </c>
      <c r="B54" s="77">
        <v>45002</v>
      </c>
      <c r="C54" t="s">
        <v>318</v>
      </c>
      <c r="D54" t="s">
        <v>319</v>
      </c>
      <c r="F54" s="78">
        <v>180587.63</v>
      </c>
      <c r="H54" s="78"/>
    </row>
    <row r="55" spans="1:8" hidden="1" x14ac:dyDescent="0.25">
      <c r="A55">
        <v>58</v>
      </c>
      <c r="B55" s="77">
        <v>44993</v>
      </c>
      <c r="C55" t="s">
        <v>199</v>
      </c>
      <c r="G55" s="78">
        <f xml:space="preserve"> 530821.92 - 500000</f>
        <v>30821.920000000042</v>
      </c>
      <c r="H55" s="78"/>
    </row>
    <row r="56" spans="1:8" hidden="1" x14ac:dyDescent="0.25">
      <c r="A56">
        <v>40</v>
      </c>
      <c r="B56" s="77">
        <v>45086</v>
      </c>
      <c r="C56" t="s">
        <v>182</v>
      </c>
      <c r="D56" t="s">
        <v>183</v>
      </c>
      <c r="E56" s="78">
        <v>13312</v>
      </c>
    </row>
    <row r="57" spans="1:8" hidden="1" x14ac:dyDescent="0.25">
      <c r="A57">
        <v>69</v>
      </c>
      <c r="B57" s="77">
        <v>45079</v>
      </c>
      <c r="C57" t="s">
        <v>182</v>
      </c>
      <c r="D57" t="s">
        <v>183</v>
      </c>
      <c r="E57" s="78">
        <v>25257</v>
      </c>
    </row>
    <row r="58" spans="1:8" hidden="1" x14ac:dyDescent="0.25">
      <c r="A58">
        <v>59</v>
      </c>
      <c r="B58" s="77">
        <v>45083</v>
      </c>
      <c r="C58" t="s">
        <v>182</v>
      </c>
      <c r="D58" t="s">
        <v>183</v>
      </c>
      <c r="E58" s="78">
        <v>380427.06</v>
      </c>
    </row>
    <row r="59" spans="1:8" hidden="1" x14ac:dyDescent="0.25">
      <c r="A59">
        <v>72</v>
      </c>
      <c r="B59" s="77">
        <v>45078</v>
      </c>
      <c r="C59" t="s">
        <v>187</v>
      </c>
      <c r="F59" s="78">
        <v>50.82</v>
      </c>
    </row>
    <row r="60" spans="1:8" hidden="1" x14ac:dyDescent="0.25">
      <c r="A60">
        <v>61</v>
      </c>
      <c r="B60" s="77">
        <v>45083</v>
      </c>
      <c r="C60" t="s">
        <v>338</v>
      </c>
      <c r="D60" t="s">
        <v>453</v>
      </c>
      <c r="F60" s="78">
        <v>69.88</v>
      </c>
    </row>
    <row r="61" spans="1:8" hidden="1" x14ac:dyDescent="0.25">
      <c r="A61">
        <v>47</v>
      </c>
      <c r="B61" s="77">
        <v>45084</v>
      </c>
      <c r="C61" t="s">
        <v>338</v>
      </c>
      <c r="D61" t="s">
        <v>341</v>
      </c>
      <c r="F61" s="78">
        <v>90</v>
      </c>
    </row>
    <row r="62" spans="1:8" hidden="1" x14ac:dyDescent="0.25">
      <c r="A62">
        <v>62</v>
      </c>
      <c r="B62" s="77">
        <v>45083</v>
      </c>
      <c r="C62" t="s">
        <v>338</v>
      </c>
      <c r="D62" t="s">
        <v>452</v>
      </c>
      <c r="F62" s="78">
        <v>230</v>
      </c>
    </row>
    <row r="63" spans="1:8" hidden="1" x14ac:dyDescent="0.25">
      <c r="A63">
        <v>48</v>
      </c>
      <c r="B63" s="77">
        <v>45084</v>
      </c>
      <c r="C63" t="s">
        <v>338</v>
      </c>
      <c r="D63" t="s">
        <v>453</v>
      </c>
      <c r="F63" s="78">
        <v>255</v>
      </c>
    </row>
    <row r="64" spans="1:8" hidden="1" x14ac:dyDescent="0.25">
      <c r="A64">
        <v>49</v>
      </c>
      <c r="B64" s="77">
        <v>45084</v>
      </c>
      <c r="C64" t="s">
        <v>338</v>
      </c>
      <c r="D64" t="s">
        <v>454</v>
      </c>
      <c r="F64" s="78">
        <v>316.61</v>
      </c>
    </row>
    <row r="65" spans="1:6" hidden="1" x14ac:dyDescent="0.25">
      <c r="A65">
        <v>63</v>
      </c>
      <c r="B65" s="77">
        <v>45083</v>
      </c>
      <c r="C65" t="s">
        <v>338</v>
      </c>
      <c r="D65" t="s">
        <v>450</v>
      </c>
      <c r="F65" s="78">
        <v>384.77</v>
      </c>
    </row>
    <row r="66" spans="1:6" hidden="1" x14ac:dyDescent="0.25">
      <c r="A66">
        <v>64</v>
      </c>
      <c r="B66" s="77">
        <v>45083</v>
      </c>
      <c r="C66" t="s">
        <v>338</v>
      </c>
      <c r="D66" t="s">
        <v>449</v>
      </c>
      <c r="F66" s="78">
        <v>400</v>
      </c>
    </row>
    <row r="67" spans="1:6" hidden="1" x14ac:dyDescent="0.25">
      <c r="A67">
        <v>50</v>
      </c>
      <c r="B67" s="77">
        <v>45084</v>
      </c>
      <c r="C67" t="s">
        <v>338</v>
      </c>
      <c r="D67" t="s">
        <v>455</v>
      </c>
      <c r="F67" s="78">
        <v>427</v>
      </c>
    </row>
    <row r="68" spans="1:6" hidden="1" x14ac:dyDescent="0.25">
      <c r="A68">
        <v>65</v>
      </c>
      <c r="B68" s="77">
        <v>45083</v>
      </c>
      <c r="C68" t="s">
        <v>338</v>
      </c>
      <c r="D68" t="s">
        <v>448</v>
      </c>
      <c r="F68" s="78">
        <v>444.62</v>
      </c>
    </row>
    <row r="69" spans="1:6" hidden="1" x14ac:dyDescent="0.25">
      <c r="A69">
        <v>51</v>
      </c>
      <c r="B69" s="77">
        <v>45084</v>
      </c>
      <c r="C69" t="s">
        <v>338</v>
      </c>
      <c r="D69" t="s">
        <v>456</v>
      </c>
      <c r="F69" s="78">
        <v>448.14</v>
      </c>
    </row>
    <row r="70" spans="1:6" hidden="1" x14ac:dyDescent="0.25">
      <c r="A70">
        <v>52</v>
      </c>
      <c r="B70" s="77">
        <v>45084</v>
      </c>
      <c r="C70" t="s">
        <v>338</v>
      </c>
      <c r="D70" t="s">
        <v>451</v>
      </c>
      <c r="F70" s="78">
        <v>463.25</v>
      </c>
    </row>
    <row r="71" spans="1:6" hidden="1" x14ac:dyDescent="0.25">
      <c r="A71">
        <v>66</v>
      </c>
      <c r="B71" s="77">
        <v>45083</v>
      </c>
      <c r="C71" t="s">
        <v>338</v>
      </c>
      <c r="D71" t="s">
        <v>447</v>
      </c>
      <c r="F71" s="78">
        <v>470.73</v>
      </c>
    </row>
    <row r="72" spans="1:6" hidden="1" x14ac:dyDescent="0.25">
      <c r="A72">
        <v>53</v>
      </c>
      <c r="B72" s="77">
        <v>45084</v>
      </c>
      <c r="C72" t="s">
        <v>338</v>
      </c>
      <c r="D72" t="s">
        <v>446</v>
      </c>
      <c r="F72" s="78">
        <v>645.69000000000005</v>
      </c>
    </row>
    <row r="73" spans="1:6" hidden="1" x14ac:dyDescent="0.25">
      <c r="A73">
        <v>28</v>
      </c>
      <c r="B73" s="77">
        <v>45128</v>
      </c>
      <c r="C73" t="s">
        <v>182</v>
      </c>
      <c r="D73" t="s">
        <v>183</v>
      </c>
      <c r="E73" s="78">
        <v>14202</v>
      </c>
    </row>
    <row r="74" spans="1:6" hidden="1" x14ac:dyDescent="0.25">
      <c r="A74">
        <v>68</v>
      </c>
      <c r="B74" s="77">
        <v>45113</v>
      </c>
      <c r="C74" t="s">
        <v>182</v>
      </c>
      <c r="D74" t="s">
        <v>183</v>
      </c>
      <c r="E74" s="78">
        <v>14202</v>
      </c>
    </row>
    <row r="75" spans="1:6" hidden="1" x14ac:dyDescent="0.25">
      <c r="A75">
        <v>9</v>
      </c>
      <c r="B75" s="77">
        <v>45135</v>
      </c>
      <c r="C75" t="s">
        <v>182</v>
      </c>
      <c r="D75" t="s">
        <v>183</v>
      </c>
      <c r="E75" s="78">
        <v>18936</v>
      </c>
    </row>
    <row r="76" spans="1:6" hidden="1" x14ac:dyDescent="0.25">
      <c r="A76">
        <v>40</v>
      </c>
      <c r="B76" s="77">
        <v>45124</v>
      </c>
      <c r="C76" t="s">
        <v>182</v>
      </c>
      <c r="D76" t="s">
        <v>183</v>
      </c>
      <c r="E76" s="78">
        <v>138717.65</v>
      </c>
    </row>
    <row r="77" spans="1:6" hidden="1" x14ac:dyDescent="0.25">
      <c r="A77">
        <v>70</v>
      </c>
      <c r="B77" s="77">
        <v>45112</v>
      </c>
      <c r="C77" t="s">
        <v>182</v>
      </c>
      <c r="D77" t="s">
        <v>183</v>
      </c>
      <c r="E77" s="78">
        <v>319803.76</v>
      </c>
    </row>
    <row r="78" spans="1:6" hidden="1" x14ac:dyDescent="0.25">
      <c r="A78">
        <v>71</v>
      </c>
      <c r="B78" s="77">
        <v>45112</v>
      </c>
      <c r="C78" t="s">
        <v>182</v>
      </c>
      <c r="D78" t="s">
        <v>183</v>
      </c>
      <c r="E78" s="78">
        <v>500106.03</v>
      </c>
    </row>
    <row r="79" spans="1:6" hidden="1" x14ac:dyDescent="0.25">
      <c r="A79">
        <v>80</v>
      </c>
      <c r="B79" s="77">
        <v>45108</v>
      </c>
      <c r="C79" t="s">
        <v>187</v>
      </c>
      <c r="F79" s="78">
        <v>24.87</v>
      </c>
    </row>
    <row r="80" spans="1:6" hidden="1" x14ac:dyDescent="0.25">
      <c r="A80">
        <v>55</v>
      </c>
      <c r="B80" s="77">
        <v>45117</v>
      </c>
      <c r="C80" t="s">
        <v>338</v>
      </c>
      <c r="D80" t="s">
        <v>501</v>
      </c>
      <c r="F80" s="78">
        <v>100</v>
      </c>
    </row>
    <row r="81" spans="1:6" hidden="1" x14ac:dyDescent="0.25">
      <c r="A81">
        <v>56</v>
      </c>
      <c r="B81" s="77">
        <v>45117</v>
      </c>
      <c r="C81" t="s">
        <v>338</v>
      </c>
      <c r="D81" t="s">
        <v>496</v>
      </c>
      <c r="F81" s="78">
        <v>161.19999999999999</v>
      </c>
    </row>
    <row r="82" spans="1:6" hidden="1" x14ac:dyDescent="0.25">
      <c r="A82">
        <v>57</v>
      </c>
      <c r="B82" s="77">
        <v>45117</v>
      </c>
      <c r="C82" t="s">
        <v>338</v>
      </c>
      <c r="D82" t="s">
        <v>500</v>
      </c>
      <c r="F82" s="78">
        <v>203.3</v>
      </c>
    </row>
    <row r="83" spans="1:6" hidden="1" x14ac:dyDescent="0.25">
      <c r="A83">
        <v>58</v>
      </c>
      <c r="B83" s="77">
        <v>45117</v>
      </c>
      <c r="C83" t="s">
        <v>338</v>
      </c>
      <c r="D83" t="s">
        <v>498</v>
      </c>
      <c r="F83" s="78">
        <v>233.91</v>
      </c>
    </row>
    <row r="84" spans="1:6" hidden="1" x14ac:dyDescent="0.25">
      <c r="A84">
        <v>59</v>
      </c>
      <c r="B84" s="77">
        <v>45117</v>
      </c>
      <c r="C84" t="s">
        <v>338</v>
      </c>
      <c r="D84" t="s">
        <v>499</v>
      </c>
      <c r="F84" s="78">
        <v>378</v>
      </c>
    </row>
    <row r="85" spans="1:6" hidden="1" x14ac:dyDescent="0.25">
      <c r="A85">
        <v>60</v>
      </c>
      <c r="B85" s="77">
        <v>45117</v>
      </c>
      <c r="C85" t="s">
        <v>338</v>
      </c>
      <c r="D85" t="s">
        <v>497</v>
      </c>
      <c r="F85" s="78">
        <v>519.29999999999995</v>
      </c>
    </row>
    <row r="86" spans="1:6" hidden="1" x14ac:dyDescent="0.25">
      <c r="A86">
        <v>61</v>
      </c>
      <c r="B86" s="77">
        <v>45117</v>
      </c>
      <c r="C86" t="s">
        <v>338</v>
      </c>
      <c r="D86" t="s">
        <v>495</v>
      </c>
      <c r="F86" s="78">
        <v>565.49</v>
      </c>
    </row>
    <row r="87" spans="1:6" hidden="1" x14ac:dyDescent="0.25">
      <c r="A87">
        <v>78</v>
      </c>
      <c r="B87" s="77">
        <v>45110</v>
      </c>
      <c r="C87" t="s">
        <v>267</v>
      </c>
      <c r="D87" t="s">
        <v>197</v>
      </c>
      <c r="F87" s="78">
        <v>30000</v>
      </c>
    </row>
    <row r="88" spans="1:6" hidden="1" x14ac:dyDescent="0.25">
      <c r="A88">
        <v>79</v>
      </c>
      <c r="B88" s="77">
        <v>45110</v>
      </c>
      <c r="C88" t="s">
        <v>267</v>
      </c>
      <c r="D88" t="s">
        <v>268</v>
      </c>
      <c r="F88" s="78">
        <v>30000</v>
      </c>
    </row>
    <row r="89" spans="1:6" hidden="1" x14ac:dyDescent="0.25">
      <c r="A89">
        <v>5</v>
      </c>
      <c r="B89" s="77">
        <v>45163</v>
      </c>
      <c r="C89" t="s">
        <v>182</v>
      </c>
      <c r="D89" t="s">
        <v>183</v>
      </c>
      <c r="E89" s="78">
        <v>9899</v>
      </c>
    </row>
    <row r="90" spans="1:6" hidden="1" x14ac:dyDescent="0.25">
      <c r="A90">
        <v>49</v>
      </c>
      <c r="B90" s="77">
        <v>45142</v>
      </c>
      <c r="C90" t="s">
        <v>182</v>
      </c>
      <c r="D90" t="s">
        <v>183</v>
      </c>
      <c r="E90" s="78">
        <v>14849</v>
      </c>
    </row>
    <row r="91" spans="1:6" hidden="1" x14ac:dyDescent="0.25">
      <c r="A91">
        <v>50</v>
      </c>
      <c r="B91" s="77">
        <v>45142</v>
      </c>
      <c r="C91" t="s">
        <v>182</v>
      </c>
      <c r="D91" t="s">
        <v>183</v>
      </c>
      <c r="E91" s="78">
        <v>512534.75</v>
      </c>
    </row>
    <row r="92" spans="1:6" hidden="1" x14ac:dyDescent="0.25">
      <c r="A92">
        <v>59</v>
      </c>
      <c r="B92" s="77">
        <v>45139</v>
      </c>
      <c r="C92" t="s">
        <v>187</v>
      </c>
      <c r="F92" s="78">
        <v>39.1</v>
      </c>
    </row>
    <row r="93" spans="1:6" hidden="1" x14ac:dyDescent="0.25">
      <c r="A93">
        <v>40</v>
      </c>
      <c r="B93" s="77">
        <v>45145</v>
      </c>
      <c r="C93" t="s">
        <v>338</v>
      </c>
      <c r="D93" t="s">
        <v>530</v>
      </c>
      <c r="F93" s="78">
        <v>135</v>
      </c>
    </row>
    <row r="94" spans="1:6" hidden="1" x14ac:dyDescent="0.25">
      <c r="A94">
        <v>41</v>
      </c>
      <c r="B94" s="77">
        <v>45145</v>
      </c>
      <c r="C94" t="s">
        <v>338</v>
      </c>
      <c r="D94" t="s">
        <v>531</v>
      </c>
      <c r="F94" s="78">
        <v>281</v>
      </c>
    </row>
    <row r="95" spans="1:6" hidden="1" x14ac:dyDescent="0.25">
      <c r="A95">
        <v>42</v>
      </c>
      <c r="B95" s="77">
        <v>45145</v>
      </c>
      <c r="C95" t="s">
        <v>338</v>
      </c>
      <c r="D95" t="s">
        <v>532</v>
      </c>
      <c r="F95" s="78">
        <v>413.95</v>
      </c>
    </row>
    <row r="96" spans="1:6" hidden="1" x14ac:dyDescent="0.25">
      <c r="A96">
        <v>43</v>
      </c>
      <c r="B96" s="77">
        <v>45145</v>
      </c>
      <c r="C96" t="s">
        <v>338</v>
      </c>
      <c r="D96" t="s">
        <v>533</v>
      </c>
      <c r="F96" s="78">
        <v>438.5</v>
      </c>
    </row>
    <row r="97" spans="1:6" hidden="1" x14ac:dyDescent="0.25">
      <c r="A97">
        <v>44</v>
      </c>
      <c r="B97" s="77">
        <v>45145</v>
      </c>
      <c r="C97" t="s">
        <v>338</v>
      </c>
      <c r="D97" t="s">
        <v>529</v>
      </c>
      <c r="F97" s="78">
        <v>548.04999999999995</v>
      </c>
    </row>
    <row r="98" spans="1:6" hidden="1" x14ac:dyDescent="0.25">
      <c r="A98">
        <v>45</v>
      </c>
      <c r="B98" s="77">
        <v>45145</v>
      </c>
      <c r="C98" t="s">
        <v>338</v>
      </c>
      <c r="D98" t="s">
        <v>534</v>
      </c>
      <c r="F98" s="78">
        <v>757</v>
      </c>
    </row>
    <row r="99" spans="1:6" hidden="1" x14ac:dyDescent="0.25">
      <c r="A99">
        <v>53</v>
      </c>
      <c r="B99" s="77">
        <v>45141</v>
      </c>
      <c r="C99" t="s">
        <v>382</v>
      </c>
      <c r="D99" t="s">
        <v>383</v>
      </c>
      <c r="F99" s="78">
        <v>80000</v>
      </c>
    </row>
    <row r="100" spans="1:6" hidden="1" x14ac:dyDescent="0.25">
      <c r="A100">
        <v>0</v>
      </c>
      <c r="B100" s="77">
        <v>45166</v>
      </c>
      <c r="C100" t="s">
        <v>267</v>
      </c>
      <c r="D100" t="s">
        <v>114</v>
      </c>
      <c r="F100" s="78">
        <v>100000</v>
      </c>
    </row>
    <row r="101" spans="1:6" hidden="1" x14ac:dyDescent="0.25">
      <c r="A101">
        <v>1</v>
      </c>
      <c r="B101" s="77">
        <v>45198</v>
      </c>
      <c r="C101" t="s">
        <v>182</v>
      </c>
      <c r="D101" t="s">
        <v>183</v>
      </c>
      <c r="E101" s="78">
        <v>5237</v>
      </c>
    </row>
    <row r="102" spans="1:6" hidden="1" x14ac:dyDescent="0.25">
      <c r="A102">
        <v>45</v>
      </c>
      <c r="B102" s="77">
        <v>45177</v>
      </c>
      <c r="C102" t="s">
        <v>182</v>
      </c>
      <c r="D102" t="s">
        <v>183</v>
      </c>
      <c r="E102" s="78">
        <v>36660</v>
      </c>
    </row>
    <row r="103" spans="1:6" hidden="1" x14ac:dyDescent="0.25">
      <c r="A103">
        <v>51</v>
      </c>
      <c r="B103" s="77">
        <v>45175</v>
      </c>
      <c r="C103" t="s">
        <v>182</v>
      </c>
      <c r="D103" t="s">
        <v>183</v>
      </c>
      <c r="E103" s="78">
        <v>673544.66</v>
      </c>
    </row>
    <row r="104" spans="1:6" hidden="1" x14ac:dyDescent="0.25">
      <c r="A104">
        <v>79</v>
      </c>
      <c r="B104" s="77">
        <v>45170</v>
      </c>
      <c r="C104" t="s">
        <v>187</v>
      </c>
      <c r="F104" s="78">
        <v>26.28</v>
      </c>
    </row>
    <row r="105" spans="1:6" hidden="1" x14ac:dyDescent="0.25">
      <c r="A105">
        <v>56</v>
      </c>
      <c r="B105" s="77">
        <v>45174</v>
      </c>
      <c r="C105" t="s">
        <v>338</v>
      </c>
      <c r="D105" t="s">
        <v>660</v>
      </c>
      <c r="F105" s="78">
        <v>79</v>
      </c>
    </row>
    <row r="106" spans="1:6" hidden="1" x14ac:dyDescent="0.25">
      <c r="A106">
        <v>57</v>
      </c>
      <c r="B106" s="77">
        <v>45174</v>
      </c>
      <c r="C106" t="s">
        <v>338</v>
      </c>
      <c r="D106" t="s">
        <v>657</v>
      </c>
      <c r="F106" s="78">
        <v>81.22</v>
      </c>
    </row>
    <row r="107" spans="1:6" hidden="1" x14ac:dyDescent="0.25">
      <c r="A107">
        <v>58</v>
      </c>
      <c r="B107" s="77">
        <v>45174</v>
      </c>
      <c r="C107" t="s">
        <v>338</v>
      </c>
      <c r="D107" t="s">
        <v>449</v>
      </c>
      <c r="F107" s="78">
        <v>221.61</v>
      </c>
    </row>
    <row r="108" spans="1:6" hidden="1" x14ac:dyDescent="0.25">
      <c r="A108">
        <v>59</v>
      </c>
      <c r="B108" s="77">
        <v>45174</v>
      </c>
      <c r="C108" t="s">
        <v>338</v>
      </c>
      <c r="D108" t="s">
        <v>663</v>
      </c>
      <c r="F108" s="78">
        <v>270</v>
      </c>
    </row>
    <row r="109" spans="1:6" hidden="1" x14ac:dyDescent="0.25">
      <c r="A109">
        <v>60</v>
      </c>
      <c r="B109" s="77">
        <v>45174</v>
      </c>
      <c r="C109" t="s">
        <v>338</v>
      </c>
      <c r="D109" t="s">
        <v>661</v>
      </c>
      <c r="F109" s="78">
        <v>344.17</v>
      </c>
    </row>
    <row r="110" spans="1:6" hidden="1" x14ac:dyDescent="0.25">
      <c r="A110">
        <v>61</v>
      </c>
      <c r="B110" s="77">
        <v>45174</v>
      </c>
      <c r="C110" t="s">
        <v>338</v>
      </c>
      <c r="D110" t="s">
        <v>664</v>
      </c>
      <c r="F110" s="78">
        <v>483</v>
      </c>
    </row>
    <row r="111" spans="1:6" hidden="1" x14ac:dyDescent="0.25">
      <c r="A111">
        <v>62</v>
      </c>
      <c r="B111" s="77">
        <v>45174</v>
      </c>
      <c r="C111" t="s">
        <v>338</v>
      </c>
      <c r="D111" t="s">
        <v>665</v>
      </c>
      <c r="F111" s="78">
        <v>600</v>
      </c>
    </row>
    <row r="112" spans="1:6" hidden="1" x14ac:dyDescent="0.25">
      <c r="A112">
        <v>63</v>
      </c>
      <c r="B112" s="77">
        <v>45174</v>
      </c>
      <c r="C112" t="s">
        <v>338</v>
      </c>
      <c r="D112" t="s">
        <v>662</v>
      </c>
      <c r="F112" s="78">
        <v>880.65</v>
      </c>
    </row>
    <row r="113" spans="1:6" hidden="1" x14ac:dyDescent="0.25">
      <c r="A113">
        <v>25</v>
      </c>
      <c r="B113" s="77">
        <v>45187</v>
      </c>
      <c r="C113" t="s">
        <v>234</v>
      </c>
      <c r="D113" t="s">
        <v>674</v>
      </c>
      <c r="F113" s="78">
        <v>15000</v>
      </c>
    </row>
    <row r="114" spans="1:6" hidden="1" x14ac:dyDescent="0.25">
      <c r="A114">
        <v>29</v>
      </c>
      <c r="B114" s="77">
        <v>45187</v>
      </c>
      <c r="C114" t="s">
        <v>177</v>
      </c>
      <c r="D114" t="s">
        <v>206</v>
      </c>
      <c r="F114" s="78">
        <v>15000</v>
      </c>
    </row>
    <row r="115" spans="1:6" hidden="1" x14ac:dyDescent="0.25">
      <c r="A115">
        <v>42</v>
      </c>
      <c r="B115" s="77">
        <v>45177</v>
      </c>
      <c r="C115" t="s">
        <v>177</v>
      </c>
      <c r="D115" t="s">
        <v>672</v>
      </c>
      <c r="F115" s="78">
        <v>16085.72</v>
      </c>
    </row>
    <row r="116" spans="1:6" hidden="1" x14ac:dyDescent="0.25">
      <c r="A116">
        <v>6</v>
      </c>
      <c r="B116" s="77">
        <v>45197</v>
      </c>
      <c r="C116" t="s">
        <v>234</v>
      </c>
      <c r="D116" t="s">
        <v>681</v>
      </c>
      <c r="F116" s="78">
        <v>30000</v>
      </c>
    </row>
    <row r="117" spans="1:6" hidden="1" x14ac:dyDescent="0.25">
      <c r="A117">
        <v>5</v>
      </c>
      <c r="B117" s="77">
        <v>45197</v>
      </c>
      <c r="C117" t="s">
        <v>234</v>
      </c>
      <c r="D117" t="s">
        <v>679</v>
      </c>
      <c r="F117" s="78">
        <v>50000</v>
      </c>
    </row>
    <row r="118" spans="1:6" hidden="1" x14ac:dyDescent="0.25">
      <c r="A118">
        <v>76</v>
      </c>
      <c r="B118" s="77">
        <v>45173</v>
      </c>
      <c r="C118" t="s">
        <v>382</v>
      </c>
      <c r="D118" t="s">
        <v>383</v>
      </c>
      <c r="F118" s="78">
        <v>80000</v>
      </c>
    </row>
    <row r="119" spans="1:6" hidden="1" x14ac:dyDescent="0.25">
      <c r="A119">
        <v>9</v>
      </c>
      <c r="B119" s="77">
        <v>45226</v>
      </c>
      <c r="C119" t="s">
        <v>182</v>
      </c>
      <c r="D119" t="s">
        <v>183</v>
      </c>
      <c r="E119" s="78">
        <v>5787</v>
      </c>
    </row>
    <row r="120" spans="1:6" hidden="1" x14ac:dyDescent="0.25">
      <c r="A120">
        <v>58</v>
      </c>
      <c r="B120" s="77">
        <v>45204</v>
      </c>
      <c r="C120" t="s">
        <v>182</v>
      </c>
      <c r="D120" t="s">
        <v>183</v>
      </c>
      <c r="E120" s="78">
        <v>566904.44999999995</v>
      </c>
    </row>
    <row r="121" spans="1:6" hidden="1" x14ac:dyDescent="0.25">
      <c r="A121">
        <v>76</v>
      </c>
      <c r="B121" s="77">
        <v>45200</v>
      </c>
      <c r="C121" t="s">
        <v>187</v>
      </c>
      <c r="F121" s="78">
        <v>19.309999999999999</v>
      </c>
    </row>
    <row r="122" spans="1:6" hidden="1" x14ac:dyDescent="0.25">
      <c r="A122">
        <v>21</v>
      </c>
      <c r="B122" s="77">
        <v>45219</v>
      </c>
      <c r="C122" t="s">
        <v>723</v>
      </c>
      <c r="D122" t="s">
        <v>736</v>
      </c>
      <c r="F122" s="78">
        <v>105</v>
      </c>
    </row>
    <row r="123" spans="1:6" hidden="1" x14ac:dyDescent="0.25">
      <c r="A123">
        <v>68</v>
      </c>
      <c r="B123" s="77">
        <v>45202</v>
      </c>
      <c r="C123" t="s">
        <v>338</v>
      </c>
      <c r="D123" t="s">
        <v>721</v>
      </c>
      <c r="F123" s="78">
        <v>197</v>
      </c>
    </row>
    <row r="124" spans="1:6" hidden="1" x14ac:dyDescent="0.25">
      <c r="A124">
        <v>15</v>
      </c>
      <c r="B124" s="77">
        <v>45222</v>
      </c>
      <c r="C124" t="s">
        <v>723</v>
      </c>
      <c r="D124" t="s">
        <v>739</v>
      </c>
      <c r="F124" s="78">
        <v>220.5</v>
      </c>
    </row>
    <row r="125" spans="1:6" hidden="1" x14ac:dyDescent="0.25">
      <c r="A125">
        <v>40</v>
      </c>
      <c r="B125" s="77">
        <v>45211</v>
      </c>
      <c r="C125" t="s">
        <v>723</v>
      </c>
      <c r="D125" t="s">
        <v>728</v>
      </c>
      <c r="F125" s="78">
        <v>292.52999999999997</v>
      </c>
    </row>
    <row r="126" spans="1:6" hidden="1" x14ac:dyDescent="0.25">
      <c r="A126">
        <v>34</v>
      </c>
      <c r="B126" s="77">
        <v>45216</v>
      </c>
      <c r="C126" t="s">
        <v>723</v>
      </c>
      <c r="D126" t="s">
        <v>733</v>
      </c>
      <c r="F126" s="78">
        <v>324.45</v>
      </c>
    </row>
    <row r="127" spans="1:6" hidden="1" x14ac:dyDescent="0.25">
      <c r="A127">
        <v>32</v>
      </c>
      <c r="B127" s="77">
        <v>45216</v>
      </c>
      <c r="C127" t="s">
        <v>723</v>
      </c>
      <c r="D127" t="s">
        <v>731</v>
      </c>
      <c r="F127" s="78">
        <v>342.83</v>
      </c>
    </row>
    <row r="128" spans="1:6" hidden="1" x14ac:dyDescent="0.25">
      <c r="A128">
        <v>69</v>
      </c>
      <c r="B128" s="77">
        <v>45202</v>
      </c>
      <c r="C128" t="s">
        <v>338</v>
      </c>
      <c r="D128" t="s">
        <v>720</v>
      </c>
      <c r="F128" s="78">
        <v>343.46</v>
      </c>
    </row>
    <row r="129" spans="1:6" hidden="1" x14ac:dyDescent="0.25">
      <c r="A129">
        <v>47</v>
      </c>
      <c r="B129" s="77">
        <v>45208</v>
      </c>
      <c r="C129" t="s">
        <v>723</v>
      </c>
      <c r="D129" t="s">
        <v>726</v>
      </c>
      <c r="F129" s="78">
        <v>399</v>
      </c>
    </row>
    <row r="130" spans="1:6" hidden="1" x14ac:dyDescent="0.25">
      <c r="A130">
        <v>16</v>
      </c>
      <c r="B130" s="77">
        <v>45222</v>
      </c>
      <c r="C130" t="s">
        <v>723</v>
      </c>
      <c r="D130" t="s">
        <v>738</v>
      </c>
      <c r="F130" s="78">
        <v>415.8</v>
      </c>
    </row>
    <row r="131" spans="1:6" hidden="1" x14ac:dyDescent="0.25">
      <c r="A131">
        <v>70</v>
      </c>
      <c r="B131" s="77">
        <v>45202</v>
      </c>
      <c r="C131" t="s">
        <v>338</v>
      </c>
      <c r="D131" t="s">
        <v>719</v>
      </c>
      <c r="F131" s="78">
        <v>420</v>
      </c>
    </row>
    <row r="132" spans="1:6" hidden="1" x14ac:dyDescent="0.25">
      <c r="A132">
        <v>71</v>
      </c>
      <c r="B132" s="77">
        <v>45202</v>
      </c>
      <c r="C132" t="s">
        <v>338</v>
      </c>
      <c r="D132" t="s">
        <v>718</v>
      </c>
      <c r="F132" s="78">
        <v>429.47</v>
      </c>
    </row>
    <row r="133" spans="1:6" hidden="1" x14ac:dyDescent="0.25">
      <c r="A133">
        <v>31</v>
      </c>
      <c r="B133" s="77">
        <v>45216</v>
      </c>
      <c r="C133" t="s">
        <v>723</v>
      </c>
      <c r="D133" t="s">
        <v>730</v>
      </c>
      <c r="F133" s="78">
        <v>467.67</v>
      </c>
    </row>
    <row r="134" spans="1:6" hidden="1" x14ac:dyDescent="0.25">
      <c r="A134">
        <v>14</v>
      </c>
      <c r="B134" s="77">
        <v>45222</v>
      </c>
      <c r="C134" t="s">
        <v>723</v>
      </c>
      <c r="D134" t="s">
        <v>740</v>
      </c>
      <c r="F134" s="78">
        <v>495.6</v>
      </c>
    </row>
    <row r="135" spans="1:6" hidden="1" x14ac:dyDescent="0.25">
      <c r="A135">
        <v>72</v>
      </c>
      <c r="B135" s="77">
        <v>45202</v>
      </c>
      <c r="C135" t="s">
        <v>338</v>
      </c>
      <c r="D135" t="s">
        <v>717</v>
      </c>
      <c r="F135" s="78">
        <v>580</v>
      </c>
    </row>
    <row r="136" spans="1:6" hidden="1" x14ac:dyDescent="0.25">
      <c r="A136">
        <v>73</v>
      </c>
      <c r="B136" s="77">
        <v>45202</v>
      </c>
      <c r="C136" t="s">
        <v>338</v>
      </c>
      <c r="D136" t="s">
        <v>716</v>
      </c>
      <c r="F136" s="78">
        <v>656.54</v>
      </c>
    </row>
    <row r="137" spans="1:6" hidden="1" x14ac:dyDescent="0.25">
      <c r="A137">
        <v>48</v>
      </c>
      <c r="B137" s="77">
        <v>45208</v>
      </c>
      <c r="C137" t="s">
        <v>723</v>
      </c>
      <c r="D137" t="s">
        <v>724</v>
      </c>
      <c r="F137" s="78">
        <v>781.04</v>
      </c>
    </row>
    <row r="138" spans="1:6" hidden="1" x14ac:dyDescent="0.25">
      <c r="A138">
        <v>35</v>
      </c>
      <c r="B138" s="77">
        <v>45216</v>
      </c>
      <c r="C138" t="s">
        <v>723</v>
      </c>
      <c r="D138" t="s">
        <v>734</v>
      </c>
      <c r="F138" s="78">
        <v>821.1</v>
      </c>
    </row>
    <row r="139" spans="1:6" hidden="1" x14ac:dyDescent="0.25">
      <c r="A139">
        <v>7</v>
      </c>
      <c r="B139" s="77">
        <v>45229</v>
      </c>
      <c r="C139" t="s">
        <v>723</v>
      </c>
      <c r="D139" t="s">
        <v>744</v>
      </c>
      <c r="F139" s="78">
        <v>892.5</v>
      </c>
    </row>
    <row r="140" spans="1:6" hidden="1" x14ac:dyDescent="0.25">
      <c r="A140">
        <v>36</v>
      </c>
      <c r="B140" s="77">
        <v>45216</v>
      </c>
      <c r="C140" t="s">
        <v>723</v>
      </c>
      <c r="D140" t="s">
        <v>729</v>
      </c>
      <c r="F140" s="78">
        <v>1146.3900000000001</v>
      </c>
    </row>
    <row r="141" spans="1:6" hidden="1" x14ac:dyDescent="0.25">
      <c r="A141">
        <v>33</v>
      </c>
      <c r="B141" s="77">
        <v>45216</v>
      </c>
      <c r="C141" t="s">
        <v>723</v>
      </c>
      <c r="D141" t="s">
        <v>732</v>
      </c>
      <c r="F141" s="78">
        <v>1291.5</v>
      </c>
    </row>
    <row r="142" spans="1:6" hidden="1" x14ac:dyDescent="0.25">
      <c r="A142">
        <v>17</v>
      </c>
      <c r="B142" s="77">
        <v>45222</v>
      </c>
      <c r="C142" t="s">
        <v>723</v>
      </c>
      <c r="D142" t="s">
        <v>737</v>
      </c>
      <c r="F142" s="78">
        <v>1473.03</v>
      </c>
    </row>
    <row r="143" spans="1:6" hidden="1" x14ac:dyDescent="0.25">
      <c r="A143">
        <v>24</v>
      </c>
      <c r="B143" s="77">
        <v>45216</v>
      </c>
      <c r="C143" t="s">
        <v>234</v>
      </c>
      <c r="D143" t="s">
        <v>674</v>
      </c>
      <c r="F143" s="78">
        <v>1500</v>
      </c>
    </row>
    <row r="144" spans="1:6" hidden="1" x14ac:dyDescent="0.25">
      <c r="A144">
        <v>45</v>
      </c>
      <c r="B144" s="77">
        <v>45208</v>
      </c>
      <c r="C144" t="s">
        <v>723</v>
      </c>
      <c r="D144" t="s">
        <v>727</v>
      </c>
      <c r="F144" s="78">
        <v>1743</v>
      </c>
    </row>
    <row r="145" spans="1:6" hidden="1" x14ac:dyDescent="0.25">
      <c r="A145">
        <v>46</v>
      </c>
      <c r="B145" s="77">
        <v>45208</v>
      </c>
      <c r="C145" t="s">
        <v>723</v>
      </c>
      <c r="D145" t="s">
        <v>725</v>
      </c>
      <c r="F145" s="78">
        <v>2520</v>
      </c>
    </row>
    <row r="146" spans="1:6" hidden="1" x14ac:dyDescent="0.25">
      <c r="A146">
        <v>4</v>
      </c>
      <c r="B146" s="77">
        <v>45229</v>
      </c>
      <c r="C146" t="s">
        <v>234</v>
      </c>
      <c r="D146" t="s">
        <v>674</v>
      </c>
      <c r="F146" s="78">
        <v>3000</v>
      </c>
    </row>
    <row r="147" spans="1:6" hidden="1" x14ac:dyDescent="0.25">
      <c r="A147">
        <v>49</v>
      </c>
      <c r="B147" s="77">
        <v>45205</v>
      </c>
      <c r="C147" t="s">
        <v>234</v>
      </c>
      <c r="D147" t="s">
        <v>681</v>
      </c>
      <c r="F147" s="78">
        <v>10000</v>
      </c>
    </row>
    <row r="148" spans="1:6" hidden="1" x14ac:dyDescent="0.25">
      <c r="A148">
        <v>52</v>
      </c>
      <c r="B148" s="77">
        <v>45205</v>
      </c>
      <c r="C148" t="s">
        <v>177</v>
      </c>
      <c r="D148" t="s">
        <v>672</v>
      </c>
      <c r="F148" s="78">
        <v>27412.38</v>
      </c>
    </row>
    <row r="149" spans="1:6" x14ac:dyDescent="0.25">
      <c r="A149">
        <v>65</v>
      </c>
      <c r="B149" s="77">
        <v>45237</v>
      </c>
      <c r="C149" t="s">
        <v>182</v>
      </c>
      <c r="D149" t="s">
        <v>183</v>
      </c>
      <c r="E149" s="78">
        <v>831308.7</v>
      </c>
    </row>
    <row r="150" spans="1:6" x14ac:dyDescent="0.25">
      <c r="A150">
        <v>73</v>
      </c>
      <c r="B150" s="77">
        <v>45231</v>
      </c>
      <c r="C150" t="s">
        <v>187</v>
      </c>
      <c r="F150" s="78">
        <v>6.24</v>
      </c>
    </row>
    <row r="151" spans="1:6" x14ac:dyDescent="0.25">
      <c r="A151">
        <v>46</v>
      </c>
      <c r="B151" s="77">
        <v>45238</v>
      </c>
      <c r="C151" t="s">
        <v>338</v>
      </c>
      <c r="D151" t="s">
        <v>789</v>
      </c>
      <c r="F151" s="78">
        <v>49.06</v>
      </c>
    </row>
    <row r="152" spans="1:6" x14ac:dyDescent="0.25">
      <c r="A152">
        <v>47</v>
      </c>
      <c r="B152" s="77">
        <v>45238</v>
      </c>
      <c r="C152" t="s">
        <v>338</v>
      </c>
      <c r="D152" t="s">
        <v>788</v>
      </c>
      <c r="F152" s="78">
        <v>139.30000000000001</v>
      </c>
    </row>
    <row r="153" spans="1:6" x14ac:dyDescent="0.25">
      <c r="A153">
        <v>10</v>
      </c>
      <c r="B153" s="77">
        <v>45257</v>
      </c>
      <c r="C153" t="s">
        <v>723</v>
      </c>
      <c r="D153" t="s">
        <v>809</v>
      </c>
      <c r="F153" s="78">
        <v>189</v>
      </c>
    </row>
    <row r="154" spans="1:6" x14ac:dyDescent="0.25">
      <c r="A154">
        <v>22</v>
      </c>
      <c r="B154" s="77">
        <v>45251</v>
      </c>
      <c r="C154" t="s">
        <v>723</v>
      </c>
      <c r="D154" t="s">
        <v>805</v>
      </c>
      <c r="F154" s="78">
        <v>222.6</v>
      </c>
    </row>
    <row r="155" spans="1:6" x14ac:dyDescent="0.25">
      <c r="A155">
        <v>48</v>
      </c>
      <c r="B155" s="77">
        <v>45238</v>
      </c>
      <c r="C155" t="s">
        <v>338</v>
      </c>
      <c r="D155" t="s">
        <v>794</v>
      </c>
      <c r="F155" s="78">
        <v>222.7</v>
      </c>
    </row>
    <row r="156" spans="1:6" x14ac:dyDescent="0.25">
      <c r="A156">
        <v>24</v>
      </c>
      <c r="B156" s="77">
        <v>45251</v>
      </c>
      <c r="C156" t="s">
        <v>723</v>
      </c>
      <c r="D156" t="s">
        <v>803</v>
      </c>
      <c r="F156" s="78">
        <v>298.73</v>
      </c>
    </row>
    <row r="157" spans="1:6" x14ac:dyDescent="0.25">
      <c r="A157">
        <v>25</v>
      </c>
      <c r="B157" s="77">
        <v>45251</v>
      </c>
      <c r="C157" t="s">
        <v>723</v>
      </c>
      <c r="D157" t="s">
        <v>802</v>
      </c>
      <c r="F157" s="78">
        <v>336</v>
      </c>
    </row>
    <row r="158" spans="1:6" x14ac:dyDescent="0.25">
      <c r="A158">
        <v>72</v>
      </c>
      <c r="B158" s="77">
        <v>45231</v>
      </c>
      <c r="C158" t="s">
        <v>723</v>
      </c>
      <c r="D158" t="s">
        <v>785</v>
      </c>
      <c r="F158" s="78">
        <v>337.05</v>
      </c>
    </row>
    <row r="159" spans="1:6" x14ac:dyDescent="0.25">
      <c r="A159">
        <v>43</v>
      </c>
      <c r="B159" s="77">
        <v>45243</v>
      </c>
      <c r="C159" t="s">
        <v>723</v>
      </c>
      <c r="D159" t="s">
        <v>795</v>
      </c>
      <c r="F159" s="78">
        <v>359.63</v>
      </c>
    </row>
    <row r="160" spans="1:6" x14ac:dyDescent="0.25">
      <c r="A160">
        <v>49</v>
      </c>
      <c r="B160" s="77">
        <v>45238</v>
      </c>
      <c r="C160" t="s">
        <v>338</v>
      </c>
      <c r="D160" t="s">
        <v>793</v>
      </c>
      <c r="F160" s="78">
        <v>371.92</v>
      </c>
    </row>
    <row r="161" spans="1:6" x14ac:dyDescent="0.25">
      <c r="A161">
        <v>12</v>
      </c>
      <c r="B161" s="77">
        <v>45257</v>
      </c>
      <c r="C161" t="s">
        <v>723</v>
      </c>
      <c r="D161" t="s">
        <v>811</v>
      </c>
      <c r="F161" s="78">
        <v>407.4</v>
      </c>
    </row>
    <row r="162" spans="1:6" x14ac:dyDescent="0.25">
      <c r="A162">
        <v>50</v>
      </c>
      <c r="B162" s="77">
        <v>45238</v>
      </c>
      <c r="C162" t="s">
        <v>338</v>
      </c>
      <c r="D162" t="s">
        <v>790</v>
      </c>
      <c r="F162" s="78">
        <v>540</v>
      </c>
    </row>
    <row r="163" spans="1:6" x14ac:dyDescent="0.25">
      <c r="A163">
        <v>51</v>
      </c>
      <c r="B163" s="77">
        <v>45238</v>
      </c>
      <c r="C163" t="s">
        <v>338</v>
      </c>
      <c r="D163" t="s">
        <v>791</v>
      </c>
      <c r="F163" s="78">
        <v>615</v>
      </c>
    </row>
    <row r="164" spans="1:6" x14ac:dyDescent="0.25">
      <c r="A164">
        <v>11</v>
      </c>
      <c r="B164" s="77">
        <v>45257</v>
      </c>
      <c r="C164" t="s">
        <v>723</v>
      </c>
      <c r="D164" t="s">
        <v>810</v>
      </c>
      <c r="F164" s="78">
        <v>720.3</v>
      </c>
    </row>
    <row r="165" spans="1:6" x14ac:dyDescent="0.25">
      <c r="A165">
        <v>14</v>
      </c>
      <c r="B165" s="77">
        <v>45257</v>
      </c>
      <c r="C165" t="s">
        <v>723</v>
      </c>
      <c r="D165" t="s">
        <v>813</v>
      </c>
      <c r="F165" s="78">
        <v>888.99</v>
      </c>
    </row>
    <row r="166" spans="1:6" x14ac:dyDescent="0.25">
      <c r="A166">
        <v>52</v>
      </c>
      <c r="B166" s="77">
        <v>45238</v>
      </c>
      <c r="C166" t="s">
        <v>338</v>
      </c>
      <c r="D166" t="s">
        <v>792</v>
      </c>
      <c r="F166" s="78">
        <v>899.72</v>
      </c>
    </row>
    <row r="167" spans="1:6" x14ac:dyDescent="0.25">
      <c r="A167">
        <v>26</v>
      </c>
      <c r="B167" s="77">
        <v>45251</v>
      </c>
      <c r="C167" t="s">
        <v>723</v>
      </c>
      <c r="D167" t="s">
        <v>807</v>
      </c>
      <c r="F167" s="78">
        <v>982.8</v>
      </c>
    </row>
    <row r="168" spans="1:6" x14ac:dyDescent="0.25">
      <c r="A168">
        <v>33</v>
      </c>
      <c r="B168" s="77">
        <v>45246</v>
      </c>
      <c r="C168" t="s">
        <v>723</v>
      </c>
      <c r="D168" t="s">
        <v>801</v>
      </c>
      <c r="F168" s="78">
        <v>1176</v>
      </c>
    </row>
    <row r="169" spans="1:6" x14ac:dyDescent="0.25">
      <c r="A169">
        <v>23</v>
      </c>
      <c r="B169" s="77">
        <v>45251</v>
      </c>
      <c r="C169" t="s">
        <v>723</v>
      </c>
      <c r="D169" t="s">
        <v>804</v>
      </c>
      <c r="F169" s="78">
        <v>1323</v>
      </c>
    </row>
    <row r="170" spans="1:6" x14ac:dyDescent="0.25">
      <c r="A170">
        <v>16</v>
      </c>
      <c r="B170" s="77">
        <v>45254</v>
      </c>
      <c r="C170" t="s">
        <v>723</v>
      </c>
      <c r="D170" t="s">
        <v>808</v>
      </c>
      <c r="F170" s="78">
        <v>1873.2</v>
      </c>
    </row>
    <row r="171" spans="1:6" x14ac:dyDescent="0.25">
      <c r="A171">
        <v>13</v>
      </c>
      <c r="B171" s="77">
        <v>45257</v>
      </c>
      <c r="C171" t="s">
        <v>723</v>
      </c>
      <c r="D171" t="s">
        <v>812</v>
      </c>
      <c r="F171" s="78">
        <v>1953</v>
      </c>
    </row>
    <row r="172" spans="1:6" x14ac:dyDescent="0.25">
      <c r="A172">
        <v>61</v>
      </c>
      <c r="B172" s="77">
        <v>45237</v>
      </c>
      <c r="C172" t="s">
        <v>177</v>
      </c>
      <c r="D172" t="s">
        <v>672</v>
      </c>
      <c r="F172" s="78">
        <v>28778</v>
      </c>
    </row>
    <row r="173" spans="1:6" x14ac:dyDescent="0.25">
      <c r="A173">
        <v>70</v>
      </c>
      <c r="B173" s="77">
        <v>45237</v>
      </c>
      <c r="C173" t="s">
        <v>199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BDF89-3BEA-4593-A3C4-E634C2E95626}">
  <sheetPr codeName="Hoja6">
    <tabColor theme="9"/>
  </sheetPr>
  <dimension ref="A1:I215"/>
  <sheetViews>
    <sheetView topLeftCell="A188" workbookViewId="0">
      <selection activeCell="B69" sqref="B69"/>
    </sheetView>
  </sheetViews>
  <sheetFormatPr baseColWidth="10" defaultRowHeight="15.75" x14ac:dyDescent="0.25"/>
  <cols>
    <col min="5" max="5" width="50.625" customWidth="1"/>
    <col min="6" max="6" width="14.25" customWidth="1"/>
    <col min="7" max="8" width="12.625" style="278" customWidth="1"/>
    <col min="9" max="9" width="14.375" customWidth="1"/>
  </cols>
  <sheetData>
    <row r="1" spans="1:9" x14ac:dyDescent="0.25">
      <c r="A1" t="s">
        <v>544</v>
      </c>
      <c r="B1" t="s">
        <v>584</v>
      </c>
      <c r="C1" t="s">
        <v>585</v>
      </c>
      <c r="D1" t="s">
        <v>586</v>
      </c>
      <c r="E1" t="s">
        <v>587</v>
      </c>
      <c r="F1" t="s">
        <v>588</v>
      </c>
      <c r="G1" s="279" t="s">
        <v>589</v>
      </c>
      <c r="H1" s="279" t="s">
        <v>590</v>
      </c>
      <c r="I1" t="s">
        <v>591</v>
      </c>
    </row>
    <row r="2" spans="1:9" hidden="1" x14ac:dyDescent="0.25">
      <c r="A2" s="77">
        <v>44922</v>
      </c>
      <c r="B2" s="277" t="s">
        <v>592</v>
      </c>
      <c r="C2" t="s">
        <v>593</v>
      </c>
      <c r="D2">
        <v>4761</v>
      </c>
      <c r="E2" t="s">
        <v>594</v>
      </c>
      <c r="F2" s="280">
        <v>45117</v>
      </c>
      <c r="G2" s="278">
        <v>21189.8</v>
      </c>
      <c r="H2" s="278">
        <v>0</v>
      </c>
      <c r="I2" t="s">
        <v>114</v>
      </c>
    </row>
    <row r="3" spans="1:9" hidden="1" x14ac:dyDescent="0.25">
      <c r="A3" s="77">
        <v>44984</v>
      </c>
      <c r="B3" s="277" t="s">
        <v>592</v>
      </c>
      <c r="C3" t="s">
        <v>593</v>
      </c>
      <c r="D3">
        <v>620</v>
      </c>
      <c r="E3" t="s">
        <v>595</v>
      </c>
      <c r="F3" s="280">
        <v>45052</v>
      </c>
      <c r="G3" s="278">
        <v>720.8</v>
      </c>
      <c r="H3" s="278">
        <v>0</v>
      </c>
      <c r="I3" t="s">
        <v>114</v>
      </c>
    </row>
    <row r="4" spans="1:9" hidden="1" x14ac:dyDescent="0.25">
      <c r="A4" s="77">
        <v>45039</v>
      </c>
      <c r="B4" s="277" t="s">
        <v>592</v>
      </c>
      <c r="C4" t="s">
        <v>593</v>
      </c>
      <c r="D4">
        <v>299</v>
      </c>
      <c r="E4" t="s">
        <v>596</v>
      </c>
      <c r="F4" s="280">
        <v>45021</v>
      </c>
      <c r="G4" s="278">
        <v>3932</v>
      </c>
      <c r="H4" s="278">
        <v>0</v>
      </c>
      <c r="I4" t="s">
        <v>114</v>
      </c>
    </row>
    <row r="5" spans="1:9" hidden="1" x14ac:dyDescent="0.25">
      <c r="A5" s="77">
        <v>45041</v>
      </c>
      <c r="B5" s="277" t="s">
        <v>592</v>
      </c>
      <c r="C5" t="s">
        <v>593</v>
      </c>
      <c r="D5">
        <v>393</v>
      </c>
      <c r="E5" t="s">
        <v>596</v>
      </c>
      <c r="F5" s="280">
        <v>44990</v>
      </c>
      <c r="G5" s="278">
        <v>931.04</v>
      </c>
      <c r="H5" s="278">
        <v>0</v>
      </c>
      <c r="I5" t="s">
        <v>114</v>
      </c>
    </row>
    <row r="6" spans="1:9" hidden="1" x14ac:dyDescent="0.25">
      <c r="A6" s="77">
        <v>45041</v>
      </c>
      <c r="B6" s="277" t="s">
        <v>592</v>
      </c>
      <c r="C6" t="s">
        <v>593</v>
      </c>
      <c r="D6">
        <v>396</v>
      </c>
      <c r="E6" t="s">
        <v>596</v>
      </c>
      <c r="F6" s="280">
        <v>44990</v>
      </c>
      <c r="G6" s="278">
        <v>6666.58</v>
      </c>
      <c r="H6" s="278">
        <v>0</v>
      </c>
      <c r="I6" t="s">
        <v>114</v>
      </c>
    </row>
    <row r="7" spans="1:9" hidden="1" x14ac:dyDescent="0.25">
      <c r="A7" s="77">
        <v>45050</v>
      </c>
      <c r="B7" s="277" t="s">
        <v>592</v>
      </c>
      <c r="C7" t="s">
        <v>593</v>
      </c>
      <c r="D7">
        <v>878</v>
      </c>
      <c r="E7" t="s">
        <v>596</v>
      </c>
      <c r="F7" s="280">
        <v>44990</v>
      </c>
      <c r="G7" s="278">
        <v>1963.39</v>
      </c>
      <c r="H7" s="278">
        <v>0</v>
      </c>
      <c r="I7" t="s">
        <v>114</v>
      </c>
    </row>
    <row r="8" spans="1:9" hidden="1" x14ac:dyDescent="0.25">
      <c r="A8" s="77">
        <v>45051</v>
      </c>
      <c r="B8" s="277" t="s">
        <v>592</v>
      </c>
      <c r="C8" t="s">
        <v>593</v>
      </c>
      <c r="D8">
        <v>8701</v>
      </c>
      <c r="E8" t="s">
        <v>594</v>
      </c>
      <c r="F8" s="280">
        <v>44991</v>
      </c>
      <c r="G8" s="278">
        <v>17833.169999999998</v>
      </c>
      <c r="H8" s="278">
        <v>0</v>
      </c>
      <c r="I8" t="s">
        <v>114</v>
      </c>
    </row>
    <row r="9" spans="1:9" hidden="1" x14ac:dyDescent="0.25">
      <c r="A9" s="77">
        <v>45083</v>
      </c>
      <c r="B9" s="277" t="s">
        <v>592</v>
      </c>
      <c r="C9" t="s">
        <v>593</v>
      </c>
      <c r="D9">
        <v>999816</v>
      </c>
      <c r="E9" t="s">
        <v>597</v>
      </c>
      <c r="F9" s="280">
        <v>44988</v>
      </c>
      <c r="G9" s="278">
        <v>10267.11</v>
      </c>
      <c r="H9" s="278">
        <v>0</v>
      </c>
      <c r="I9" t="s">
        <v>114</v>
      </c>
    </row>
    <row r="10" spans="1:9" hidden="1" x14ac:dyDescent="0.25">
      <c r="A10" s="77">
        <v>45102</v>
      </c>
      <c r="B10" s="277" t="s">
        <v>592</v>
      </c>
      <c r="C10" t="s">
        <v>593</v>
      </c>
      <c r="D10">
        <v>125081</v>
      </c>
      <c r="E10" t="s">
        <v>598</v>
      </c>
      <c r="F10" s="280">
        <v>44960</v>
      </c>
      <c r="G10" s="278">
        <v>1609.67</v>
      </c>
      <c r="H10" s="278">
        <v>0</v>
      </c>
      <c r="I10" t="s">
        <v>114</v>
      </c>
    </row>
    <row r="11" spans="1:9" hidden="1" x14ac:dyDescent="0.25">
      <c r="A11" s="77">
        <v>45103</v>
      </c>
      <c r="B11" s="277" t="s">
        <v>592</v>
      </c>
      <c r="C11" t="s">
        <v>593</v>
      </c>
      <c r="D11">
        <v>1301</v>
      </c>
      <c r="E11" t="s">
        <v>594</v>
      </c>
      <c r="F11" s="280">
        <v>44932</v>
      </c>
      <c r="G11" s="278">
        <v>38134.67</v>
      </c>
      <c r="H11" s="278">
        <v>0</v>
      </c>
      <c r="I11" t="s">
        <v>114</v>
      </c>
    </row>
    <row r="12" spans="1:9" hidden="1" x14ac:dyDescent="0.25">
      <c r="A12" s="77">
        <v>45104</v>
      </c>
      <c r="B12" s="277" t="s">
        <v>592</v>
      </c>
      <c r="C12" t="s">
        <v>593</v>
      </c>
      <c r="D12">
        <v>1295</v>
      </c>
      <c r="E12" t="s">
        <v>599</v>
      </c>
      <c r="F12" s="280">
        <v>1</v>
      </c>
      <c r="G12" s="278">
        <v>2956.32</v>
      </c>
      <c r="H12" s="278">
        <v>0</v>
      </c>
      <c r="I12" t="s">
        <v>114</v>
      </c>
    </row>
    <row r="13" spans="1:9" hidden="1" x14ac:dyDescent="0.25">
      <c r="A13" s="77">
        <v>45105</v>
      </c>
      <c r="B13" s="277" t="s">
        <v>592</v>
      </c>
      <c r="C13" t="s">
        <v>593</v>
      </c>
      <c r="D13">
        <v>4899</v>
      </c>
      <c r="E13" t="s">
        <v>600</v>
      </c>
      <c r="F13" s="280">
        <v>1</v>
      </c>
      <c r="G13" s="278">
        <v>1669</v>
      </c>
      <c r="H13" s="278">
        <v>0</v>
      </c>
      <c r="I13" t="s">
        <v>114</v>
      </c>
    </row>
    <row r="14" spans="1:9" hidden="1" x14ac:dyDescent="0.25">
      <c r="A14" s="77">
        <v>45105</v>
      </c>
      <c r="B14" s="277" t="s">
        <v>592</v>
      </c>
      <c r="C14" t="s">
        <v>593</v>
      </c>
      <c r="D14">
        <v>2255</v>
      </c>
      <c r="E14" t="s">
        <v>601</v>
      </c>
      <c r="F14" s="280" t="s">
        <v>602</v>
      </c>
      <c r="G14" s="278">
        <v>5920.75</v>
      </c>
      <c r="H14" s="278">
        <v>0</v>
      </c>
      <c r="I14" t="s">
        <v>114</v>
      </c>
    </row>
    <row r="15" spans="1:9" hidden="1" x14ac:dyDescent="0.25">
      <c r="A15" s="77">
        <v>45106</v>
      </c>
      <c r="B15" s="277" t="s">
        <v>592</v>
      </c>
      <c r="C15" t="s">
        <v>593</v>
      </c>
      <c r="D15">
        <v>1536</v>
      </c>
      <c r="E15" t="s">
        <v>603</v>
      </c>
      <c r="F15" s="280">
        <v>1</v>
      </c>
      <c r="G15" s="278">
        <v>2034.59</v>
      </c>
      <c r="H15" s="278">
        <v>0</v>
      </c>
      <c r="I15" t="s">
        <v>114</v>
      </c>
    </row>
    <row r="16" spans="1:9" hidden="1" x14ac:dyDescent="0.25">
      <c r="A16" s="77">
        <v>45107</v>
      </c>
      <c r="B16" s="277" t="s">
        <v>592</v>
      </c>
      <c r="C16" t="s">
        <v>593</v>
      </c>
      <c r="D16">
        <v>7267</v>
      </c>
      <c r="E16" t="s">
        <v>604</v>
      </c>
      <c r="F16" s="280" t="s">
        <v>602</v>
      </c>
      <c r="G16" s="278">
        <v>2100.1799999999998</v>
      </c>
      <c r="H16" s="278">
        <v>0</v>
      </c>
      <c r="I16" t="s">
        <v>114</v>
      </c>
    </row>
    <row r="17" spans="1:9" hidden="1" x14ac:dyDescent="0.25">
      <c r="A17" s="77">
        <v>45110</v>
      </c>
      <c r="B17" s="277" t="s">
        <v>592</v>
      </c>
      <c r="C17" t="s">
        <v>593</v>
      </c>
      <c r="D17">
        <v>8701</v>
      </c>
      <c r="E17" t="s">
        <v>604</v>
      </c>
      <c r="F17" s="280" t="s">
        <v>602</v>
      </c>
      <c r="G17" s="278">
        <v>1022.5</v>
      </c>
      <c r="H17" s="278">
        <v>0</v>
      </c>
      <c r="I17" t="s">
        <v>114</v>
      </c>
    </row>
    <row r="18" spans="1:9" hidden="1" x14ac:dyDescent="0.25">
      <c r="A18" s="77">
        <v>45110</v>
      </c>
      <c r="B18" s="277" t="s">
        <v>592</v>
      </c>
      <c r="C18" t="s">
        <v>593</v>
      </c>
      <c r="D18">
        <v>5229</v>
      </c>
      <c r="E18" t="s">
        <v>600</v>
      </c>
      <c r="F18" s="280">
        <v>1</v>
      </c>
      <c r="G18" s="278">
        <v>849</v>
      </c>
      <c r="H18" s="278">
        <v>0</v>
      </c>
      <c r="I18" t="s">
        <v>114</v>
      </c>
    </row>
    <row r="19" spans="1:9" hidden="1" x14ac:dyDescent="0.25">
      <c r="A19" s="77">
        <v>45112</v>
      </c>
      <c r="B19" s="277" t="s">
        <v>592</v>
      </c>
      <c r="C19" t="s">
        <v>593</v>
      </c>
      <c r="D19">
        <v>537246</v>
      </c>
      <c r="E19" t="s">
        <v>605</v>
      </c>
      <c r="F19" s="280">
        <v>44960</v>
      </c>
      <c r="G19" s="278">
        <v>9297.77</v>
      </c>
      <c r="H19" s="278">
        <v>0</v>
      </c>
      <c r="I19" t="s">
        <v>114</v>
      </c>
    </row>
    <row r="20" spans="1:9" hidden="1" x14ac:dyDescent="0.25">
      <c r="A20" s="77">
        <v>45112</v>
      </c>
      <c r="B20" s="277" t="s">
        <v>592</v>
      </c>
      <c r="C20" t="s">
        <v>593</v>
      </c>
      <c r="D20">
        <v>79203</v>
      </c>
      <c r="E20" t="s">
        <v>606</v>
      </c>
      <c r="F20" s="280" t="s">
        <v>607</v>
      </c>
      <c r="G20" s="278">
        <v>890</v>
      </c>
      <c r="H20" s="278">
        <v>0</v>
      </c>
      <c r="I20" t="s">
        <v>114</v>
      </c>
    </row>
    <row r="21" spans="1:9" hidden="1" x14ac:dyDescent="0.25">
      <c r="A21" s="77">
        <v>45112</v>
      </c>
      <c r="B21" s="277" t="s">
        <v>592</v>
      </c>
      <c r="C21" t="s">
        <v>593</v>
      </c>
      <c r="D21">
        <v>85497</v>
      </c>
      <c r="E21" t="s">
        <v>608</v>
      </c>
      <c r="F21" s="280" t="s">
        <v>607</v>
      </c>
      <c r="G21" s="278">
        <v>5490</v>
      </c>
      <c r="H21" s="278">
        <v>0</v>
      </c>
      <c r="I21" t="s">
        <v>114</v>
      </c>
    </row>
    <row r="22" spans="1:9" hidden="1" x14ac:dyDescent="0.25">
      <c r="A22" s="77">
        <v>45112</v>
      </c>
      <c r="B22" s="277" t="s">
        <v>592</v>
      </c>
      <c r="C22" t="s">
        <v>593</v>
      </c>
      <c r="D22">
        <v>85504</v>
      </c>
      <c r="E22" t="s">
        <v>609</v>
      </c>
      <c r="F22" s="280" t="s">
        <v>607</v>
      </c>
      <c r="G22" s="278">
        <v>1360</v>
      </c>
      <c r="H22" s="278">
        <v>0</v>
      </c>
      <c r="I22" t="s">
        <v>114</v>
      </c>
    </row>
    <row r="23" spans="1:9" hidden="1" x14ac:dyDescent="0.25">
      <c r="A23" s="77">
        <v>45112</v>
      </c>
      <c r="B23" s="277" t="s">
        <v>592</v>
      </c>
      <c r="C23" t="s">
        <v>593</v>
      </c>
      <c r="D23">
        <v>91703</v>
      </c>
      <c r="E23" t="s">
        <v>610</v>
      </c>
      <c r="F23" s="280" t="s">
        <v>607</v>
      </c>
      <c r="G23" s="278">
        <v>2740</v>
      </c>
      <c r="H23" s="278">
        <v>0</v>
      </c>
      <c r="I23" t="s">
        <v>114</v>
      </c>
    </row>
    <row r="24" spans="1:9" hidden="1" x14ac:dyDescent="0.25">
      <c r="A24" s="77">
        <v>45112</v>
      </c>
      <c r="B24" s="277" t="s">
        <v>592</v>
      </c>
      <c r="C24" t="s">
        <v>593</v>
      </c>
      <c r="D24">
        <v>104336</v>
      </c>
      <c r="E24" t="s">
        <v>611</v>
      </c>
      <c r="F24" s="280" t="s">
        <v>607</v>
      </c>
      <c r="G24" s="278">
        <v>880</v>
      </c>
      <c r="H24" s="278">
        <v>0</v>
      </c>
      <c r="I24" t="s">
        <v>114</v>
      </c>
    </row>
    <row r="25" spans="1:9" hidden="1" x14ac:dyDescent="0.25">
      <c r="A25" s="77">
        <v>45112</v>
      </c>
      <c r="B25" s="277" t="s">
        <v>592</v>
      </c>
      <c r="C25" t="s">
        <v>593</v>
      </c>
      <c r="D25">
        <v>104349</v>
      </c>
      <c r="E25" t="s">
        <v>612</v>
      </c>
      <c r="F25" s="280" t="s">
        <v>607</v>
      </c>
      <c r="G25" s="278">
        <v>1670</v>
      </c>
      <c r="H25" s="278">
        <v>0</v>
      </c>
      <c r="I25" t="s">
        <v>114</v>
      </c>
    </row>
    <row r="26" spans="1:9" hidden="1" x14ac:dyDescent="0.25">
      <c r="A26" s="77">
        <v>45113</v>
      </c>
      <c r="B26" s="277" t="s">
        <v>592</v>
      </c>
      <c r="C26" t="s">
        <v>593</v>
      </c>
      <c r="D26">
        <v>30231</v>
      </c>
      <c r="E26" t="s">
        <v>613</v>
      </c>
      <c r="F26" s="280" t="s">
        <v>607</v>
      </c>
      <c r="G26" s="278">
        <v>2923</v>
      </c>
      <c r="H26" s="278">
        <v>0</v>
      </c>
      <c r="I26" t="s">
        <v>114</v>
      </c>
    </row>
    <row r="27" spans="1:9" hidden="1" x14ac:dyDescent="0.25">
      <c r="A27" s="77">
        <v>45113</v>
      </c>
      <c r="B27" s="277" t="s">
        <v>592</v>
      </c>
      <c r="C27" t="s">
        <v>593</v>
      </c>
      <c r="D27">
        <v>1604</v>
      </c>
      <c r="E27" t="s">
        <v>603</v>
      </c>
      <c r="F27" s="280">
        <v>1</v>
      </c>
      <c r="G27" s="278">
        <v>8283.49</v>
      </c>
      <c r="H27" s="278">
        <v>0</v>
      </c>
      <c r="I27" t="s">
        <v>114</v>
      </c>
    </row>
    <row r="28" spans="1:9" hidden="1" x14ac:dyDescent="0.25">
      <c r="A28" s="77">
        <v>45113</v>
      </c>
      <c r="B28" s="277" t="s">
        <v>592</v>
      </c>
      <c r="C28" t="s">
        <v>593</v>
      </c>
      <c r="D28">
        <v>5402</v>
      </c>
      <c r="E28" t="s">
        <v>600</v>
      </c>
      <c r="F28" s="280">
        <v>1</v>
      </c>
      <c r="G28" s="278">
        <v>1040</v>
      </c>
      <c r="H28" s="278">
        <v>0</v>
      </c>
      <c r="I28" t="s">
        <v>114</v>
      </c>
    </row>
    <row r="29" spans="1:9" hidden="1" x14ac:dyDescent="0.25">
      <c r="A29" s="77">
        <v>45119</v>
      </c>
      <c r="B29" s="277" t="s">
        <v>592</v>
      </c>
      <c r="C29" t="s">
        <v>593</v>
      </c>
      <c r="D29">
        <v>15</v>
      </c>
      <c r="E29" t="s">
        <v>614</v>
      </c>
      <c r="F29" s="280">
        <v>1</v>
      </c>
      <c r="G29" s="278">
        <v>1607.2</v>
      </c>
      <c r="H29" s="278">
        <v>0</v>
      </c>
      <c r="I29" t="s">
        <v>114</v>
      </c>
    </row>
    <row r="30" spans="1:9" hidden="1" x14ac:dyDescent="0.25">
      <c r="A30" s="77">
        <v>45120</v>
      </c>
      <c r="B30" s="277" t="s">
        <v>592</v>
      </c>
      <c r="C30" t="s">
        <v>593</v>
      </c>
      <c r="D30">
        <v>6697</v>
      </c>
      <c r="E30" t="s">
        <v>615</v>
      </c>
      <c r="F30" s="280">
        <v>1</v>
      </c>
      <c r="G30" s="278">
        <v>7402.9</v>
      </c>
      <c r="H30" s="278">
        <v>0</v>
      </c>
      <c r="I30" t="s">
        <v>114</v>
      </c>
    </row>
    <row r="31" spans="1:9" hidden="1" x14ac:dyDescent="0.25">
      <c r="A31" s="77">
        <v>45121</v>
      </c>
      <c r="B31" s="277" t="s">
        <v>592</v>
      </c>
      <c r="C31" t="s">
        <v>593</v>
      </c>
      <c r="D31">
        <v>783</v>
      </c>
      <c r="E31" t="s">
        <v>616</v>
      </c>
      <c r="F31" s="280">
        <v>1</v>
      </c>
      <c r="G31" s="278">
        <v>1064</v>
      </c>
      <c r="H31" s="278">
        <v>0</v>
      </c>
      <c r="I31" t="s">
        <v>114</v>
      </c>
    </row>
    <row r="32" spans="1:9" hidden="1" x14ac:dyDescent="0.25">
      <c r="A32" s="77">
        <v>45124</v>
      </c>
      <c r="B32" s="277" t="s">
        <v>592</v>
      </c>
      <c r="C32" t="s">
        <v>593</v>
      </c>
      <c r="D32">
        <v>183024</v>
      </c>
      <c r="E32" t="s">
        <v>617</v>
      </c>
      <c r="F32" s="280" t="s">
        <v>607</v>
      </c>
      <c r="G32" s="278">
        <v>981.8</v>
      </c>
      <c r="H32" s="278">
        <v>0</v>
      </c>
      <c r="I32" t="s">
        <v>114</v>
      </c>
    </row>
    <row r="33" spans="1:9" hidden="1" x14ac:dyDescent="0.25">
      <c r="A33" s="77">
        <v>45125</v>
      </c>
      <c r="B33" s="277" t="s">
        <v>592</v>
      </c>
      <c r="C33" t="s">
        <v>593</v>
      </c>
      <c r="D33">
        <v>172750</v>
      </c>
      <c r="E33" t="s">
        <v>618</v>
      </c>
      <c r="F33" s="280" t="s">
        <v>607</v>
      </c>
      <c r="G33" s="278">
        <v>3869.2</v>
      </c>
      <c r="H33" s="278">
        <v>0</v>
      </c>
      <c r="I33" t="s">
        <v>114</v>
      </c>
    </row>
    <row r="34" spans="1:9" hidden="1" x14ac:dyDescent="0.25">
      <c r="A34" s="77">
        <v>45126</v>
      </c>
      <c r="B34" s="277" t="s">
        <v>592</v>
      </c>
      <c r="C34" t="s">
        <v>593</v>
      </c>
      <c r="D34">
        <v>487665</v>
      </c>
      <c r="E34" t="s">
        <v>619</v>
      </c>
      <c r="F34" s="280" t="s">
        <v>607</v>
      </c>
      <c r="G34" s="278">
        <v>8224.73</v>
      </c>
      <c r="H34" s="278">
        <v>0</v>
      </c>
      <c r="I34" t="s">
        <v>114</v>
      </c>
    </row>
    <row r="35" spans="1:9" hidden="1" x14ac:dyDescent="0.25">
      <c r="A35" s="77">
        <v>45126</v>
      </c>
      <c r="B35" s="277" t="s">
        <v>592</v>
      </c>
      <c r="C35" t="s">
        <v>593</v>
      </c>
      <c r="D35">
        <v>194170</v>
      </c>
      <c r="E35" t="s">
        <v>620</v>
      </c>
      <c r="F35" s="280" t="s">
        <v>607</v>
      </c>
      <c r="G35" s="278">
        <v>1715</v>
      </c>
      <c r="H35" s="278">
        <v>0</v>
      </c>
      <c r="I35" t="s">
        <v>114</v>
      </c>
    </row>
    <row r="36" spans="1:9" hidden="1" x14ac:dyDescent="0.25">
      <c r="A36" s="77">
        <v>45126</v>
      </c>
      <c r="B36" s="277" t="s">
        <v>592</v>
      </c>
      <c r="C36" t="s">
        <v>593</v>
      </c>
      <c r="D36">
        <v>194814</v>
      </c>
      <c r="E36" t="s">
        <v>621</v>
      </c>
      <c r="F36" s="280" t="s">
        <v>607</v>
      </c>
      <c r="G36" s="278">
        <v>3067</v>
      </c>
      <c r="H36" s="278">
        <v>0</v>
      </c>
      <c r="I36" t="s">
        <v>114</v>
      </c>
    </row>
    <row r="37" spans="1:9" hidden="1" x14ac:dyDescent="0.25">
      <c r="A37" s="77">
        <v>45126</v>
      </c>
      <c r="B37" s="277" t="s">
        <v>592</v>
      </c>
      <c r="C37" t="s">
        <v>593</v>
      </c>
      <c r="D37">
        <v>192015</v>
      </c>
      <c r="E37" t="s">
        <v>622</v>
      </c>
      <c r="F37" s="280" t="s">
        <v>607</v>
      </c>
      <c r="G37" s="278">
        <v>5487</v>
      </c>
      <c r="H37" s="278">
        <v>0</v>
      </c>
      <c r="I37" t="s">
        <v>114</v>
      </c>
    </row>
    <row r="38" spans="1:9" hidden="1" x14ac:dyDescent="0.25">
      <c r="A38" s="77">
        <v>45127</v>
      </c>
      <c r="B38" s="277" t="s">
        <v>592</v>
      </c>
      <c r="C38" t="s">
        <v>593</v>
      </c>
      <c r="D38">
        <v>2191</v>
      </c>
      <c r="E38" t="s">
        <v>328</v>
      </c>
      <c r="F38" s="280">
        <v>1</v>
      </c>
      <c r="G38" s="278">
        <v>8656.59</v>
      </c>
      <c r="H38" s="278">
        <v>0</v>
      </c>
      <c r="I38" t="s">
        <v>114</v>
      </c>
    </row>
    <row r="39" spans="1:9" hidden="1" x14ac:dyDescent="0.25">
      <c r="A39" s="77">
        <v>45128</v>
      </c>
      <c r="B39" s="277" t="s">
        <v>592</v>
      </c>
      <c r="C39" t="s">
        <v>593</v>
      </c>
      <c r="D39">
        <v>6214</v>
      </c>
      <c r="E39" t="s">
        <v>623</v>
      </c>
      <c r="F39" s="280">
        <v>1</v>
      </c>
      <c r="G39" s="278">
        <v>1612.06</v>
      </c>
      <c r="H39" s="278">
        <v>0</v>
      </c>
      <c r="I39" t="s">
        <v>114</v>
      </c>
    </row>
    <row r="40" spans="1:9" hidden="1" x14ac:dyDescent="0.25">
      <c r="A40" s="77">
        <v>45131</v>
      </c>
      <c r="B40" s="277" t="s">
        <v>592</v>
      </c>
      <c r="C40" t="s">
        <v>593</v>
      </c>
      <c r="D40">
        <v>2203</v>
      </c>
      <c r="E40" t="s">
        <v>328</v>
      </c>
      <c r="F40" s="280">
        <v>1</v>
      </c>
      <c r="G40" s="278">
        <v>1245.29</v>
      </c>
      <c r="H40" s="278">
        <v>0</v>
      </c>
      <c r="I40" t="s">
        <v>114</v>
      </c>
    </row>
    <row r="41" spans="1:9" hidden="1" x14ac:dyDescent="0.25">
      <c r="A41" s="77">
        <v>45131</v>
      </c>
      <c r="B41" s="277" t="s">
        <v>592</v>
      </c>
      <c r="C41" t="s">
        <v>593</v>
      </c>
      <c r="D41">
        <v>1050</v>
      </c>
      <c r="E41" t="s">
        <v>624</v>
      </c>
      <c r="F41" s="280">
        <v>1</v>
      </c>
      <c r="G41" s="278">
        <v>1826.26</v>
      </c>
      <c r="H41" s="278">
        <v>0</v>
      </c>
      <c r="I41" t="s">
        <v>114</v>
      </c>
    </row>
    <row r="42" spans="1:9" hidden="1" x14ac:dyDescent="0.25">
      <c r="A42" s="77">
        <v>45098</v>
      </c>
      <c r="B42" s="277" t="s">
        <v>592</v>
      </c>
      <c r="C42" t="s">
        <v>625</v>
      </c>
      <c r="D42">
        <v>35160</v>
      </c>
      <c r="E42" t="s">
        <v>626</v>
      </c>
      <c r="F42" s="280" t="s">
        <v>607</v>
      </c>
      <c r="G42" s="278">
        <v>3000</v>
      </c>
      <c r="H42" s="278">
        <v>0</v>
      </c>
      <c r="I42" t="s">
        <v>114</v>
      </c>
    </row>
    <row r="43" spans="1:9" hidden="1" x14ac:dyDescent="0.25">
      <c r="A43" s="77">
        <v>45103</v>
      </c>
      <c r="B43" s="277" t="s">
        <v>592</v>
      </c>
      <c r="C43" t="s">
        <v>625</v>
      </c>
      <c r="D43">
        <v>9768</v>
      </c>
      <c r="E43" t="s">
        <v>627</v>
      </c>
      <c r="F43" s="280">
        <v>1</v>
      </c>
      <c r="G43" s="278">
        <v>748.2</v>
      </c>
      <c r="H43" s="278">
        <v>0</v>
      </c>
      <c r="I43" t="s">
        <v>114</v>
      </c>
    </row>
    <row r="44" spans="1:9" hidden="1" x14ac:dyDescent="0.25">
      <c r="A44" s="77">
        <v>45103</v>
      </c>
      <c r="B44" s="277" t="s">
        <v>592</v>
      </c>
      <c r="C44" t="s">
        <v>625</v>
      </c>
      <c r="D44">
        <v>2094</v>
      </c>
      <c r="E44" t="s">
        <v>628</v>
      </c>
      <c r="F44" s="280" t="s">
        <v>607</v>
      </c>
      <c r="G44" s="278">
        <v>2655.38</v>
      </c>
      <c r="H44" s="278">
        <v>0</v>
      </c>
      <c r="I44" t="s">
        <v>114</v>
      </c>
    </row>
    <row r="45" spans="1:9" hidden="1" x14ac:dyDescent="0.25">
      <c r="A45" s="77">
        <v>45104</v>
      </c>
      <c r="B45" s="277" t="s">
        <v>592</v>
      </c>
      <c r="C45" t="s">
        <v>625</v>
      </c>
      <c r="D45">
        <v>550172</v>
      </c>
      <c r="E45" t="s">
        <v>629</v>
      </c>
      <c r="F45" s="280" t="s">
        <v>607</v>
      </c>
      <c r="G45" s="278">
        <v>14045</v>
      </c>
      <c r="H45" s="278">
        <v>0</v>
      </c>
      <c r="I45" t="s">
        <v>114</v>
      </c>
    </row>
    <row r="46" spans="1:9" hidden="1" x14ac:dyDescent="0.25">
      <c r="A46" s="77">
        <v>45107</v>
      </c>
      <c r="B46" s="277" t="s">
        <v>592</v>
      </c>
      <c r="C46" t="s">
        <v>625</v>
      </c>
      <c r="D46">
        <v>989519</v>
      </c>
      <c r="E46" t="s">
        <v>630</v>
      </c>
      <c r="F46" s="280">
        <v>1</v>
      </c>
      <c r="G46" s="278">
        <v>8900</v>
      </c>
      <c r="H46" s="278">
        <v>0</v>
      </c>
      <c r="I46" t="s">
        <v>114</v>
      </c>
    </row>
    <row r="47" spans="1:9" hidden="1" x14ac:dyDescent="0.25">
      <c r="A47" s="77">
        <v>45108</v>
      </c>
      <c r="B47" s="277" t="s">
        <v>592</v>
      </c>
      <c r="C47" t="s">
        <v>625</v>
      </c>
      <c r="D47">
        <v>230094</v>
      </c>
      <c r="E47" t="s">
        <v>631</v>
      </c>
      <c r="F47" s="280" t="s">
        <v>607</v>
      </c>
      <c r="G47" s="278">
        <v>1000</v>
      </c>
      <c r="H47" s="278">
        <v>0</v>
      </c>
      <c r="I47" t="s">
        <v>114</v>
      </c>
    </row>
    <row r="48" spans="1:9" hidden="1" x14ac:dyDescent="0.25">
      <c r="A48" s="77">
        <v>45112</v>
      </c>
      <c r="B48" s="277" t="s">
        <v>592</v>
      </c>
      <c r="C48" t="s">
        <v>625</v>
      </c>
      <c r="D48">
        <v>3489</v>
      </c>
      <c r="E48" t="s">
        <v>632</v>
      </c>
      <c r="F48" s="280">
        <v>1</v>
      </c>
      <c r="G48" s="278">
        <v>12208.61</v>
      </c>
      <c r="H48" s="278">
        <v>0</v>
      </c>
      <c r="I48" t="s">
        <v>114</v>
      </c>
    </row>
    <row r="49" spans="1:9" hidden="1" x14ac:dyDescent="0.25">
      <c r="A49" s="77">
        <v>45112</v>
      </c>
      <c r="B49" s="277" t="s">
        <v>592</v>
      </c>
      <c r="C49" t="s">
        <v>625</v>
      </c>
      <c r="D49">
        <v>1</v>
      </c>
      <c r="E49" t="s">
        <v>633</v>
      </c>
      <c r="F49" s="280" t="s">
        <v>607</v>
      </c>
      <c r="G49" s="278">
        <v>6071.13</v>
      </c>
      <c r="H49" s="278">
        <v>0</v>
      </c>
      <c r="I49" t="s">
        <v>114</v>
      </c>
    </row>
    <row r="50" spans="1:9" hidden="1" x14ac:dyDescent="0.25">
      <c r="A50" s="77">
        <v>45115</v>
      </c>
      <c r="B50" s="277" t="s">
        <v>592</v>
      </c>
      <c r="C50" t="s">
        <v>625</v>
      </c>
      <c r="D50">
        <v>294597</v>
      </c>
      <c r="E50" t="s">
        <v>634</v>
      </c>
      <c r="F50" s="280">
        <v>1</v>
      </c>
      <c r="G50" s="278">
        <v>1817.05</v>
      </c>
      <c r="H50" s="278">
        <v>0</v>
      </c>
      <c r="I50" t="s">
        <v>114</v>
      </c>
    </row>
    <row r="51" spans="1:9" hidden="1" x14ac:dyDescent="0.25">
      <c r="A51" s="77">
        <v>45120</v>
      </c>
      <c r="B51" s="277" t="s">
        <v>592</v>
      </c>
      <c r="C51" t="s">
        <v>625</v>
      </c>
      <c r="D51">
        <v>2189</v>
      </c>
      <c r="E51" t="s">
        <v>635</v>
      </c>
      <c r="F51" s="280" t="s">
        <v>607</v>
      </c>
      <c r="G51" s="278">
        <v>1000</v>
      </c>
      <c r="H51" s="278">
        <v>0</v>
      </c>
      <c r="I51" t="s">
        <v>114</v>
      </c>
    </row>
    <row r="52" spans="1:9" hidden="1" x14ac:dyDescent="0.25">
      <c r="A52" s="77">
        <v>45120</v>
      </c>
      <c r="B52" s="277" t="s">
        <v>592</v>
      </c>
      <c r="C52" t="s">
        <v>625</v>
      </c>
      <c r="D52">
        <v>263008</v>
      </c>
      <c r="E52" t="s">
        <v>636</v>
      </c>
      <c r="F52" s="280" t="s">
        <v>607</v>
      </c>
      <c r="G52" s="278">
        <v>1320</v>
      </c>
      <c r="H52" s="278">
        <v>0</v>
      </c>
      <c r="I52" t="s">
        <v>114</v>
      </c>
    </row>
    <row r="53" spans="1:9" hidden="1" x14ac:dyDescent="0.25">
      <c r="A53" s="77">
        <v>45122</v>
      </c>
      <c r="B53" s="277" t="s">
        <v>592</v>
      </c>
      <c r="C53" t="s">
        <v>625</v>
      </c>
      <c r="D53">
        <v>32500</v>
      </c>
      <c r="E53" t="s">
        <v>637</v>
      </c>
      <c r="F53" s="280" t="s">
        <v>607</v>
      </c>
      <c r="G53" s="278">
        <v>13729</v>
      </c>
      <c r="H53" s="278">
        <v>0</v>
      </c>
      <c r="I53" t="s">
        <v>114</v>
      </c>
    </row>
    <row r="54" spans="1:9" hidden="1" x14ac:dyDescent="0.25">
      <c r="A54" s="77">
        <v>45127</v>
      </c>
      <c r="B54" s="277" t="s">
        <v>592</v>
      </c>
      <c r="C54" t="s">
        <v>625</v>
      </c>
      <c r="D54">
        <v>365784</v>
      </c>
      <c r="E54" t="s">
        <v>628</v>
      </c>
      <c r="F54" s="280" t="s">
        <v>607</v>
      </c>
      <c r="G54" s="278">
        <v>2655.38</v>
      </c>
      <c r="H54" s="278">
        <v>0</v>
      </c>
      <c r="I54" t="s">
        <v>114</v>
      </c>
    </row>
    <row r="55" spans="1:9" hidden="1" x14ac:dyDescent="0.25">
      <c r="A55" s="77">
        <v>44992</v>
      </c>
      <c r="B55" s="277" t="s">
        <v>592</v>
      </c>
      <c r="C55" t="s">
        <v>593</v>
      </c>
      <c r="D55">
        <v>255</v>
      </c>
      <c r="E55" t="s">
        <v>333</v>
      </c>
      <c r="F55" s="280">
        <v>45052</v>
      </c>
      <c r="G55" s="278">
        <v>226.67</v>
      </c>
      <c r="H55" s="278">
        <v>0</v>
      </c>
      <c r="I55" t="s">
        <v>114</v>
      </c>
    </row>
    <row r="56" spans="1:9" hidden="1" x14ac:dyDescent="0.25">
      <c r="A56" s="77">
        <v>45014</v>
      </c>
      <c r="B56" s="277" t="s">
        <v>592</v>
      </c>
      <c r="C56" t="s">
        <v>593</v>
      </c>
      <c r="D56">
        <v>290</v>
      </c>
      <c r="E56" t="s">
        <v>333</v>
      </c>
      <c r="F56" s="280">
        <v>45022</v>
      </c>
      <c r="G56" s="278">
        <v>5042.67</v>
      </c>
      <c r="H56" s="278">
        <v>0</v>
      </c>
      <c r="I56" t="s">
        <v>114</v>
      </c>
    </row>
    <row r="57" spans="1:9" hidden="1" x14ac:dyDescent="0.25">
      <c r="A57" s="77">
        <v>45124</v>
      </c>
      <c r="B57" s="277" t="s">
        <v>592</v>
      </c>
      <c r="C57" t="s">
        <v>593</v>
      </c>
      <c r="D57">
        <v>2706</v>
      </c>
      <c r="E57" t="s">
        <v>600</v>
      </c>
      <c r="F57" s="280">
        <v>1</v>
      </c>
      <c r="G57" s="278">
        <v>1487</v>
      </c>
      <c r="H57" s="278">
        <v>0</v>
      </c>
      <c r="I57" t="s">
        <v>114</v>
      </c>
    </row>
    <row r="58" spans="1:9" hidden="1" x14ac:dyDescent="0.25">
      <c r="A58" s="77">
        <v>45126</v>
      </c>
      <c r="B58" s="277" t="s">
        <v>592</v>
      </c>
      <c r="C58" t="s">
        <v>593</v>
      </c>
      <c r="D58">
        <v>1891</v>
      </c>
      <c r="E58" t="s">
        <v>604</v>
      </c>
      <c r="F58" s="280" t="s">
        <v>602</v>
      </c>
      <c r="G58" s="278">
        <v>1671</v>
      </c>
      <c r="H58" s="278">
        <v>0</v>
      </c>
      <c r="I58" t="s">
        <v>114</v>
      </c>
    </row>
    <row r="59" spans="1:9" hidden="1" x14ac:dyDescent="0.25">
      <c r="A59" s="77">
        <v>45125</v>
      </c>
      <c r="B59" s="277" t="s">
        <v>592</v>
      </c>
      <c r="C59" t="s">
        <v>625</v>
      </c>
      <c r="D59">
        <v>316690</v>
      </c>
      <c r="E59" t="s">
        <v>638</v>
      </c>
      <c r="F59" s="280">
        <v>1</v>
      </c>
      <c r="G59" s="278">
        <v>5099.8999999999996</v>
      </c>
      <c r="H59" s="278">
        <v>0</v>
      </c>
      <c r="I59" t="s">
        <v>114</v>
      </c>
    </row>
    <row r="60" spans="1:9" hidden="1" x14ac:dyDescent="0.25">
      <c r="A60" s="77">
        <v>44922</v>
      </c>
      <c r="B60" s="277">
        <v>45170</v>
      </c>
      <c r="C60" t="s">
        <v>593</v>
      </c>
      <c r="D60">
        <v>4761</v>
      </c>
      <c r="E60" t="s">
        <v>594</v>
      </c>
      <c r="F60" s="280">
        <v>45148</v>
      </c>
      <c r="G60" s="278">
        <v>21189.8</v>
      </c>
      <c r="H60" s="278" t="s">
        <v>114</v>
      </c>
      <c r="I60" t="s">
        <v>114</v>
      </c>
    </row>
    <row r="61" spans="1:9" hidden="1" x14ac:dyDescent="0.25">
      <c r="A61" s="77">
        <v>44984</v>
      </c>
      <c r="B61" s="277">
        <v>45170</v>
      </c>
      <c r="C61" t="s">
        <v>593</v>
      </c>
      <c r="D61">
        <v>620</v>
      </c>
      <c r="E61" t="s">
        <v>595</v>
      </c>
      <c r="F61" s="280">
        <v>45083</v>
      </c>
      <c r="G61" s="278">
        <v>720.8</v>
      </c>
      <c r="H61" s="278" t="s">
        <v>114</v>
      </c>
      <c r="I61" t="s">
        <v>114</v>
      </c>
    </row>
    <row r="62" spans="1:9" hidden="1" x14ac:dyDescent="0.25">
      <c r="A62" s="77">
        <v>45039</v>
      </c>
      <c r="B62" s="277">
        <v>45170</v>
      </c>
      <c r="C62" t="s">
        <v>593</v>
      </c>
      <c r="D62">
        <v>299</v>
      </c>
      <c r="E62" t="s">
        <v>596</v>
      </c>
      <c r="F62" s="280">
        <v>45051</v>
      </c>
      <c r="G62" s="278">
        <v>3931.98</v>
      </c>
      <c r="H62" s="278" t="s">
        <v>114</v>
      </c>
      <c r="I62" t="s">
        <v>114</v>
      </c>
    </row>
    <row r="63" spans="1:9" hidden="1" x14ac:dyDescent="0.25">
      <c r="A63" s="77">
        <v>45041</v>
      </c>
      <c r="B63" s="277">
        <v>45170</v>
      </c>
      <c r="C63" t="s">
        <v>593</v>
      </c>
      <c r="D63">
        <v>393</v>
      </c>
      <c r="E63" t="s">
        <v>596</v>
      </c>
      <c r="F63" s="280">
        <v>45021</v>
      </c>
      <c r="G63" s="278">
        <v>931.04</v>
      </c>
      <c r="H63" s="278" t="s">
        <v>114</v>
      </c>
      <c r="I63" t="s">
        <v>114</v>
      </c>
    </row>
    <row r="64" spans="1:9" hidden="1" x14ac:dyDescent="0.25">
      <c r="A64" s="77">
        <v>45041</v>
      </c>
      <c r="B64" s="277">
        <v>45170</v>
      </c>
      <c r="C64" t="s">
        <v>593</v>
      </c>
      <c r="D64">
        <v>396</v>
      </c>
      <c r="E64" t="s">
        <v>596</v>
      </c>
      <c r="F64" s="280">
        <v>45021</v>
      </c>
      <c r="G64" s="278">
        <v>6666.58</v>
      </c>
      <c r="H64" s="278" t="s">
        <v>114</v>
      </c>
      <c r="I64" t="s">
        <v>114</v>
      </c>
    </row>
    <row r="65" spans="1:9" hidden="1" x14ac:dyDescent="0.25">
      <c r="A65" s="77">
        <v>45050</v>
      </c>
      <c r="B65" s="277">
        <v>45170</v>
      </c>
      <c r="C65" t="s">
        <v>593</v>
      </c>
      <c r="D65">
        <v>878</v>
      </c>
      <c r="E65" t="s">
        <v>596</v>
      </c>
      <c r="F65" s="280">
        <v>45021</v>
      </c>
      <c r="G65" s="278">
        <v>1963.39</v>
      </c>
      <c r="H65" s="278" t="s">
        <v>114</v>
      </c>
      <c r="I65" t="s">
        <v>114</v>
      </c>
    </row>
    <row r="66" spans="1:9" hidden="1" x14ac:dyDescent="0.25">
      <c r="A66" s="77">
        <v>45051</v>
      </c>
      <c r="B66" s="277">
        <v>45170</v>
      </c>
      <c r="C66" t="s">
        <v>593</v>
      </c>
      <c r="D66">
        <v>8701</v>
      </c>
      <c r="E66" t="s">
        <v>594</v>
      </c>
      <c r="F66" s="280">
        <v>45022</v>
      </c>
      <c r="G66" s="278">
        <v>17833.169999999998</v>
      </c>
      <c r="H66" s="278" t="s">
        <v>114</v>
      </c>
      <c r="I66" t="s">
        <v>114</v>
      </c>
    </row>
    <row r="67" spans="1:9" hidden="1" x14ac:dyDescent="0.25">
      <c r="A67" s="77">
        <v>45102</v>
      </c>
      <c r="B67" s="277">
        <v>45170</v>
      </c>
      <c r="C67" t="s">
        <v>593</v>
      </c>
      <c r="D67">
        <v>125081</v>
      </c>
      <c r="E67" t="s">
        <v>598</v>
      </c>
      <c r="F67" s="280">
        <v>44988</v>
      </c>
      <c r="G67" s="278">
        <v>1609.66</v>
      </c>
      <c r="H67" s="278" t="s">
        <v>114</v>
      </c>
      <c r="I67" t="s">
        <v>114</v>
      </c>
    </row>
    <row r="68" spans="1:9" hidden="1" x14ac:dyDescent="0.25">
      <c r="A68" s="77">
        <v>45103</v>
      </c>
      <c r="B68" s="277">
        <v>45170</v>
      </c>
      <c r="C68" t="s">
        <v>593</v>
      </c>
      <c r="D68">
        <v>1301</v>
      </c>
      <c r="E68" t="s">
        <v>594</v>
      </c>
      <c r="F68" s="280">
        <v>44963</v>
      </c>
      <c r="G68" s="278">
        <v>38134.67</v>
      </c>
      <c r="H68" s="278" t="s">
        <v>114</v>
      </c>
      <c r="I68" t="s">
        <v>114</v>
      </c>
    </row>
    <row r="69" spans="1:9" hidden="1" x14ac:dyDescent="0.25">
      <c r="A69" s="77">
        <v>45112</v>
      </c>
      <c r="B69" s="277">
        <v>45170</v>
      </c>
      <c r="C69" t="s">
        <v>593</v>
      </c>
      <c r="D69">
        <v>537246</v>
      </c>
      <c r="E69" t="s">
        <v>605</v>
      </c>
      <c r="F69" s="280">
        <v>44988</v>
      </c>
      <c r="G69" s="278">
        <v>9297.77</v>
      </c>
      <c r="H69" s="278" t="s">
        <v>114</v>
      </c>
      <c r="I69" t="s">
        <v>114</v>
      </c>
    </row>
    <row r="70" spans="1:9" hidden="1" x14ac:dyDescent="0.25">
      <c r="A70" s="77">
        <v>45134</v>
      </c>
      <c r="B70" s="277">
        <v>45170</v>
      </c>
      <c r="C70" t="s">
        <v>593</v>
      </c>
      <c r="D70">
        <v>3321</v>
      </c>
      <c r="E70" t="s">
        <v>600</v>
      </c>
      <c r="F70" s="280">
        <v>1</v>
      </c>
      <c r="G70" s="278">
        <v>1023</v>
      </c>
      <c r="H70" s="278" t="s">
        <v>114</v>
      </c>
      <c r="I70" t="s">
        <v>114</v>
      </c>
    </row>
    <row r="71" spans="1:9" hidden="1" x14ac:dyDescent="0.25">
      <c r="A71" s="77">
        <v>45134</v>
      </c>
      <c r="B71" s="277">
        <v>45170</v>
      </c>
      <c r="C71" t="s">
        <v>593</v>
      </c>
      <c r="D71">
        <v>2888</v>
      </c>
      <c r="E71" t="s">
        <v>599</v>
      </c>
      <c r="F71" s="280">
        <v>1</v>
      </c>
      <c r="G71" s="278">
        <v>2956.32</v>
      </c>
      <c r="H71" s="278" t="s">
        <v>114</v>
      </c>
      <c r="I71" t="s">
        <v>114</v>
      </c>
    </row>
    <row r="72" spans="1:9" hidden="1" x14ac:dyDescent="0.25">
      <c r="A72" s="77">
        <v>45135</v>
      </c>
      <c r="B72" s="277">
        <v>45170</v>
      </c>
      <c r="C72" t="s">
        <v>593</v>
      </c>
      <c r="D72">
        <v>7666</v>
      </c>
      <c r="E72" t="s">
        <v>604</v>
      </c>
      <c r="F72" s="280" t="s">
        <v>602</v>
      </c>
      <c r="G72" s="278">
        <v>771.5</v>
      </c>
      <c r="H72" s="278" t="s">
        <v>114</v>
      </c>
      <c r="I72" t="s">
        <v>114</v>
      </c>
    </row>
    <row r="73" spans="1:9" hidden="1" x14ac:dyDescent="0.25">
      <c r="A73" s="77">
        <v>45135</v>
      </c>
      <c r="B73" s="277">
        <v>45170</v>
      </c>
      <c r="C73" t="s">
        <v>593</v>
      </c>
      <c r="D73">
        <v>2371</v>
      </c>
      <c r="E73" t="s">
        <v>601</v>
      </c>
      <c r="F73" s="280" t="s">
        <v>602</v>
      </c>
      <c r="G73" s="278">
        <v>12162.42</v>
      </c>
      <c r="H73" s="278" t="s">
        <v>114</v>
      </c>
      <c r="I73" t="s">
        <v>114</v>
      </c>
    </row>
    <row r="74" spans="1:9" hidden="1" x14ac:dyDescent="0.25">
      <c r="A74" s="77">
        <v>45139</v>
      </c>
      <c r="B74" s="277">
        <v>45170</v>
      </c>
      <c r="C74" t="s">
        <v>593</v>
      </c>
      <c r="D74">
        <v>3647</v>
      </c>
      <c r="E74" t="s">
        <v>600</v>
      </c>
      <c r="F74" s="280">
        <v>1</v>
      </c>
      <c r="G74" s="278">
        <v>1560</v>
      </c>
      <c r="H74" s="278" t="s">
        <v>114</v>
      </c>
      <c r="I74" t="s">
        <v>114</v>
      </c>
    </row>
    <row r="75" spans="1:9" hidden="1" x14ac:dyDescent="0.25">
      <c r="A75" s="77">
        <v>45144</v>
      </c>
      <c r="B75" s="277">
        <v>45170</v>
      </c>
      <c r="C75" t="s">
        <v>593</v>
      </c>
      <c r="D75">
        <v>3997</v>
      </c>
      <c r="E75" t="s">
        <v>600</v>
      </c>
      <c r="F75" s="280">
        <v>1</v>
      </c>
      <c r="G75" s="278">
        <v>1384</v>
      </c>
      <c r="H75" s="278" t="s">
        <v>114</v>
      </c>
      <c r="I75" t="s">
        <v>114</v>
      </c>
    </row>
    <row r="76" spans="1:9" hidden="1" x14ac:dyDescent="0.25">
      <c r="A76" s="77">
        <v>45145</v>
      </c>
      <c r="B76" s="277">
        <v>45170</v>
      </c>
      <c r="C76" t="s">
        <v>593</v>
      </c>
      <c r="D76">
        <v>787448</v>
      </c>
      <c r="E76" t="s">
        <v>682</v>
      </c>
      <c r="F76" s="280">
        <v>44960</v>
      </c>
      <c r="G76" s="278">
        <v>3571.48</v>
      </c>
      <c r="H76" s="278" t="s">
        <v>114</v>
      </c>
      <c r="I76" t="s">
        <v>114</v>
      </c>
    </row>
    <row r="77" spans="1:9" hidden="1" x14ac:dyDescent="0.25">
      <c r="A77" s="77">
        <v>45146</v>
      </c>
      <c r="B77" s="277">
        <v>45170</v>
      </c>
      <c r="C77" t="s">
        <v>593</v>
      </c>
      <c r="D77">
        <v>99560</v>
      </c>
      <c r="E77" t="s">
        <v>683</v>
      </c>
      <c r="F77" s="280" t="s">
        <v>607</v>
      </c>
      <c r="G77" s="278">
        <v>2923</v>
      </c>
      <c r="H77" s="278" t="s">
        <v>114</v>
      </c>
      <c r="I77" t="s">
        <v>114</v>
      </c>
    </row>
    <row r="78" spans="1:9" hidden="1" x14ac:dyDescent="0.25">
      <c r="A78" s="77">
        <v>45146</v>
      </c>
      <c r="B78" s="277">
        <v>45170</v>
      </c>
      <c r="C78" t="s">
        <v>593</v>
      </c>
      <c r="D78">
        <v>150750</v>
      </c>
      <c r="E78" t="s">
        <v>684</v>
      </c>
      <c r="F78" s="280" t="s">
        <v>607</v>
      </c>
      <c r="G78" s="278">
        <v>890</v>
      </c>
      <c r="H78" s="278" t="s">
        <v>114</v>
      </c>
      <c r="I78" t="s">
        <v>114</v>
      </c>
    </row>
    <row r="79" spans="1:9" hidden="1" x14ac:dyDescent="0.25">
      <c r="A79" s="77">
        <v>45146</v>
      </c>
      <c r="B79" s="277">
        <v>45170</v>
      </c>
      <c r="C79" t="s">
        <v>593</v>
      </c>
      <c r="D79">
        <v>157011</v>
      </c>
      <c r="E79" t="s">
        <v>685</v>
      </c>
      <c r="F79" s="280" t="s">
        <v>607</v>
      </c>
      <c r="G79" s="278">
        <v>5490</v>
      </c>
      <c r="H79" s="278" t="s">
        <v>114</v>
      </c>
      <c r="I79" t="s">
        <v>114</v>
      </c>
    </row>
    <row r="80" spans="1:9" hidden="1" x14ac:dyDescent="0.25">
      <c r="A80" s="77">
        <v>45146</v>
      </c>
      <c r="B80" s="277">
        <v>45170</v>
      </c>
      <c r="C80" t="s">
        <v>593</v>
      </c>
      <c r="D80">
        <v>157016</v>
      </c>
      <c r="E80" t="s">
        <v>686</v>
      </c>
      <c r="F80" s="280" t="s">
        <v>607</v>
      </c>
      <c r="G80" s="278">
        <v>1360</v>
      </c>
      <c r="H80" s="278" t="s">
        <v>114</v>
      </c>
      <c r="I80" t="s">
        <v>114</v>
      </c>
    </row>
    <row r="81" spans="1:9" hidden="1" x14ac:dyDescent="0.25">
      <c r="A81" s="77">
        <v>45146</v>
      </c>
      <c r="B81" s="277">
        <v>45170</v>
      </c>
      <c r="C81" t="s">
        <v>593</v>
      </c>
      <c r="D81">
        <v>163171</v>
      </c>
      <c r="E81" t="s">
        <v>687</v>
      </c>
      <c r="F81" s="280" t="s">
        <v>607</v>
      </c>
      <c r="G81" s="278">
        <v>2740</v>
      </c>
      <c r="H81" s="278" t="s">
        <v>114</v>
      </c>
      <c r="I81" t="s">
        <v>114</v>
      </c>
    </row>
    <row r="82" spans="1:9" hidden="1" x14ac:dyDescent="0.25">
      <c r="A82" s="77">
        <v>45146</v>
      </c>
      <c r="B82" s="277">
        <v>45170</v>
      </c>
      <c r="C82" t="s">
        <v>593</v>
      </c>
      <c r="D82">
        <v>165228</v>
      </c>
      <c r="E82" t="s">
        <v>688</v>
      </c>
      <c r="F82" s="280" t="s">
        <v>607</v>
      </c>
      <c r="G82" s="278">
        <v>880</v>
      </c>
      <c r="H82" s="278" t="s">
        <v>114</v>
      </c>
      <c r="I82" t="s">
        <v>114</v>
      </c>
    </row>
    <row r="83" spans="1:9" hidden="1" x14ac:dyDescent="0.25">
      <c r="A83" s="77">
        <v>45146</v>
      </c>
      <c r="B83" s="277">
        <v>45170</v>
      </c>
      <c r="C83" t="s">
        <v>593</v>
      </c>
      <c r="D83">
        <v>165241</v>
      </c>
      <c r="E83" t="s">
        <v>689</v>
      </c>
      <c r="F83" s="280" t="s">
        <v>607</v>
      </c>
      <c r="G83" s="278">
        <v>1670</v>
      </c>
      <c r="H83" s="278" t="s">
        <v>114</v>
      </c>
      <c r="I83" t="s">
        <v>114</v>
      </c>
    </row>
    <row r="84" spans="1:9" hidden="1" x14ac:dyDescent="0.25">
      <c r="A84" s="77">
        <v>45146</v>
      </c>
      <c r="B84" s="277">
        <v>45170</v>
      </c>
      <c r="C84" t="s">
        <v>593</v>
      </c>
      <c r="D84">
        <v>94</v>
      </c>
      <c r="E84" t="s">
        <v>600</v>
      </c>
      <c r="F84" s="280">
        <v>1</v>
      </c>
      <c r="G84" s="278">
        <v>1009</v>
      </c>
      <c r="H84" s="278" t="s">
        <v>114</v>
      </c>
      <c r="I84" t="s">
        <v>114</v>
      </c>
    </row>
    <row r="85" spans="1:9" hidden="1" x14ac:dyDescent="0.25">
      <c r="A85" s="77">
        <v>45152</v>
      </c>
      <c r="B85" s="277">
        <v>45170</v>
      </c>
      <c r="C85" t="s">
        <v>593</v>
      </c>
      <c r="D85">
        <v>44186</v>
      </c>
      <c r="E85" t="s">
        <v>690</v>
      </c>
      <c r="F85" s="280" t="s">
        <v>607</v>
      </c>
      <c r="G85" s="278">
        <v>1133.3</v>
      </c>
      <c r="H85" s="278" t="s">
        <v>114</v>
      </c>
      <c r="I85" t="s">
        <v>114</v>
      </c>
    </row>
    <row r="86" spans="1:9" hidden="1" x14ac:dyDescent="0.25">
      <c r="A86" s="77">
        <v>45152</v>
      </c>
      <c r="B86" s="277">
        <v>45170</v>
      </c>
      <c r="C86" t="s">
        <v>593</v>
      </c>
      <c r="D86">
        <v>434</v>
      </c>
      <c r="E86" t="s">
        <v>623</v>
      </c>
      <c r="F86" s="280">
        <v>1</v>
      </c>
      <c r="G86" s="278">
        <v>2070.94</v>
      </c>
      <c r="H86" s="278" t="s">
        <v>114</v>
      </c>
      <c r="I86" t="s">
        <v>114</v>
      </c>
    </row>
    <row r="87" spans="1:9" hidden="1" x14ac:dyDescent="0.25">
      <c r="A87" s="77">
        <v>45156</v>
      </c>
      <c r="B87" s="277">
        <v>45170</v>
      </c>
      <c r="C87" t="s">
        <v>593</v>
      </c>
      <c r="D87">
        <v>700</v>
      </c>
      <c r="E87" t="s">
        <v>600</v>
      </c>
      <c r="F87" s="280">
        <v>1</v>
      </c>
      <c r="G87" s="278">
        <v>2113</v>
      </c>
      <c r="H87" s="278" t="s">
        <v>114</v>
      </c>
      <c r="I87" t="s">
        <v>114</v>
      </c>
    </row>
    <row r="88" spans="1:9" hidden="1" x14ac:dyDescent="0.25">
      <c r="A88" s="77">
        <v>45157</v>
      </c>
      <c r="B88" s="277">
        <v>45170</v>
      </c>
      <c r="C88" t="s">
        <v>593</v>
      </c>
      <c r="D88">
        <v>4853</v>
      </c>
      <c r="E88" t="s">
        <v>254</v>
      </c>
      <c r="F88" s="280">
        <v>1</v>
      </c>
      <c r="G88" s="278">
        <v>11421.09</v>
      </c>
      <c r="H88" s="278" t="s">
        <v>114</v>
      </c>
      <c r="I88" t="s">
        <v>114</v>
      </c>
    </row>
    <row r="89" spans="1:9" hidden="1" x14ac:dyDescent="0.25">
      <c r="A89" s="77">
        <v>45160</v>
      </c>
      <c r="B89" s="277">
        <v>45170</v>
      </c>
      <c r="C89" t="s">
        <v>593</v>
      </c>
      <c r="D89">
        <v>205530</v>
      </c>
      <c r="E89" t="s">
        <v>619</v>
      </c>
      <c r="F89" s="280" t="s">
        <v>607</v>
      </c>
      <c r="G89" s="278">
        <v>8148.96</v>
      </c>
      <c r="H89" s="278" t="s">
        <v>114</v>
      </c>
      <c r="I89" t="s">
        <v>114</v>
      </c>
    </row>
    <row r="90" spans="1:9" hidden="1" x14ac:dyDescent="0.25">
      <c r="A90" s="77">
        <v>45160</v>
      </c>
      <c r="B90" s="277">
        <v>45170</v>
      </c>
      <c r="C90" t="s">
        <v>593</v>
      </c>
      <c r="D90">
        <v>218626</v>
      </c>
      <c r="E90" t="s">
        <v>691</v>
      </c>
      <c r="F90" s="280" t="s">
        <v>607</v>
      </c>
      <c r="G90" s="278">
        <v>350.55</v>
      </c>
      <c r="H90" s="278" t="s">
        <v>114</v>
      </c>
      <c r="I90" t="s">
        <v>114</v>
      </c>
    </row>
    <row r="91" spans="1:9" hidden="1" x14ac:dyDescent="0.25">
      <c r="A91" s="77">
        <v>45160</v>
      </c>
      <c r="B91" s="277">
        <v>45170</v>
      </c>
      <c r="C91" t="s">
        <v>593</v>
      </c>
      <c r="D91">
        <v>407607</v>
      </c>
      <c r="E91" t="s">
        <v>692</v>
      </c>
      <c r="F91" s="280" t="s">
        <v>607</v>
      </c>
      <c r="G91" s="278">
        <v>4538.6000000000004</v>
      </c>
      <c r="H91" s="278" t="s">
        <v>114</v>
      </c>
      <c r="I91" t="s">
        <v>114</v>
      </c>
    </row>
    <row r="92" spans="1:9" hidden="1" x14ac:dyDescent="0.25">
      <c r="A92" s="77">
        <v>45160</v>
      </c>
      <c r="B92" s="277">
        <v>45170</v>
      </c>
      <c r="C92" t="s">
        <v>593</v>
      </c>
      <c r="D92">
        <v>294823</v>
      </c>
      <c r="E92" t="s">
        <v>693</v>
      </c>
      <c r="F92" s="280" t="s">
        <v>607</v>
      </c>
      <c r="G92" s="278">
        <v>1715</v>
      </c>
      <c r="H92" s="278" t="s">
        <v>114</v>
      </c>
      <c r="I92" t="s">
        <v>114</v>
      </c>
    </row>
    <row r="93" spans="1:9" hidden="1" x14ac:dyDescent="0.25">
      <c r="A93" s="77">
        <v>45160</v>
      </c>
      <c r="B93" s="277">
        <v>45170</v>
      </c>
      <c r="C93" t="s">
        <v>593</v>
      </c>
      <c r="D93">
        <v>295460</v>
      </c>
      <c r="E93" t="s">
        <v>694</v>
      </c>
      <c r="F93" s="280" t="s">
        <v>607</v>
      </c>
      <c r="G93" s="278">
        <v>3067</v>
      </c>
      <c r="H93" s="278" t="s">
        <v>114</v>
      </c>
      <c r="I93" t="s">
        <v>114</v>
      </c>
    </row>
    <row r="94" spans="1:9" hidden="1" x14ac:dyDescent="0.25">
      <c r="A94" s="77">
        <v>45160</v>
      </c>
      <c r="B94" s="277">
        <v>45170</v>
      </c>
      <c r="C94" t="s">
        <v>593</v>
      </c>
      <c r="D94">
        <v>289102</v>
      </c>
      <c r="E94" t="s">
        <v>695</v>
      </c>
      <c r="F94" s="280" t="s">
        <v>607</v>
      </c>
      <c r="G94" s="278">
        <v>5487</v>
      </c>
      <c r="H94" s="278" t="s">
        <v>114</v>
      </c>
      <c r="I94" t="s">
        <v>114</v>
      </c>
    </row>
    <row r="95" spans="1:9" hidden="1" x14ac:dyDescent="0.25">
      <c r="A95" s="77">
        <v>45162</v>
      </c>
      <c r="B95" s="277">
        <v>45170</v>
      </c>
      <c r="C95" t="s">
        <v>593</v>
      </c>
      <c r="D95">
        <v>1125</v>
      </c>
      <c r="E95" t="s">
        <v>600</v>
      </c>
      <c r="F95" s="280">
        <v>1</v>
      </c>
      <c r="G95" s="278">
        <v>2500</v>
      </c>
      <c r="H95" s="278" t="s">
        <v>114</v>
      </c>
      <c r="I95" t="s">
        <v>114</v>
      </c>
    </row>
    <row r="96" spans="1:9" hidden="1" x14ac:dyDescent="0.25">
      <c r="A96" s="77">
        <v>45162</v>
      </c>
      <c r="B96" s="277">
        <v>45170</v>
      </c>
      <c r="C96" t="s">
        <v>593</v>
      </c>
      <c r="D96">
        <v>9096</v>
      </c>
      <c r="E96" t="s">
        <v>600</v>
      </c>
      <c r="F96" s="280">
        <v>1</v>
      </c>
      <c r="G96" s="278">
        <v>7137.4</v>
      </c>
      <c r="H96" s="278" t="s">
        <v>114</v>
      </c>
      <c r="I96" t="s">
        <v>114</v>
      </c>
    </row>
    <row r="97" spans="1:9" hidden="1" x14ac:dyDescent="0.25">
      <c r="A97" s="77">
        <v>45128</v>
      </c>
      <c r="B97" s="277">
        <v>45170</v>
      </c>
      <c r="C97" t="s">
        <v>625</v>
      </c>
      <c r="D97">
        <v>35368</v>
      </c>
      <c r="E97" t="s">
        <v>626</v>
      </c>
      <c r="F97" s="280" t="s">
        <v>607</v>
      </c>
      <c r="G97" s="278">
        <v>3000</v>
      </c>
      <c r="H97" s="278" t="s">
        <v>114</v>
      </c>
      <c r="I97" t="s">
        <v>114</v>
      </c>
    </row>
    <row r="98" spans="1:9" hidden="1" x14ac:dyDescent="0.25">
      <c r="A98" s="77">
        <v>45131</v>
      </c>
      <c r="B98" s="277">
        <v>45170</v>
      </c>
      <c r="C98" t="s">
        <v>625</v>
      </c>
      <c r="D98">
        <v>342671</v>
      </c>
      <c r="E98" t="s">
        <v>696</v>
      </c>
      <c r="F98" s="280">
        <v>1</v>
      </c>
      <c r="G98" s="278">
        <v>999</v>
      </c>
      <c r="H98" s="278" t="s">
        <v>114</v>
      </c>
      <c r="I98" t="s">
        <v>114</v>
      </c>
    </row>
    <row r="99" spans="1:9" hidden="1" x14ac:dyDescent="0.25">
      <c r="A99" s="77">
        <v>45132</v>
      </c>
      <c r="B99" s="277">
        <v>45170</v>
      </c>
      <c r="C99" t="s">
        <v>625</v>
      </c>
      <c r="D99">
        <v>10000</v>
      </c>
      <c r="E99" t="s">
        <v>629</v>
      </c>
      <c r="F99" s="280" t="s">
        <v>607</v>
      </c>
      <c r="G99" s="278">
        <v>14864</v>
      </c>
      <c r="H99" s="278" t="s">
        <v>114</v>
      </c>
      <c r="I99" t="s">
        <v>114</v>
      </c>
    </row>
    <row r="100" spans="1:9" hidden="1" x14ac:dyDescent="0.25">
      <c r="A100" s="77">
        <v>45133</v>
      </c>
      <c r="B100" s="277">
        <v>45170</v>
      </c>
      <c r="C100" t="s">
        <v>625</v>
      </c>
      <c r="D100">
        <v>9974</v>
      </c>
      <c r="E100" t="s">
        <v>627</v>
      </c>
      <c r="F100" s="280">
        <v>1</v>
      </c>
      <c r="G100" s="278">
        <v>1009.2</v>
      </c>
      <c r="H100" s="278" t="s">
        <v>114</v>
      </c>
      <c r="I100" t="s">
        <v>114</v>
      </c>
    </row>
    <row r="101" spans="1:9" hidden="1" x14ac:dyDescent="0.25">
      <c r="A101" s="77">
        <v>45139</v>
      </c>
      <c r="B101" s="277">
        <v>45170</v>
      </c>
      <c r="C101" t="s">
        <v>625</v>
      </c>
      <c r="D101">
        <v>18469</v>
      </c>
      <c r="E101" t="s">
        <v>631</v>
      </c>
      <c r="F101" s="280" t="s">
        <v>607</v>
      </c>
      <c r="G101" s="278">
        <v>1000</v>
      </c>
      <c r="H101" s="278" t="s">
        <v>114</v>
      </c>
      <c r="I101" t="s">
        <v>114</v>
      </c>
    </row>
    <row r="102" spans="1:9" hidden="1" x14ac:dyDescent="0.25">
      <c r="A102" s="77">
        <v>45145</v>
      </c>
      <c r="B102" s="277">
        <v>45170</v>
      </c>
      <c r="C102" t="s">
        <v>625</v>
      </c>
      <c r="D102">
        <v>4429</v>
      </c>
      <c r="E102" t="s">
        <v>632</v>
      </c>
      <c r="F102" s="280">
        <v>1</v>
      </c>
      <c r="G102" s="278">
        <v>12538.01</v>
      </c>
      <c r="H102" s="278" t="s">
        <v>114</v>
      </c>
      <c r="I102" t="s">
        <v>114</v>
      </c>
    </row>
    <row r="103" spans="1:9" hidden="1" x14ac:dyDescent="0.25">
      <c r="A103" s="77">
        <v>45145</v>
      </c>
      <c r="B103" s="277">
        <v>45170</v>
      </c>
      <c r="C103" t="s">
        <v>625</v>
      </c>
      <c r="D103">
        <v>5157</v>
      </c>
      <c r="E103" t="s">
        <v>697</v>
      </c>
      <c r="F103" s="280">
        <v>1</v>
      </c>
      <c r="G103" s="278">
        <v>2000</v>
      </c>
      <c r="H103" s="278" t="s">
        <v>114</v>
      </c>
      <c r="I103" t="s">
        <v>114</v>
      </c>
    </row>
    <row r="104" spans="1:9" hidden="1" x14ac:dyDescent="0.25">
      <c r="A104" s="77">
        <v>45147</v>
      </c>
      <c r="B104" s="277">
        <v>45170</v>
      </c>
      <c r="C104" t="s">
        <v>625</v>
      </c>
      <c r="D104">
        <v>241523</v>
      </c>
      <c r="E104" t="s">
        <v>633</v>
      </c>
      <c r="F104" s="280" t="s">
        <v>607</v>
      </c>
      <c r="G104" s="278">
        <v>6255.45</v>
      </c>
      <c r="H104" s="278" t="s">
        <v>114</v>
      </c>
      <c r="I104" t="s">
        <v>114</v>
      </c>
    </row>
    <row r="105" spans="1:9" hidden="1" x14ac:dyDescent="0.25">
      <c r="A105" s="77">
        <v>45153</v>
      </c>
      <c r="B105" s="277">
        <v>45170</v>
      </c>
      <c r="C105" t="s">
        <v>625</v>
      </c>
      <c r="D105">
        <v>37542</v>
      </c>
      <c r="E105" t="s">
        <v>637</v>
      </c>
      <c r="F105" s="280" t="s">
        <v>607</v>
      </c>
      <c r="G105" s="278">
        <v>13726</v>
      </c>
      <c r="H105" s="278" t="s">
        <v>114</v>
      </c>
      <c r="I105" t="s">
        <v>114</v>
      </c>
    </row>
    <row r="106" spans="1:9" hidden="1" x14ac:dyDescent="0.25">
      <c r="A106" s="77">
        <v>45155</v>
      </c>
      <c r="B106" s="277">
        <v>45170</v>
      </c>
      <c r="C106" t="s">
        <v>625</v>
      </c>
      <c r="D106">
        <v>2175</v>
      </c>
      <c r="E106" t="s">
        <v>698</v>
      </c>
      <c r="F106" s="280" t="s">
        <v>607</v>
      </c>
      <c r="G106" s="278">
        <v>1000</v>
      </c>
      <c r="H106" s="278" t="s">
        <v>114</v>
      </c>
      <c r="I106" t="s">
        <v>114</v>
      </c>
    </row>
    <row r="107" spans="1:9" hidden="1" x14ac:dyDescent="0.25">
      <c r="A107" s="77">
        <v>45155</v>
      </c>
      <c r="B107" s="277">
        <v>45170</v>
      </c>
      <c r="C107" t="s">
        <v>625</v>
      </c>
      <c r="D107">
        <v>470029</v>
      </c>
      <c r="E107" t="s">
        <v>636</v>
      </c>
      <c r="F107" s="280" t="s">
        <v>607</v>
      </c>
      <c r="G107" s="278">
        <v>1320</v>
      </c>
      <c r="H107" s="278" t="s">
        <v>114</v>
      </c>
      <c r="I107" t="s">
        <v>114</v>
      </c>
    </row>
    <row r="108" spans="1:9" hidden="1" x14ac:dyDescent="0.25">
      <c r="A108" s="77">
        <v>45161</v>
      </c>
      <c r="B108" s="277">
        <v>45170</v>
      </c>
      <c r="C108" t="s">
        <v>625</v>
      </c>
      <c r="D108">
        <v>241983</v>
      </c>
      <c r="E108" t="s">
        <v>699</v>
      </c>
      <c r="F108" s="280">
        <v>1</v>
      </c>
      <c r="G108" s="278">
        <v>999</v>
      </c>
      <c r="H108" s="278" t="s">
        <v>114</v>
      </c>
      <c r="I108" t="s">
        <v>114</v>
      </c>
    </row>
    <row r="109" spans="1:9" hidden="1" x14ac:dyDescent="0.25">
      <c r="A109" s="77">
        <v>45161</v>
      </c>
      <c r="B109" s="277">
        <v>45170</v>
      </c>
      <c r="C109" t="s">
        <v>625</v>
      </c>
      <c r="D109">
        <v>264787</v>
      </c>
      <c r="E109" t="s">
        <v>700</v>
      </c>
      <c r="F109" s="280">
        <v>1</v>
      </c>
      <c r="G109" s="278">
        <v>50000</v>
      </c>
      <c r="H109" s="278" t="s">
        <v>114</v>
      </c>
      <c r="I109" t="s">
        <v>114</v>
      </c>
    </row>
    <row r="110" spans="1:9" hidden="1" x14ac:dyDescent="0.25">
      <c r="A110" s="77">
        <v>44992</v>
      </c>
      <c r="B110" s="277">
        <v>45170</v>
      </c>
      <c r="C110" t="s">
        <v>593</v>
      </c>
      <c r="D110">
        <v>255</v>
      </c>
      <c r="E110" t="s">
        <v>333</v>
      </c>
      <c r="F110" s="280">
        <v>45083</v>
      </c>
      <c r="G110" s="278">
        <v>226.65</v>
      </c>
      <c r="H110" s="278" t="s">
        <v>114</v>
      </c>
      <c r="I110" t="s">
        <v>114</v>
      </c>
    </row>
    <row r="111" spans="1:9" hidden="1" x14ac:dyDescent="0.25">
      <c r="A111" s="77">
        <v>45014</v>
      </c>
      <c r="B111" s="277">
        <v>45170</v>
      </c>
      <c r="C111" t="s">
        <v>593</v>
      </c>
      <c r="D111">
        <v>290</v>
      </c>
      <c r="E111" t="s">
        <v>333</v>
      </c>
      <c r="F111" s="280">
        <v>45052</v>
      </c>
      <c r="G111" s="278">
        <v>5042.67</v>
      </c>
      <c r="H111" s="278" t="s">
        <v>114</v>
      </c>
      <c r="I111" t="s">
        <v>114</v>
      </c>
    </row>
    <row r="112" spans="1:9" hidden="1" x14ac:dyDescent="0.25">
      <c r="A112" s="77">
        <v>45132</v>
      </c>
      <c r="B112" s="277">
        <v>45170</v>
      </c>
      <c r="C112" t="s">
        <v>593</v>
      </c>
      <c r="D112">
        <v>2192</v>
      </c>
      <c r="E112" t="s">
        <v>604</v>
      </c>
      <c r="F112" s="280" t="s">
        <v>602</v>
      </c>
      <c r="G112" s="278">
        <v>3663.5</v>
      </c>
      <c r="H112" s="278" t="s">
        <v>114</v>
      </c>
      <c r="I112" t="s">
        <v>114</v>
      </c>
    </row>
    <row r="113" spans="1:9" hidden="1" x14ac:dyDescent="0.25">
      <c r="A113" s="77">
        <v>45133</v>
      </c>
      <c r="B113" s="277">
        <v>45170</v>
      </c>
      <c r="C113" t="s">
        <v>593</v>
      </c>
      <c r="D113">
        <v>2813</v>
      </c>
      <c r="E113" t="s">
        <v>701</v>
      </c>
      <c r="F113" s="280" t="s">
        <v>602</v>
      </c>
      <c r="G113" s="278">
        <v>9284.8799999999992</v>
      </c>
      <c r="H113" s="278" t="s">
        <v>114</v>
      </c>
      <c r="I113" t="s">
        <v>114</v>
      </c>
    </row>
    <row r="114" spans="1:9" hidden="1" x14ac:dyDescent="0.25">
      <c r="A114" s="77">
        <v>45136</v>
      </c>
      <c r="B114" s="277">
        <v>45170</v>
      </c>
      <c r="C114" t="s">
        <v>593</v>
      </c>
      <c r="D114">
        <v>2386</v>
      </c>
      <c r="E114" t="s">
        <v>604</v>
      </c>
      <c r="F114" s="280" t="s">
        <v>602</v>
      </c>
      <c r="G114" s="278">
        <v>3660.5</v>
      </c>
      <c r="H114" s="278" t="s">
        <v>114</v>
      </c>
      <c r="I114" t="s">
        <v>114</v>
      </c>
    </row>
    <row r="115" spans="1:9" hidden="1" x14ac:dyDescent="0.25">
      <c r="A115" s="77">
        <v>45142</v>
      </c>
      <c r="B115" s="277">
        <v>45170</v>
      </c>
      <c r="C115" t="s">
        <v>593</v>
      </c>
      <c r="D115">
        <v>8064</v>
      </c>
      <c r="E115" t="s">
        <v>604</v>
      </c>
      <c r="F115" s="280" t="s">
        <v>602</v>
      </c>
      <c r="G115" s="278">
        <v>3471.75</v>
      </c>
      <c r="H115" s="278" t="s">
        <v>114</v>
      </c>
      <c r="I115" t="s">
        <v>114</v>
      </c>
    </row>
    <row r="116" spans="1:9" hidden="1" x14ac:dyDescent="0.25">
      <c r="A116" s="77">
        <v>44922</v>
      </c>
      <c r="B116" s="277">
        <v>45200</v>
      </c>
      <c r="C116" t="s">
        <v>593</v>
      </c>
      <c r="D116">
        <v>4761</v>
      </c>
      <c r="E116" t="s">
        <v>594</v>
      </c>
      <c r="F116" s="280">
        <v>45179</v>
      </c>
      <c r="G116" s="278">
        <v>21189.8</v>
      </c>
      <c r="H116" s="278" t="s">
        <v>114</v>
      </c>
      <c r="I116" t="s">
        <v>114</v>
      </c>
    </row>
    <row r="117" spans="1:9" hidden="1" x14ac:dyDescent="0.25">
      <c r="A117" s="77">
        <v>45041</v>
      </c>
      <c r="B117" s="277">
        <v>45200</v>
      </c>
      <c r="C117" t="s">
        <v>593</v>
      </c>
      <c r="D117">
        <v>393</v>
      </c>
      <c r="E117" t="s">
        <v>596</v>
      </c>
      <c r="F117" s="280">
        <v>45051</v>
      </c>
      <c r="G117" s="278">
        <v>931.03</v>
      </c>
      <c r="H117" s="278" t="s">
        <v>114</v>
      </c>
      <c r="I117" t="s">
        <v>114</v>
      </c>
    </row>
    <row r="118" spans="1:9" hidden="1" x14ac:dyDescent="0.25">
      <c r="A118" s="77">
        <v>45041</v>
      </c>
      <c r="B118" s="277">
        <v>45200</v>
      </c>
      <c r="C118" t="s">
        <v>593</v>
      </c>
      <c r="D118">
        <v>396</v>
      </c>
      <c r="E118" t="s">
        <v>596</v>
      </c>
      <c r="F118" s="280">
        <v>45051</v>
      </c>
      <c r="G118" s="278">
        <v>6666.59</v>
      </c>
      <c r="H118" s="278" t="s">
        <v>114</v>
      </c>
      <c r="I118" t="s">
        <v>114</v>
      </c>
    </row>
    <row r="119" spans="1:9" hidden="1" x14ac:dyDescent="0.25">
      <c r="A119" s="77">
        <v>45050</v>
      </c>
      <c r="B119" s="277">
        <v>45200</v>
      </c>
      <c r="C119" t="s">
        <v>593</v>
      </c>
      <c r="D119">
        <v>878</v>
      </c>
      <c r="E119" t="s">
        <v>596</v>
      </c>
      <c r="F119" s="280">
        <v>45051</v>
      </c>
      <c r="G119" s="278">
        <v>1963.4</v>
      </c>
      <c r="H119" s="278" t="s">
        <v>114</v>
      </c>
      <c r="I119" t="s">
        <v>114</v>
      </c>
    </row>
    <row r="120" spans="1:9" hidden="1" x14ac:dyDescent="0.25">
      <c r="A120" s="77">
        <v>45051</v>
      </c>
      <c r="B120" s="277">
        <v>45200</v>
      </c>
      <c r="C120" t="s">
        <v>593</v>
      </c>
      <c r="D120">
        <v>8701</v>
      </c>
      <c r="E120" t="s">
        <v>594</v>
      </c>
      <c r="F120" s="280">
        <v>45052</v>
      </c>
      <c r="G120" s="278">
        <v>17833.169999999998</v>
      </c>
      <c r="H120" s="278" t="s">
        <v>114</v>
      </c>
      <c r="I120" t="s">
        <v>114</v>
      </c>
    </row>
    <row r="121" spans="1:9" hidden="1" x14ac:dyDescent="0.25">
      <c r="A121" s="77">
        <v>45103</v>
      </c>
      <c r="B121" s="277">
        <v>45200</v>
      </c>
      <c r="C121" t="s">
        <v>593</v>
      </c>
      <c r="D121">
        <v>1301</v>
      </c>
      <c r="E121" t="s">
        <v>594</v>
      </c>
      <c r="F121" s="280">
        <v>44991</v>
      </c>
      <c r="G121" s="278">
        <v>38134.67</v>
      </c>
      <c r="H121" s="278" t="s">
        <v>114</v>
      </c>
      <c r="I121" t="s">
        <v>114</v>
      </c>
    </row>
    <row r="122" spans="1:9" hidden="1" x14ac:dyDescent="0.25">
      <c r="A122" s="77">
        <v>45145</v>
      </c>
      <c r="B122" s="277">
        <v>45200</v>
      </c>
      <c r="C122" t="s">
        <v>593</v>
      </c>
      <c r="D122">
        <v>787448</v>
      </c>
      <c r="E122" t="s">
        <v>682</v>
      </c>
      <c r="F122" s="280">
        <v>44988</v>
      </c>
      <c r="G122" s="278">
        <v>3571.47</v>
      </c>
      <c r="H122" s="278" t="s">
        <v>114</v>
      </c>
      <c r="I122" t="s">
        <v>114</v>
      </c>
    </row>
    <row r="123" spans="1:9" hidden="1" x14ac:dyDescent="0.25">
      <c r="A123" s="77">
        <v>45164</v>
      </c>
      <c r="B123" s="277">
        <v>45200</v>
      </c>
      <c r="C123" t="s">
        <v>593</v>
      </c>
      <c r="D123">
        <v>3387</v>
      </c>
      <c r="E123" t="s">
        <v>601</v>
      </c>
      <c r="F123" s="280" t="s">
        <v>602</v>
      </c>
      <c r="G123" s="278">
        <v>9728.16</v>
      </c>
      <c r="H123" s="278" t="s">
        <v>114</v>
      </c>
      <c r="I123" t="s">
        <v>114</v>
      </c>
    </row>
    <row r="124" spans="1:9" hidden="1" x14ac:dyDescent="0.25">
      <c r="A124" s="77">
        <v>45165</v>
      </c>
      <c r="B124" s="277">
        <v>45200</v>
      </c>
      <c r="C124" t="s">
        <v>593</v>
      </c>
      <c r="D124">
        <v>8806</v>
      </c>
      <c r="E124" t="s">
        <v>599</v>
      </c>
      <c r="F124" s="280">
        <v>1</v>
      </c>
      <c r="G124" s="278">
        <v>2956.32</v>
      </c>
      <c r="H124" s="278" t="s">
        <v>114</v>
      </c>
      <c r="I124" t="s">
        <v>114</v>
      </c>
    </row>
    <row r="125" spans="1:9" hidden="1" x14ac:dyDescent="0.25">
      <c r="A125" s="77">
        <v>45166</v>
      </c>
      <c r="B125" s="277">
        <v>45200</v>
      </c>
      <c r="C125" t="s">
        <v>593</v>
      </c>
      <c r="D125">
        <v>5036</v>
      </c>
      <c r="E125" t="s">
        <v>254</v>
      </c>
      <c r="F125" s="280">
        <v>1</v>
      </c>
      <c r="G125" s="278">
        <v>18340.91</v>
      </c>
      <c r="H125" s="278" t="s">
        <v>114</v>
      </c>
      <c r="I125" t="s">
        <v>114</v>
      </c>
    </row>
    <row r="126" spans="1:9" hidden="1" x14ac:dyDescent="0.25">
      <c r="A126" s="77">
        <v>45176</v>
      </c>
      <c r="B126" s="277">
        <v>45200</v>
      </c>
      <c r="C126" t="s">
        <v>593</v>
      </c>
      <c r="D126">
        <v>27118</v>
      </c>
      <c r="E126" t="s">
        <v>746</v>
      </c>
      <c r="F126" s="280" t="s">
        <v>607</v>
      </c>
      <c r="G126" s="278">
        <v>2923</v>
      </c>
      <c r="H126" s="278" t="s">
        <v>114</v>
      </c>
      <c r="I126" t="s">
        <v>114</v>
      </c>
    </row>
    <row r="127" spans="1:9" hidden="1" x14ac:dyDescent="0.25">
      <c r="A127" s="77">
        <v>45176</v>
      </c>
      <c r="B127" s="277">
        <v>45200</v>
      </c>
      <c r="C127" t="s">
        <v>593</v>
      </c>
      <c r="D127">
        <v>39678</v>
      </c>
      <c r="E127" t="s">
        <v>747</v>
      </c>
      <c r="F127" s="280" t="s">
        <v>607</v>
      </c>
      <c r="G127" s="278">
        <v>5490</v>
      </c>
      <c r="H127" s="278" t="s">
        <v>114</v>
      </c>
      <c r="I127" t="s">
        <v>114</v>
      </c>
    </row>
    <row r="128" spans="1:9" hidden="1" x14ac:dyDescent="0.25">
      <c r="A128" s="77">
        <v>45176</v>
      </c>
      <c r="B128" s="277">
        <v>45200</v>
      </c>
      <c r="C128" t="s">
        <v>593</v>
      </c>
      <c r="D128">
        <v>39679</v>
      </c>
      <c r="E128" t="s">
        <v>748</v>
      </c>
      <c r="F128" s="280" t="s">
        <v>607</v>
      </c>
      <c r="G128" s="278">
        <v>1360</v>
      </c>
      <c r="H128" s="278" t="s">
        <v>114</v>
      </c>
      <c r="I128" t="s">
        <v>114</v>
      </c>
    </row>
    <row r="129" spans="1:9" hidden="1" x14ac:dyDescent="0.25">
      <c r="A129" s="77">
        <v>45176</v>
      </c>
      <c r="B129" s="277">
        <v>45200</v>
      </c>
      <c r="C129" t="s">
        <v>593</v>
      </c>
      <c r="D129">
        <v>39680</v>
      </c>
      <c r="E129" t="s">
        <v>749</v>
      </c>
      <c r="F129" s="280" t="s">
        <v>607</v>
      </c>
      <c r="G129" s="278">
        <v>2740</v>
      </c>
      <c r="H129" s="278" t="s">
        <v>114</v>
      </c>
      <c r="I129" t="s">
        <v>114</v>
      </c>
    </row>
    <row r="130" spans="1:9" hidden="1" x14ac:dyDescent="0.25">
      <c r="A130" s="77">
        <v>45176</v>
      </c>
      <c r="B130" s="277">
        <v>45200</v>
      </c>
      <c r="C130" t="s">
        <v>593</v>
      </c>
      <c r="D130">
        <v>39682</v>
      </c>
      <c r="E130" t="s">
        <v>750</v>
      </c>
      <c r="F130" s="280" t="s">
        <v>607</v>
      </c>
      <c r="G130" s="278">
        <v>890</v>
      </c>
      <c r="H130" s="278" t="s">
        <v>114</v>
      </c>
      <c r="I130" t="s">
        <v>114</v>
      </c>
    </row>
    <row r="131" spans="1:9" hidden="1" x14ac:dyDescent="0.25">
      <c r="A131" s="77">
        <v>45176</v>
      </c>
      <c r="B131" s="277">
        <v>45200</v>
      </c>
      <c r="C131" t="s">
        <v>593</v>
      </c>
      <c r="D131">
        <v>173323</v>
      </c>
      <c r="E131" t="s">
        <v>751</v>
      </c>
      <c r="F131" s="280" t="s">
        <v>607</v>
      </c>
      <c r="G131" s="278">
        <v>880</v>
      </c>
      <c r="H131" s="278" t="s">
        <v>114</v>
      </c>
      <c r="I131" t="s">
        <v>114</v>
      </c>
    </row>
    <row r="132" spans="1:9" hidden="1" x14ac:dyDescent="0.25">
      <c r="A132" s="77">
        <v>45176</v>
      </c>
      <c r="B132" s="277">
        <v>45200</v>
      </c>
      <c r="C132" t="s">
        <v>593</v>
      </c>
      <c r="D132">
        <v>173324</v>
      </c>
      <c r="E132" t="s">
        <v>752</v>
      </c>
      <c r="F132" s="280" t="s">
        <v>607</v>
      </c>
      <c r="G132" s="278">
        <v>1670</v>
      </c>
      <c r="H132" s="278" t="s">
        <v>114</v>
      </c>
      <c r="I132" t="s">
        <v>114</v>
      </c>
    </row>
    <row r="133" spans="1:9" hidden="1" x14ac:dyDescent="0.25">
      <c r="A133" s="77">
        <v>45177</v>
      </c>
      <c r="B133" s="277">
        <v>45200</v>
      </c>
      <c r="C133" t="s">
        <v>593</v>
      </c>
      <c r="D133">
        <v>588517</v>
      </c>
      <c r="E133" t="s">
        <v>753</v>
      </c>
      <c r="F133" s="280">
        <v>44960</v>
      </c>
      <c r="G133" s="278">
        <v>11004.85</v>
      </c>
      <c r="H133" s="278" t="s">
        <v>114</v>
      </c>
      <c r="I133" t="s">
        <v>114</v>
      </c>
    </row>
    <row r="134" spans="1:9" hidden="1" x14ac:dyDescent="0.25">
      <c r="A134" s="77">
        <v>45178</v>
      </c>
      <c r="B134" s="277">
        <v>45200</v>
      </c>
      <c r="C134" t="s">
        <v>593</v>
      </c>
      <c r="D134">
        <v>2252</v>
      </c>
      <c r="E134" t="s">
        <v>600</v>
      </c>
      <c r="F134" s="280">
        <v>1</v>
      </c>
      <c r="G134" s="278">
        <v>4300</v>
      </c>
      <c r="H134" s="278" t="s">
        <v>114</v>
      </c>
      <c r="I134" t="s">
        <v>114</v>
      </c>
    </row>
    <row r="135" spans="1:9" hidden="1" x14ac:dyDescent="0.25">
      <c r="A135" s="77">
        <v>45184</v>
      </c>
      <c r="B135" s="277">
        <v>45200</v>
      </c>
      <c r="C135" t="s">
        <v>593</v>
      </c>
      <c r="D135">
        <v>301687</v>
      </c>
      <c r="E135" t="s">
        <v>754</v>
      </c>
      <c r="F135" s="280" t="s">
        <v>607</v>
      </c>
      <c r="G135" s="278">
        <v>1092</v>
      </c>
      <c r="H135" s="278" t="s">
        <v>114</v>
      </c>
      <c r="I135" t="s">
        <v>114</v>
      </c>
    </row>
    <row r="136" spans="1:9" hidden="1" x14ac:dyDescent="0.25">
      <c r="A136" s="77">
        <v>45184</v>
      </c>
      <c r="B136" s="277">
        <v>45200</v>
      </c>
      <c r="C136" t="s">
        <v>593</v>
      </c>
      <c r="D136">
        <v>235</v>
      </c>
      <c r="E136" t="s">
        <v>600</v>
      </c>
      <c r="F136" s="280">
        <v>1</v>
      </c>
      <c r="G136" s="278">
        <v>2244</v>
      </c>
      <c r="H136" s="278" t="s">
        <v>114</v>
      </c>
      <c r="I136" t="s">
        <v>114</v>
      </c>
    </row>
    <row r="137" spans="1:9" hidden="1" x14ac:dyDescent="0.25">
      <c r="A137" s="77">
        <v>45187</v>
      </c>
      <c r="B137" s="277">
        <v>45200</v>
      </c>
      <c r="C137" t="s">
        <v>593</v>
      </c>
      <c r="D137">
        <v>109843</v>
      </c>
      <c r="E137" t="s">
        <v>755</v>
      </c>
      <c r="F137" s="280" t="s">
        <v>607</v>
      </c>
      <c r="G137" s="278">
        <v>4699.12</v>
      </c>
      <c r="H137" s="278" t="s">
        <v>114</v>
      </c>
      <c r="I137" t="s">
        <v>114</v>
      </c>
    </row>
    <row r="138" spans="1:9" hidden="1" x14ac:dyDescent="0.25">
      <c r="A138" s="77">
        <v>45188</v>
      </c>
      <c r="B138" s="277">
        <v>45200</v>
      </c>
      <c r="C138" t="s">
        <v>593</v>
      </c>
      <c r="D138">
        <v>167882</v>
      </c>
      <c r="E138" t="s">
        <v>619</v>
      </c>
      <c r="F138" s="280" t="s">
        <v>607</v>
      </c>
      <c r="G138" s="278">
        <v>10545.09</v>
      </c>
      <c r="H138" s="278" t="s">
        <v>114</v>
      </c>
      <c r="I138" t="s">
        <v>114</v>
      </c>
    </row>
    <row r="139" spans="1:9" hidden="1" x14ac:dyDescent="0.25">
      <c r="A139" s="77">
        <v>45188</v>
      </c>
      <c r="B139" s="277">
        <v>45200</v>
      </c>
      <c r="C139" t="s">
        <v>593</v>
      </c>
      <c r="D139">
        <v>171363</v>
      </c>
      <c r="E139" t="s">
        <v>691</v>
      </c>
      <c r="F139" s="280" t="s">
        <v>607</v>
      </c>
      <c r="G139" s="278">
        <v>703.11</v>
      </c>
      <c r="H139" s="278" t="s">
        <v>114</v>
      </c>
      <c r="I139" t="s">
        <v>114</v>
      </c>
    </row>
    <row r="140" spans="1:9" hidden="1" x14ac:dyDescent="0.25">
      <c r="A140" s="77">
        <v>45188</v>
      </c>
      <c r="B140" s="277">
        <v>45200</v>
      </c>
      <c r="C140" t="s">
        <v>593</v>
      </c>
      <c r="D140">
        <v>5580</v>
      </c>
      <c r="E140" t="s">
        <v>254</v>
      </c>
      <c r="F140" s="280">
        <v>1</v>
      </c>
      <c r="G140" s="278">
        <v>4698.3900000000003</v>
      </c>
      <c r="H140" s="278" t="s">
        <v>114</v>
      </c>
      <c r="I140" t="s">
        <v>114</v>
      </c>
    </row>
    <row r="141" spans="1:9" hidden="1" x14ac:dyDescent="0.25">
      <c r="A141" s="77">
        <v>45189</v>
      </c>
      <c r="B141" s="277">
        <v>45200</v>
      </c>
      <c r="C141" t="s">
        <v>593</v>
      </c>
      <c r="D141">
        <v>464076</v>
      </c>
      <c r="E141" t="s">
        <v>756</v>
      </c>
      <c r="F141" s="280" t="s">
        <v>607</v>
      </c>
      <c r="G141" s="278">
        <v>1715</v>
      </c>
      <c r="H141" s="278" t="s">
        <v>114</v>
      </c>
      <c r="I141" t="s">
        <v>114</v>
      </c>
    </row>
    <row r="142" spans="1:9" hidden="1" x14ac:dyDescent="0.25">
      <c r="A142" s="77">
        <v>45189</v>
      </c>
      <c r="B142" s="277">
        <v>45200</v>
      </c>
      <c r="C142" t="s">
        <v>593</v>
      </c>
      <c r="D142">
        <v>464715</v>
      </c>
      <c r="E142" t="s">
        <v>757</v>
      </c>
      <c r="F142" s="280" t="s">
        <v>607</v>
      </c>
      <c r="G142" s="278">
        <v>3067</v>
      </c>
      <c r="H142" s="278" t="s">
        <v>114</v>
      </c>
      <c r="I142" t="s">
        <v>114</v>
      </c>
    </row>
    <row r="143" spans="1:9" hidden="1" x14ac:dyDescent="0.25">
      <c r="A143" s="77">
        <v>45189</v>
      </c>
      <c r="B143" s="277">
        <v>45200</v>
      </c>
      <c r="C143" t="s">
        <v>593</v>
      </c>
      <c r="D143">
        <v>442926</v>
      </c>
      <c r="E143" t="s">
        <v>758</v>
      </c>
      <c r="F143" s="280" t="s">
        <v>607</v>
      </c>
      <c r="G143" s="278">
        <v>5487</v>
      </c>
      <c r="H143" s="278" t="s">
        <v>114</v>
      </c>
      <c r="I143" t="s">
        <v>114</v>
      </c>
    </row>
    <row r="144" spans="1:9" hidden="1" x14ac:dyDescent="0.25">
      <c r="A144" s="77">
        <v>45189</v>
      </c>
      <c r="B144" s="277">
        <v>45200</v>
      </c>
      <c r="C144" t="s">
        <v>593</v>
      </c>
      <c r="D144">
        <v>5456</v>
      </c>
      <c r="E144" t="s">
        <v>601</v>
      </c>
      <c r="F144" s="280" t="s">
        <v>602</v>
      </c>
      <c r="G144" s="278">
        <v>6862.4</v>
      </c>
      <c r="H144" s="278" t="s">
        <v>114</v>
      </c>
      <c r="I144" t="s">
        <v>114</v>
      </c>
    </row>
    <row r="145" spans="1:9" hidden="1" x14ac:dyDescent="0.25">
      <c r="A145" s="77">
        <v>45191</v>
      </c>
      <c r="B145" s="277">
        <v>45200</v>
      </c>
      <c r="C145" t="s">
        <v>593</v>
      </c>
      <c r="D145">
        <v>944</v>
      </c>
      <c r="E145" t="s">
        <v>603</v>
      </c>
      <c r="F145" s="280">
        <v>1</v>
      </c>
      <c r="G145" s="278">
        <v>3068.32</v>
      </c>
      <c r="H145" s="278" t="s">
        <v>114</v>
      </c>
      <c r="I145" t="s">
        <v>114</v>
      </c>
    </row>
    <row r="146" spans="1:9" hidden="1" x14ac:dyDescent="0.25">
      <c r="A146" s="77">
        <v>45191</v>
      </c>
      <c r="B146" s="277">
        <v>45200</v>
      </c>
      <c r="C146" t="s">
        <v>593</v>
      </c>
      <c r="D146">
        <v>733</v>
      </c>
      <c r="E146" t="s">
        <v>600</v>
      </c>
      <c r="F146" s="280">
        <v>1</v>
      </c>
      <c r="G146" s="278">
        <v>2301</v>
      </c>
      <c r="H146" s="278" t="s">
        <v>114</v>
      </c>
      <c r="I146" t="s">
        <v>114</v>
      </c>
    </row>
    <row r="147" spans="1:9" hidden="1" x14ac:dyDescent="0.25">
      <c r="A147" s="77">
        <v>45161</v>
      </c>
      <c r="B147" s="277">
        <v>45200</v>
      </c>
      <c r="C147" t="s">
        <v>625</v>
      </c>
      <c r="D147">
        <v>35571</v>
      </c>
      <c r="E147" t="s">
        <v>626</v>
      </c>
      <c r="F147" s="280" t="s">
        <v>607</v>
      </c>
      <c r="G147" s="278">
        <v>3000</v>
      </c>
      <c r="H147" s="278" t="s">
        <v>114</v>
      </c>
      <c r="I147" t="s">
        <v>114</v>
      </c>
    </row>
    <row r="148" spans="1:9" hidden="1" x14ac:dyDescent="0.25">
      <c r="A148" s="77">
        <v>45162</v>
      </c>
      <c r="B148" s="277">
        <v>45200</v>
      </c>
      <c r="C148" t="s">
        <v>625</v>
      </c>
      <c r="D148">
        <v>2094</v>
      </c>
      <c r="E148" t="s">
        <v>628</v>
      </c>
      <c r="F148" s="280" t="s">
        <v>607</v>
      </c>
      <c r="G148" s="278">
        <v>2861.77</v>
      </c>
      <c r="H148" s="278" t="s">
        <v>114</v>
      </c>
      <c r="I148" t="s">
        <v>114</v>
      </c>
    </row>
    <row r="149" spans="1:9" hidden="1" x14ac:dyDescent="0.25">
      <c r="A149" s="77">
        <v>45164</v>
      </c>
      <c r="B149" s="277">
        <v>45200</v>
      </c>
      <c r="C149" t="s">
        <v>625</v>
      </c>
      <c r="D149">
        <v>3727</v>
      </c>
      <c r="E149" t="s">
        <v>627</v>
      </c>
      <c r="F149" s="280">
        <v>1</v>
      </c>
      <c r="G149" s="278">
        <v>1009.2</v>
      </c>
      <c r="H149" s="278" t="s">
        <v>114</v>
      </c>
      <c r="I149" t="s">
        <v>114</v>
      </c>
    </row>
    <row r="150" spans="1:9" hidden="1" x14ac:dyDescent="0.25">
      <c r="A150" s="77">
        <v>45167</v>
      </c>
      <c r="B150" s="277">
        <v>45200</v>
      </c>
      <c r="C150" t="s">
        <v>625</v>
      </c>
      <c r="D150">
        <v>450331</v>
      </c>
      <c r="E150" t="s">
        <v>629</v>
      </c>
      <c r="F150" s="280" t="s">
        <v>607</v>
      </c>
      <c r="G150" s="278">
        <v>16213</v>
      </c>
      <c r="H150" s="278" t="s">
        <v>114</v>
      </c>
      <c r="I150" t="s">
        <v>114</v>
      </c>
    </row>
    <row r="151" spans="1:9" hidden="1" x14ac:dyDescent="0.25">
      <c r="A151" s="77">
        <v>45170</v>
      </c>
      <c r="B151" s="277">
        <v>45200</v>
      </c>
      <c r="C151" t="s">
        <v>625</v>
      </c>
      <c r="D151">
        <v>284141</v>
      </c>
      <c r="E151" t="s">
        <v>631</v>
      </c>
      <c r="F151" s="280" t="s">
        <v>607</v>
      </c>
      <c r="G151" s="278">
        <v>1000</v>
      </c>
      <c r="H151" s="278" t="s">
        <v>114</v>
      </c>
      <c r="I151" t="s">
        <v>114</v>
      </c>
    </row>
    <row r="152" spans="1:9" hidden="1" x14ac:dyDescent="0.25">
      <c r="A152" s="77">
        <v>45175</v>
      </c>
      <c r="B152" s="277">
        <v>45200</v>
      </c>
      <c r="C152" t="s">
        <v>625</v>
      </c>
      <c r="D152">
        <v>1</v>
      </c>
      <c r="E152" t="s">
        <v>633</v>
      </c>
      <c r="F152" s="280" t="s">
        <v>607</v>
      </c>
      <c r="G152" s="278">
        <v>7288.22</v>
      </c>
      <c r="H152" s="278" t="s">
        <v>114</v>
      </c>
      <c r="I152" t="s">
        <v>114</v>
      </c>
    </row>
    <row r="153" spans="1:9" hidden="1" x14ac:dyDescent="0.25">
      <c r="A153" s="77">
        <v>45177</v>
      </c>
      <c r="B153" s="277">
        <v>45200</v>
      </c>
      <c r="C153" t="s">
        <v>625</v>
      </c>
      <c r="D153">
        <v>4905</v>
      </c>
      <c r="E153" t="s">
        <v>759</v>
      </c>
      <c r="F153" s="280">
        <v>1</v>
      </c>
      <c r="G153" s="278">
        <v>14085.72</v>
      </c>
      <c r="H153" s="278" t="s">
        <v>114</v>
      </c>
      <c r="I153" t="s">
        <v>114</v>
      </c>
    </row>
    <row r="154" spans="1:9" hidden="1" x14ac:dyDescent="0.25">
      <c r="A154" s="77">
        <v>45177</v>
      </c>
      <c r="B154" s="277">
        <v>45200</v>
      </c>
      <c r="C154" t="s">
        <v>625</v>
      </c>
      <c r="D154">
        <v>7802</v>
      </c>
      <c r="E154" t="s">
        <v>697</v>
      </c>
      <c r="F154" s="280">
        <v>1</v>
      </c>
      <c r="G154" s="278">
        <v>2000</v>
      </c>
      <c r="H154" s="278" t="s">
        <v>114</v>
      </c>
      <c r="I154" t="s">
        <v>114</v>
      </c>
    </row>
    <row r="155" spans="1:9" hidden="1" x14ac:dyDescent="0.25">
      <c r="A155" s="77">
        <v>45183</v>
      </c>
      <c r="B155" s="277">
        <v>45200</v>
      </c>
      <c r="C155" t="s">
        <v>625</v>
      </c>
      <c r="D155">
        <v>2174</v>
      </c>
      <c r="E155" t="s">
        <v>760</v>
      </c>
      <c r="F155" s="280" t="s">
        <v>607</v>
      </c>
      <c r="G155" s="278">
        <v>1000</v>
      </c>
      <c r="H155" s="278" t="s">
        <v>114</v>
      </c>
      <c r="I155" t="s">
        <v>114</v>
      </c>
    </row>
    <row r="156" spans="1:9" hidden="1" x14ac:dyDescent="0.25">
      <c r="A156" s="77">
        <v>45183</v>
      </c>
      <c r="B156" s="277">
        <v>45200</v>
      </c>
      <c r="C156" t="s">
        <v>625</v>
      </c>
      <c r="D156">
        <v>205009</v>
      </c>
      <c r="E156" t="s">
        <v>636</v>
      </c>
      <c r="F156" s="280" t="s">
        <v>607</v>
      </c>
      <c r="G156" s="278">
        <v>1820</v>
      </c>
      <c r="H156" s="278" t="s">
        <v>114</v>
      </c>
      <c r="I156" t="s">
        <v>114</v>
      </c>
    </row>
    <row r="157" spans="1:9" hidden="1" x14ac:dyDescent="0.25">
      <c r="A157" s="77">
        <v>45184</v>
      </c>
      <c r="B157" s="277">
        <v>45200</v>
      </c>
      <c r="C157" t="s">
        <v>625</v>
      </c>
      <c r="D157">
        <v>37438</v>
      </c>
      <c r="E157" t="s">
        <v>761</v>
      </c>
      <c r="F157" s="280" t="s">
        <v>607</v>
      </c>
      <c r="G157" s="278">
        <v>17819</v>
      </c>
      <c r="H157" s="278" t="s">
        <v>114</v>
      </c>
      <c r="I157" t="s">
        <v>114</v>
      </c>
    </row>
    <row r="158" spans="1:9" hidden="1" x14ac:dyDescent="0.25">
      <c r="A158" s="77">
        <v>45014</v>
      </c>
      <c r="B158" s="277">
        <v>45200</v>
      </c>
      <c r="C158" t="s">
        <v>593</v>
      </c>
      <c r="D158">
        <v>290</v>
      </c>
      <c r="E158" t="s">
        <v>333</v>
      </c>
      <c r="F158" s="280">
        <v>45083</v>
      </c>
      <c r="G158" s="278">
        <v>5042.6499999999996</v>
      </c>
      <c r="H158" s="278" t="s">
        <v>114</v>
      </c>
      <c r="I158" t="s">
        <v>114</v>
      </c>
    </row>
    <row r="159" spans="1:9" hidden="1" x14ac:dyDescent="0.25">
      <c r="A159" s="77">
        <v>45183</v>
      </c>
      <c r="B159" s="277">
        <v>45200</v>
      </c>
      <c r="C159" t="s">
        <v>593</v>
      </c>
      <c r="D159">
        <v>9881</v>
      </c>
      <c r="E159" t="s">
        <v>604</v>
      </c>
      <c r="F159" s="280" t="s">
        <v>602</v>
      </c>
      <c r="G159" s="278">
        <v>11508.86</v>
      </c>
      <c r="H159" s="278" t="s">
        <v>114</v>
      </c>
      <c r="I159" t="s">
        <v>114</v>
      </c>
    </row>
    <row r="160" spans="1:9" hidden="1" x14ac:dyDescent="0.25">
      <c r="A160" s="77">
        <v>45192</v>
      </c>
      <c r="B160" s="277">
        <v>45200</v>
      </c>
      <c r="C160" t="s">
        <v>593</v>
      </c>
      <c r="D160">
        <v>797</v>
      </c>
      <c r="E160" t="s">
        <v>600</v>
      </c>
      <c r="F160" s="280">
        <v>1</v>
      </c>
      <c r="G160" s="278">
        <v>648</v>
      </c>
      <c r="H160" s="278" t="s">
        <v>114</v>
      </c>
      <c r="I160" t="s">
        <v>114</v>
      </c>
    </row>
    <row r="161" spans="1:9" hidden="1" x14ac:dyDescent="0.25">
      <c r="A161" s="77">
        <v>45192</v>
      </c>
      <c r="B161" s="277">
        <v>45200</v>
      </c>
      <c r="C161" t="s">
        <v>593</v>
      </c>
      <c r="D161">
        <v>1105</v>
      </c>
      <c r="E161" t="s">
        <v>762</v>
      </c>
      <c r="F161" s="280">
        <v>1</v>
      </c>
      <c r="G161" s="278">
        <v>5379.37</v>
      </c>
      <c r="H161" s="278" t="s">
        <v>114</v>
      </c>
      <c r="I161" t="s">
        <v>114</v>
      </c>
    </row>
    <row r="162" spans="1:9" x14ac:dyDescent="0.25">
      <c r="A162" s="77">
        <v>44922</v>
      </c>
      <c r="B162" s="277">
        <v>45231</v>
      </c>
      <c r="C162" t="s">
        <v>593</v>
      </c>
      <c r="D162">
        <v>4761</v>
      </c>
      <c r="E162" t="s">
        <v>594</v>
      </c>
      <c r="F162" s="280">
        <v>45209</v>
      </c>
      <c r="G162" s="278">
        <v>21189.8</v>
      </c>
      <c r="H162" s="278" t="s">
        <v>114</v>
      </c>
      <c r="I162" t="s">
        <v>114</v>
      </c>
    </row>
    <row r="163" spans="1:9" x14ac:dyDescent="0.25">
      <c r="A163" s="77">
        <v>45051</v>
      </c>
      <c r="B163" s="277">
        <v>45231</v>
      </c>
      <c r="C163" t="s">
        <v>593</v>
      </c>
      <c r="D163">
        <v>8701</v>
      </c>
      <c r="E163" t="s">
        <v>594</v>
      </c>
      <c r="F163" s="280">
        <v>45083</v>
      </c>
      <c r="G163" s="278">
        <v>17833.150000000001</v>
      </c>
      <c r="H163" s="278" t="s">
        <v>114</v>
      </c>
      <c r="I163" t="s">
        <v>114</v>
      </c>
    </row>
    <row r="164" spans="1:9" x14ac:dyDescent="0.25">
      <c r="A164" s="77">
        <v>45103</v>
      </c>
      <c r="B164" s="277">
        <v>45231</v>
      </c>
      <c r="C164" t="s">
        <v>593</v>
      </c>
      <c r="D164">
        <v>1301</v>
      </c>
      <c r="E164" t="s">
        <v>594</v>
      </c>
      <c r="F164" s="280">
        <v>45022</v>
      </c>
      <c r="G164" s="278">
        <v>38134.67</v>
      </c>
      <c r="H164" s="278" t="s">
        <v>114</v>
      </c>
      <c r="I164" t="s">
        <v>114</v>
      </c>
    </row>
    <row r="165" spans="1:9" x14ac:dyDescent="0.25">
      <c r="A165" s="77">
        <v>45177</v>
      </c>
      <c r="B165" s="277">
        <v>45231</v>
      </c>
      <c r="C165" t="s">
        <v>593</v>
      </c>
      <c r="D165">
        <v>588517</v>
      </c>
      <c r="E165" t="s">
        <v>753</v>
      </c>
      <c r="F165" s="280">
        <v>44988</v>
      </c>
      <c r="G165" s="278">
        <v>11004.85</v>
      </c>
      <c r="H165" s="278" t="s">
        <v>114</v>
      </c>
      <c r="I165" t="s">
        <v>114</v>
      </c>
    </row>
    <row r="166" spans="1:9" x14ac:dyDescent="0.25">
      <c r="A166" s="77">
        <v>45196</v>
      </c>
      <c r="B166" s="277">
        <v>45231</v>
      </c>
      <c r="C166" t="s">
        <v>593</v>
      </c>
      <c r="D166">
        <v>4391</v>
      </c>
      <c r="E166" t="s">
        <v>599</v>
      </c>
      <c r="F166" s="280">
        <v>1</v>
      </c>
      <c r="G166" s="278">
        <v>4870.3599999999997</v>
      </c>
      <c r="H166" s="278" t="s">
        <v>114</v>
      </c>
      <c r="I166" t="s">
        <v>114</v>
      </c>
    </row>
    <row r="167" spans="1:9" x14ac:dyDescent="0.25">
      <c r="A167" s="77">
        <v>45199</v>
      </c>
      <c r="B167" s="277">
        <v>45231</v>
      </c>
      <c r="C167" t="s">
        <v>593</v>
      </c>
      <c r="D167">
        <v>1299</v>
      </c>
      <c r="E167" t="s">
        <v>600</v>
      </c>
      <c r="F167" s="280">
        <v>1</v>
      </c>
      <c r="G167" s="278">
        <v>2309</v>
      </c>
      <c r="H167" s="278" t="s">
        <v>114</v>
      </c>
      <c r="I167" t="s">
        <v>114</v>
      </c>
    </row>
    <row r="168" spans="1:9" x14ac:dyDescent="0.25">
      <c r="A168" s="77">
        <v>45199</v>
      </c>
      <c r="B168" s="277">
        <v>45231</v>
      </c>
      <c r="C168" t="s">
        <v>593</v>
      </c>
      <c r="D168">
        <v>1956</v>
      </c>
      <c r="E168" t="s">
        <v>600</v>
      </c>
      <c r="F168" s="280">
        <v>1</v>
      </c>
      <c r="G168" s="278">
        <v>8237.2000000000007</v>
      </c>
      <c r="H168" s="278" t="s">
        <v>114</v>
      </c>
      <c r="I168" t="s">
        <v>114</v>
      </c>
    </row>
    <row r="169" spans="1:9" x14ac:dyDescent="0.25">
      <c r="A169" s="77">
        <v>45204</v>
      </c>
      <c r="B169" s="277">
        <v>45231</v>
      </c>
      <c r="C169" t="s">
        <v>593</v>
      </c>
      <c r="D169">
        <v>646763</v>
      </c>
      <c r="E169" t="s">
        <v>814</v>
      </c>
      <c r="F169" s="280">
        <v>44960</v>
      </c>
      <c r="G169" s="278">
        <v>9366.4699999999993</v>
      </c>
      <c r="H169" s="278" t="s">
        <v>114</v>
      </c>
      <c r="I169" t="s">
        <v>114</v>
      </c>
    </row>
    <row r="170" spans="1:9" x14ac:dyDescent="0.25">
      <c r="A170" s="77">
        <v>45205</v>
      </c>
      <c r="B170" s="277">
        <v>45231</v>
      </c>
      <c r="C170" t="s">
        <v>593</v>
      </c>
      <c r="D170">
        <v>172774</v>
      </c>
      <c r="E170" t="s">
        <v>815</v>
      </c>
      <c r="F170" s="280" t="s">
        <v>607</v>
      </c>
      <c r="G170" s="278">
        <v>880</v>
      </c>
      <c r="H170" s="278" t="s">
        <v>114</v>
      </c>
      <c r="I170" t="s">
        <v>114</v>
      </c>
    </row>
    <row r="171" spans="1:9" x14ac:dyDescent="0.25">
      <c r="A171" s="77">
        <v>45205</v>
      </c>
      <c r="B171" s="277">
        <v>45231</v>
      </c>
      <c r="C171" t="s">
        <v>593</v>
      </c>
      <c r="D171">
        <v>172775</v>
      </c>
      <c r="E171" t="s">
        <v>816</v>
      </c>
      <c r="F171" s="280" t="s">
        <v>607</v>
      </c>
      <c r="G171" s="278">
        <v>1670</v>
      </c>
      <c r="H171" s="278" t="s">
        <v>114</v>
      </c>
      <c r="I171" t="s">
        <v>114</v>
      </c>
    </row>
    <row r="172" spans="1:9" x14ac:dyDescent="0.25">
      <c r="A172" s="77">
        <v>45208</v>
      </c>
      <c r="B172" s="277">
        <v>45231</v>
      </c>
      <c r="C172" t="s">
        <v>593</v>
      </c>
      <c r="D172">
        <v>467882</v>
      </c>
      <c r="E172" t="s">
        <v>817</v>
      </c>
      <c r="F172" s="280" t="s">
        <v>607</v>
      </c>
      <c r="G172" s="278">
        <v>3469</v>
      </c>
      <c r="H172" s="278" t="s">
        <v>114</v>
      </c>
      <c r="I172" t="s">
        <v>114</v>
      </c>
    </row>
    <row r="173" spans="1:9" x14ac:dyDescent="0.25">
      <c r="A173" s="77">
        <v>45208</v>
      </c>
      <c r="B173" s="277">
        <v>45231</v>
      </c>
      <c r="C173" t="s">
        <v>593</v>
      </c>
      <c r="D173">
        <v>525431</v>
      </c>
      <c r="E173" t="s">
        <v>818</v>
      </c>
      <c r="F173" s="280" t="s">
        <v>607</v>
      </c>
      <c r="G173" s="278">
        <v>890</v>
      </c>
      <c r="H173" s="278" t="s">
        <v>114</v>
      </c>
      <c r="I173" t="s">
        <v>114</v>
      </c>
    </row>
    <row r="174" spans="1:9" x14ac:dyDescent="0.25">
      <c r="A174" s="77">
        <v>45208</v>
      </c>
      <c r="B174" s="277">
        <v>45231</v>
      </c>
      <c r="C174" t="s">
        <v>593</v>
      </c>
      <c r="D174">
        <v>525432</v>
      </c>
      <c r="E174" t="s">
        <v>819</v>
      </c>
      <c r="F174" s="280" t="s">
        <v>607</v>
      </c>
      <c r="G174" s="278">
        <v>5490</v>
      </c>
      <c r="H174" s="278" t="s">
        <v>114</v>
      </c>
      <c r="I174" t="s">
        <v>114</v>
      </c>
    </row>
    <row r="175" spans="1:9" x14ac:dyDescent="0.25">
      <c r="A175" s="77">
        <v>45208</v>
      </c>
      <c r="B175" s="277">
        <v>45231</v>
      </c>
      <c r="C175" t="s">
        <v>593</v>
      </c>
      <c r="D175">
        <v>525433</v>
      </c>
      <c r="E175" t="s">
        <v>820</v>
      </c>
      <c r="F175" s="280" t="s">
        <v>607</v>
      </c>
      <c r="G175" s="278">
        <v>1360</v>
      </c>
      <c r="H175" s="278" t="s">
        <v>114</v>
      </c>
      <c r="I175" t="s">
        <v>114</v>
      </c>
    </row>
    <row r="176" spans="1:9" x14ac:dyDescent="0.25">
      <c r="A176" s="77">
        <v>45208</v>
      </c>
      <c r="B176" s="277">
        <v>45231</v>
      </c>
      <c r="C176" t="s">
        <v>593</v>
      </c>
      <c r="D176">
        <v>525434</v>
      </c>
      <c r="E176" t="s">
        <v>821</v>
      </c>
      <c r="F176" s="280" t="s">
        <v>607</v>
      </c>
      <c r="G176" s="278">
        <v>2740</v>
      </c>
      <c r="H176" s="278" t="s">
        <v>114</v>
      </c>
      <c r="I176" t="s">
        <v>114</v>
      </c>
    </row>
    <row r="177" spans="1:9" x14ac:dyDescent="0.25">
      <c r="A177" s="77">
        <v>45209</v>
      </c>
      <c r="B177" s="277">
        <v>45231</v>
      </c>
      <c r="C177" t="s">
        <v>593</v>
      </c>
      <c r="D177">
        <v>2058</v>
      </c>
      <c r="E177" t="s">
        <v>600</v>
      </c>
      <c r="F177" s="280">
        <v>1</v>
      </c>
      <c r="G177" s="278">
        <v>2267</v>
      </c>
      <c r="H177" s="278" t="s">
        <v>114</v>
      </c>
      <c r="I177" t="s">
        <v>114</v>
      </c>
    </row>
    <row r="178" spans="1:9" x14ac:dyDescent="0.25">
      <c r="A178" s="77">
        <v>45209</v>
      </c>
      <c r="B178" s="277">
        <v>45231</v>
      </c>
      <c r="C178" t="s">
        <v>593</v>
      </c>
      <c r="D178">
        <v>169</v>
      </c>
      <c r="E178" t="s">
        <v>822</v>
      </c>
      <c r="F178" s="280">
        <v>1</v>
      </c>
      <c r="G178" s="278">
        <v>20279.189999999999</v>
      </c>
      <c r="H178" s="278" t="s">
        <v>114</v>
      </c>
      <c r="I178" t="s">
        <v>114</v>
      </c>
    </row>
    <row r="179" spans="1:9" x14ac:dyDescent="0.25">
      <c r="A179" s="77">
        <v>45210</v>
      </c>
      <c r="B179" s="277">
        <v>45231</v>
      </c>
      <c r="C179" t="s">
        <v>593</v>
      </c>
      <c r="D179">
        <v>1209</v>
      </c>
      <c r="E179" t="s">
        <v>604</v>
      </c>
      <c r="F179" s="280" t="s">
        <v>602</v>
      </c>
      <c r="G179" s="278">
        <v>4555.4799999999996</v>
      </c>
      <c r="H179" s="278" t="s">
        <v>114</v>
      </c>
      <c r="I179" t="s">
        <v>114</v>
      </c>
    </row>
    <row r="180" spans="1:9" x14ac:dyDescent="0.25">
      <c r="A180" s="77">
        <v>45211</v>
      </c>
      <c r="B180" s="277">
        <v>45231</v>
      </c>
      <c r="C180" t="s">
        <v>593</v>
      </c>
      <c r="D180">
        <v>34112</v>
      </c>
      <c r="E180" t="s">
        <v>823</v>
      </c>
      <c r="F180" s="280" t="s">
        <v>607</v>
      </c>
      <c r="G180" s="278">
        <v>1254.7</v>
      </c>
      <c r="H180" s="278" t="s">
        <v>114</v>
      </c>
      <c r="I180" t="s">
        <v>114</v>
      </c>
    </row>
    <row r="181" spans="1:9" x14ac:dyDescent="0.25">
      <c r="A181" s="77">
        <v>45211</v>
      </c>
      <c r="B181" s="277">
        <v>45231</v>
      </c>
      <c r="C181" t="s">
        <v>593</v>
      </c>
      <c r="D181">
        <v>2214</v>
      </c>
      <c r="E181" t="s">
        <v>600</v>
      </c>
      <c r="F181" s="280">
        <v>1</v>
      </c>
      <c r="G181" s="278">
        <v>1698</v>
      </c>
      <c r="H181" s="278" t="s">
        <v>114</v>
      </c>
      <c r="I181" t="s">
        <v>114</v>
      </c>
    </row>
    <row r="182" spans="1:9" x14ac:dyDescent="0.25">
      <c r="A182" s="77">
        <v>45211</v>
      </c>
      <c r="B182" s="277">
        <v>45231</v>
      </c>
      <c r="C182" t="s">
        <v>593</v>
      </c>
      <c r="D182">
        <v>3128</v>
      </c>
      <c r="E182" t="s">
        <v>600</v>
      </c>
      <c r="F182" s="280">
        <v>1</v>
      </c>
      <c r="G182" s="278">
        <v>9500</v>
      </c>
      <c r="H182" s="278" t="s">
        <v>114</v>
      </c>
      <c r="I182" t="s">
        <v>114</v>
      </c>
    </row>
    <row r="183" spans="1:9" x14ac:dyDescent="0.25">
      <c r="A183" s="77">
        <v>45212</v>
      </c>
      <c r="B183" s="277">
        <v>45231</v>
      </c>
      <c r="C183" t="s">
        <v>593</v>
      </c>
      <c r="D183">
        <v>6562</v>
      </c>
      <c r="E183" t="s">
        <v>601</v>
      </c>
      <c r="F183" s="280" t="s">
        <v>602</v>
      </c>
      <c r="G183" s="278">
        <v>7256.07</v>
      </c>
      <c r="H183" s="278" t="s">
        <v>114</v>
      </c>
      <c r="I183" t="s">
        <v>114</v>
      </c>
    </row>
    <row r="184" spans="1:9" x14ac:dyDescent="0.25">
      <c r="A184" s="77">
        <v>45214</v>
      </c>
      <c r="B184" s="277">
        <v>45231</v>
      </c>
      <c r="C184" t="s">
        <v>593</v>
      </c>
      <c r="D184">
        <v>2442</v>
      </c>
      <c r="E184" t="s">
        <v>600</v>
      </c>
      <c r="F184" s="280">
        <v>1</v>
      </c>
      <c r="G184" s="278">
        <v>2600</v>
      </c>
      <c r="H184" s="278" t="s">
        <v>114</v>
      </c>
      <c r="I184" t="s">
        <v>114</v>
      </c>
    </row>
    <row r="185" spans="1:9" x14ac:dyDescent="0.25">
      <c r="A185" s="77">
        <v>45217</v>
      </c>
      <c r="B185" s="277">
        <v>45231</v>
      </c>
      <c r="C185" t="s">
        <v>593</v>
      </c>
      <c r="D185">
        <v>89531</v>
      </c>
      <c r="E185" t="s">
        <v>619</v>
      </c>
      <c r="F185" s="280" t="s">
        <v>607</v>
      </c>
      <c r="G185" s="278">
        <v>10608.03</v>
      </c>
      <c r="H185" s="278" t="s">
        <v>114</v>
      </c>
      <c r="I185" t="s">
        <v>114</v>
      </c>
    </row>
    <row r="186" spans="1:9" x14ac:dyDescent="0.25">
      <c r="A186" s="77">
        <v>45217</v>
      </c>
      <c r="B186" s="277">
        <v>45231</v>
      </c>
      <c r="C186" t="s">
        <v>593</v>
      </c>
      <c r="D186">
        <v>95357</v>
      </c>
      <c r="E186" t="s">
        <v>691</v>
      </c>
      <c r="F186" s="280" t="s">
        <v>607</v>
      </c>
      <c r="G186" s="278">
        <v>717.56</v>
      </c>
      <c r="H186" s="278" t="s">
        <v>114</v>
      </c>
      <c r="I186" t="s">
        <v>114</v>
      </c>
    </row>
    <row r="187" spans="1:9" x14ac:dyDescent="0.25">
      <c r="A187" s="77">
        <v>45217</v>
      </c>
      <c r="B187" s="277">
        <v>45231</v>
      </c>
      <c r="C187" t="s">
        <v>593</v>
      </c>
      <c r="D187">
        <v>2668</v>
      </c>
      <c r="E187" t="s">
        <v>600</v>
      </c>
      <c r="F187" s="280">
        <v>1</v>
      </c>
      <c r="G187" s="278">
        <v>1630</v>
      </c>
      <c r="H187" s="278" t="s">
        <v>114</v>
      </c>
      <c r="I187" t="s">
        <v>114</v>
      </c>
    </row>
    <row r="188" spans="1:9" x14ac:dyDescent="0.25">
      <c r="A188" s="77">
        <v>45218</v>
      </c>
      <c r="B188" s="277">
        <v>45231</v>
      </c>
      <c r="C188" t="s">
        <v>593</v>
      </c>
      <c r="D188">
        <v>138662</v>
      </c>
      <c r="E188" t="s">
        <v>824</v>
      </c>
      <c r="F188" s="280" t="s">
        <v>607</v>
      </c>
      <c r="G188" s="278">
        <v>5505.81</v>
      </c>
      <c r="H188" s="278" t="s">
        <v>114</v>
      </c>
      <c r="I188" t="s">
        <v>114</v>
      </c>
    </row>
    <row r="189" spans="1:9" x14ac:dyDescent="0.25">
      <c r="A189" s="77">
        <v>45220</v>
      </c>
      <c r="B189" s="277">
        <v>45231</v>
      </c>
      <c r="C189" t="s">
        <v>593</v>
      </c>
      <c r="D189">
        <v>191623</v>
      </c>
      <c r="E189" t="s">
        <v>825</v>
      </c>
      <c r="F189" s="280" t="s">
        <v>607</v>
      </c>
      <c r="G189" s="278">
        <v>1715</v>
      </c>
      <c r="H189" s="278" t="s">
        <v>114</v>
      </c>
      <c r="I189" t="s">
        <v>114</v>
      </c>
    </row>
    <row r="190" spans="1:9" x14ac:dyDescent="0.25">
      <c r="A190" s="77">
        <v>45220</v>
      </c>
      <c r="B190" s="277">
        <v>45231</v>
      </c>
      <c r="C190" t="s">
        <v>593</v>
      </c>
      <c r="D190">
        <v>192261</v>
      </c>
      <c r="E190" t="s">
        <v>826</v>
      </c>
      <c r="F190" s="280" t="s">
        <v>607</v>
      </c>
      <c r="G190" s="278">
        <v>3067</v>
      </c>
      <c r="H190" s="278" t="s">
        <v>114</v>
      </c>
      <c r="I190" t="s">
        <v>114</v>
      </c>
    </row>
    <row r="191" spans="1:9" x14ac:dyDescent="0.25">
      <c r="A191" s="77">
        <v>45220</v>
      </c>
      <c r="B191" s="277">
        <v>45231</v>
      </c>
      <c r="C191" t="s">
        <v>593</v>
      </c>
      <c r="D191">
        <v>213737</v>
      </c>
      <c r="E191" t="s">
        <v>827</v>
      </c>
      <c r="F191" s="280" t="s">
        <v>607</v>
      </c>
      <c r="G191" s="278">
        <v>5487</v>
      </c>
      <c r="H191" s="278" t="s">
        <v>114</v>
      </c>
      <c r="I191" t="s">
        <v>114</v>
      </c>
    </row>
    <row r="192" spans="1:9" x14ac:dyDescent="0.25">
      <c r="A192" s="77">
        <v>45220</v>
      </c>
      <c r="B192" s="277">
        <v>45231</v>
      </c>
      <c r="C192" t="s">
        <v>593</v>
      </c>
      <c r="D192">
        <v>2893</v>
      </c>
      <c r="E192" t="s">
        <v>600</v>
      </c>
      <c r="F192" s="280">
        <v>1</v>
      </c>
      <c r="G192" s="278">
        <v>1407</v>
      </c>
      <c r="H192" s="278" t="s">
        <v>114</v>
      </c>
      <c r="I192" t="s">
        <v>114</v>
      </c>
    </row>
    <row r="193" spans="1:9" x14ac:dyDescent="0.25">
      <c r="A193" s="77">
        <v>45223</v>
      </c>
      <c r="B193" s="277">
        <v>45231</v>
      </c>
      <c r="C193" t="s">
        <v>593</v>
      </c>
      <c r="D193">
        <v>3108</v>
      </c>
      <c r="E193" t="s">
        <v>600</v>
      </c>
      <c r="F193" s="280">
        <v>1</v>
      </c>
      <c r="G193" s="278">
        <v>2596</v>
      </c>
      <c r="H193" s="278" t="s">
        <v>114</v>
      </c>
      <c r="I193" t="s">
        <v>114</v>
      </c>
    </row>
    <row r="194" spans="1:9" x14ac:dyDescent="0.25">
      <c r="A194" s="77">
        <v>45191</v>
      </c>
      <c r="B194" s="277">
        <v>45231</v>
      </c>
      <c r="C194" t="s">
        <v>625</v>
      </c>
      <c r="D194">
        <v>50689</v>
      </c>
      <c r="E194" t="s">
        <v>699</v>
      </c>
      <c r="F194" s="280">
        <v>1</v>
      </c>
      <c r="G194" s="278">
        <v>999</v>
      </c>
      <c r="H194" s="278" t="s">
        <v>114</v>
      </c>
      <c r="I194" t="s">
        <v>114</v>
      </c>
    </row>
    <row r="195" spans="1:9" x14ac:dyDescent="0.25">
      <c r="A195" s="77">
        <v>45191</v>
      </c>
      <c r="B195" s="277">
        <v>45231</v>
      </c>
      <c r="C195" t="s">
        <v>625</v>
      </c>
      <c r="D195">
        <v>35766</v>
      </c>
      <c r="E195" t="s">
        <v>626</v>
      </c>
      <c r="F195" s="280" t="s">
        <v>607</v>
      </c>
      <c r="G195" s="278">
        <v>3000</v>
      </c>
      <c r="H195" s="278" t="s">
        <v>114</v>
      </c>
      <c r="I195" t="s">
        <v>114</v>
      </c>
    </row>
    <row r="196" spans="1:9" x14ac:dyDescent="0.25">
      <c r="A196" s="77">
        <v>45191</v>
      </c>
      <c r="B196" s="277">
        <v>45231</v>
      </c>
      <c r="C196" t="s">
        <v>625</v>
      </c>
      <c r="D196">
        <v>134489</v>
      </c>
      <c r="E196" t="s">
        <v>628</v>
      </c>
      <c r="F196" s="280" t="s">
        <v>607</v>
      </c>
      <c r="G196" s="278">
        <v>3032.07</v>
      </c>
      <c r="H196" s="278" t="s">
        <v>114</v>
      </c>
      <c r="I196" t="s">
        <v>114</v>
      </c>
    </row>
    <row r="197" spans="1:9" x14ac:dyDescent="0.25">
      <c r="A197" s="77">
        <v>45195</v>
      </c>
      <c r="B197" s="277">
        <v>45231</v>
      </c>
      <c r="C197" t="s">
        <v>625</v>
      </c>
      <c r="D197">
        <v>10000</v>
      </c>
      <c r="E197" t="s">
        <v>629</v>
      </c>
      <c r="F197" s="280" t="s">
        <v>607</v>
      </c>
      <c r="G197" s="278">
        <v>18481</v>
      </c>
      <c r="H197" s="278" t="s">
        <v>114</v>
      </c>
      <c r="I197" t="s">
        <v>114</v>
      </c>
    </row>
    <row r="198" spans="1:9" x14ac:dyDescent="0.25">
      <c r="A198" s="77">
        <v>45200</v>
      </c>
      <c r="B198" s="277">
        <v>45231</v>
      </c>
      <c r="C198" t="s">
        <v>625</v>
      </c>
      <c r="D198">
        <v>18469</v>
      </c>
      <c r="E198" t="s">
        <v>631</v>
      </c>
      <c r="F198" s="280" t="s">
        <v>607</v>
      </c>
      <c r="G198" s="278">
        <v>1000</v>
      </c>
      <c r="H198" s="278" t="s">
        <v>114</v>
      </c>
      <c r="I198" t="s">
        <v>114</v>
      </c>
    </row>
    <row r="199" spans="1:9" x14ac:dyDescent="0.25">
      <c r="A199" s="77">
        <v>45203</v>
      </c>
      <c r="B199" s="277">
        <v>45231</v>
      </c>
      <c r="C199" t="s">
        <v>625</v>
      </c>
      <c r="D199">
        <v>260370</v>
      </c>
      <c r="E199" t="s">
        <v>633</v>
      </c>
      <c r="F199" s="280" t="s">
        <v>607</v>
      </c>
      <c r="G199" s="278">
        <v>7393.96</v>
      </c>
      <c r="H199" s="278" t="s">
        <v>114</v>
      </c>
      <c r="I199" t="s">
        <v>114</v>
      </c>
    </row>
    <row r="200" spans="1:9" x14ac:dyDescent="0.25">
      <c r="A200" s="77">
        <v>45204</v>
      </c>
      <c r="B200" s="277">
        <v>45231</v>
      </c>
      <c r="C200" t="s">
        <v>625</v>
      </c>
      <c r="D200">
        <v>222</v>
      </c>
      <c r="E200" t="s">
        <v>697</v>
      </c>
      <c r="F200" s="280">
        <v>1</v>
      </c>
      <c r="G200" s="278">
        <v>2000</v>
      </c>
      <c r="H200" s="278" t="s">
        <v>114</v>
      </c>
      <c r="I200" t="s">
        <v>114</v>
      </c>
    </row>
    <row r="201" spans="1:9" x14ac:dyDescent="0.25">
      <c r="A201" s="77">
        <v>45204</v>
      </c>
      <c r="B201" s="277">
        <v>45231</v>
      </c>
      <c r="C201" t="s">
        <v>625</v>
      </c>
      <c r="D201">
        <v>5483</v>
      </c>
      <c r="E201" t="s">
        <v>759</v>
      </c>
      <c r="F201" s="280">
        <v>1</v>
      </c>
      <c r="G201" s="278">
        <v>25412.38</v>
      </c>
      <c r="H201" s="278" t="s">
        <v>114</v>
      </c>
      <c r="I201" t="s">
        <v>114</v>
      </c>
    </row>
    <row r="202" spans="1:9" x14ac:dyDescent="0.25">
      <c r="A202" s="77">
        <v>45211</v>
      </c>
      <c r="B202" s="277">
        <v>45231</v>
      </c>
      <c r="C202" t="s">
        <v>625</v>
      </c>
      <c r="D202">
        <v>2329</v>
      </c>
      <c r="E202" t="s">
        <v>828</v>
      </c>
      <c r="F202" s="280">
        <v>1</v>
      </c>
      <c r="G202" s="278">
        <v>1469.68</v>
      </c>
      <c r="H202" s="278" t="s">
        <v>114</v>
      </c>
      <c r="I202" t="s">
        <v>114</v>
      </c>
    </row>
    <row r="203" spans="1:9" x14ac:dyDescent="0.25">
      <c r="A203" s="77">
        <v>45211</v>
      </c>
      <c r="B203" s="277">
        <v>45231</v>
      </c>
      <c r="C203" t="s">
        <v>625</v>
      </c>
      <c r="D203">
        <v>3135</v>
      </c>
      <c r="E203" t="s">
        <v>829</v>
      </c>
      <c r="F203" s="280">
        <v>1</v>
      </c>
      <c r="G203" s="278">
        <v>559.87</v>
      </c>
      <c r="H203" s="278" t="s">
        <v>114</v>
      </c>
      <c r="I203" t="s">
        <v>114</v>
      </c>
    </row>
    <row r="204" spans="1:9" x14ac:dyDescent="0.25">
      <c r="A204" s="77">
        <v>45211</v>
      </c>
      <c r="B204" s="277">
        <v>45231</v>
      </c>
      <c r="C204" t="s">
        <v>625</v>
      </c>
      <c r="D204">
        <v>157748</v>
      </c>
      <c r="E204" t="s">
        <v>830</v>
      </c>
      <c r="F204" s="280">
        <v>1</v>
      </c>
      <c r="G204" s="278">
        <v>209.95</v>
      </c>
      <c r="H204" s="278" t="s">
        <v>114</v>
      </c>
      <c r="I204" t="s">
        <v>114</v>
      </c>
    </row>
    <row r="205" spans="1:9" x14ac:dyDescent="0.25">
      <c r="A205" s="77">
        <v>45211</v>
      </c>
      <c r="B205" s="277">
        <v>45231</v>
      </c>
      <c r="C205" t="s">
        <v>625</v>
      </c>
      <c r="D205">
        <v>3299</v>
      </c>
      <c r="E205" t="s">
        <v>831</v>
      </c>
      <c r="F205" s="280">
        <v>1</v>
      </c>
      <c r="G205" s="278">
        <v>3149.32</v>
      </c>
      <c r="H205" s="278" t="s">
        <v>114</v>
      </c>
      <c r="I205" t="s">
        <v>114</v>
      </c>
    </row>
    <row r="206" spans="1:9" x14ac:dyDescent="0.25">
      <c r="A206" s="77">
        <v>45211</v>
      </c>
      <c r="B206" s="277">
        <v>45231</v>
      </c>
      <c r="C206" t="s">
        <v>625</v>
      </c>
      <c r="D206">
        <v>869</v>
      </c>
      <c r="E206" t="s">
        <v>627</v>
      </c>
      <c r="F206" s="280">
        <v>1</v>
      </c>
      <c r="G206" s="278">
        <v>1009.2</v>
      </c>
      <c r="H206" s="278" t="s">
        <v>114</v>
      </c>
      <c r="I206" t="s">
        <v>114</v>
      </c>
    </row>
    <row r="207" spans="1:9" x14ac:dyDescent="0.25">
      <c r="A207" s="77">
        <v>45211</v>
      </c>
      <c r="B207" s="277">
        <v>45231</v>
      </c>
      <c r="C207" t="s">
        <v>625</v>
      </c>
      <c r="D207">
        <v>470029</v>
      </c>
      <c r="E207" t="s">
        <v>636</v>
      </c>
      <c r="F207" s="280" t="s">
        <v>607</v>
      </c>
      <c r="G207" s="278">
        <v>1820</v>
      </c>
      <c r="H207" s="278" t="s">
        <v>114</v>
      </c>
      <c r="I207" t="s">
        <v>114</v>
      </c>
    </row>
    <row r="208" spans="1:9" x14ac:dyDescent="0.25">
      <c r="A208" s="77">
        <v>45214</v>
      </c>
      <c r="B208" s="277">
        <v>45231</v>
      </c>
      <c r="C208" t="s">
        <v>625</v>
      </c>
      <c r="D208">
        <v>32725</v>
      </c>
      <c r="E208" t="s">
        <v>761</v>
      </c>
      <c r="F208" s="280" t="s">
        <v>607</v>
      </c>
      <c r="G208" s="278">
        <v>17819</v>
      </c>
      <c r="H208" s="278" t="s">
        <v>114</v>
      </c>
      <c r="I208" t="s">
        <v>114</v>
      </c>
    </row>
    <row r="209" spans="1:9" x14ac:dyDescent="0.25">
      <c r="A209" s="77">
        <v>45216</v>
      </c>
      <c r="B209" s="277">
        <v>45231</v>
      </c>
      <c r="C209" t="s">
        <v>625</v>
      </c>
      <c r="D209">
        <v>2164</v>
      </c>
      <c r="E209" t="s">
        <v>832</v>
      </c>
      <c r="F209" s="280" t="s">
        <v>607</v>
      </c>
      <c r="G209" s="278">
        <v>1000</v>
      </c>
      <c r="H209" s="278" t="s">
        <v>114</v>
      </c>
      <c r="I209" t="s">
        <v>114</v>
      </c>
    </row>
    <row r="210" spans="1:9" x14ac:dyDescent="0.25">
      <c r="A210" s="77">
        <v>45217</v>
      </c>
      <c r="B210" s="277">
        <v>45231</v>
      </c>
      <c r="C210" t="s">
        <v>625</v>
      </c>
      <c r="D210">
        <v>1972</v>
      </c>
      <c r="E210" t="s">
        <v>833</v>
      </c>
      <c r="F210" s="280">
        <v>1</v>
      </c>
      <c r="G210" s="278">
        <v>300</v>
      </c>
      <c r="H210" s="278" t="s">
        <v>114</v>
      </c>
      <c r="I210" t="s">
        <v>114</v>
      </c>
    </row>
    <row r="211" spans="1:9" x14ac:dyDescent="0.25">
      <c r="A211" s="77">
        <v>45217</v>
      </c>
      <c r="B211" s="277">
        <v>45231</v>
      </c>
      <c r="C211" t="s">
        <v>625</v>
      </c>
      <c r="D211">
        <v>3471</v>
      </c>
      <c r="E211" t="s">
        <v>833</v>
      </c>
      <c r="F211" s="280">
        <v>1</v>
      </c>
      <c r="G211" s="278">
        <v>1000</v>
      </c>
      <c r="H211" s="278" t="s">
        <v>114</v>
      </c>
      <c r="I211" t="s">
        <v>114</v>
      </c>
    </row>
    <row r="212" spans="1:9" x14ac:dyDescent="0.25">
      <c r="A212" s="77">
        <v>45218</v>
      </c>
      <c r="B212" s="277">
        <v>45231</v>
      </c>
      <c r="C212" t="s">
        <v>625</v>
      </c>
      <c r="D212">
        <v>35973</v>
      </c>
      <c r="E212" t="s">
        <v>626</v>
      </c>
      <c r="F212" s="280" t="s">
        <v>607</v>
      </c>
      <c r="G212" s="278">
        <v>3000</v>
      </c>
      <c r="H212" s="278" t="s">
        <v>114</v>
      </c>
      <c r="I212" t="s">
        <v>114</v>
      </c>
    </row>
    <row r="213" spans="1:9" x14ac:dyDescent="0.25">
      <c r="A213" s="77">
        <v>45221</v>
      </c>
      <c r="B213" s="277">
        <v>45231</v>
      </c>
      <c r="C213" t="s">
        <v>625</v>
      </c>
      <c r="D213">
        <v>804857</v>
      </c>
      <c r="E213" t="s">
        <v>696</v>
      </c>
      <c r="F213" s="280">
        <v>1</v>
      </c>
      <c r="G213" s="278">
        <v>999</v>
      </c>
      <c r="H213" s="278" t="s">
        <v>114</v>
      </c>
      <c r="I213" t="s">
        <v>114</v>
      </c>
    </row>
    <row r="214" spans="1:9" x14ac:dyDescent="0.25">
      <c r="A214" s="77">
        <v>45204</v>
      </c>
      <c r="B214" s="277">
        <v>45231</v>
      </c>
      <c r="C214" t="s">
        <v>625</v>
      </c>
      <c r="D214">
        <v>962256</v>
      </c>
      <c r="E214" t="s">
        <v>834</v>
      </c>
      <c r="F214" s="280"/>
      <c r="G214" s="278" t="s">
        <v>114</v>
      </c>
      <c r="H214" s="278">
        <v>19.989999999999998</v>
      </c>
      <c r="I214" t="s">
        <v>114</v>
      </c>
    </row>
    <row r="215" spans="1:9" x14ac:dyDescent="0.25">
      <c r="A215" s="77">
        <v>45195</v>
      </c>
      <c r="B215" s="277">
        <v>45231</v>
      </c>
      <c r="C215" t="s">
        <v>593</v>
      </c>
      <c r="D215">
        <v>1530</v>
      </c>
      <c r="E215" t="s">
        <v>835</v>
      </c>
      <c r="F215" s="280">
        <v>1</v>
      </c>
      <c r="G215" s="278">
        <v>35998</v>
      </c>
      <c r="H215" s="278" t="s">
        <v>114</v>
      </c>
      <c r="I215" t="s">
        <v>114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0">
    <tabColor theme="0" tint="-0.14999847407452621"/>
  </sheetPr>
  <dimension ref="A1:H139"/>
  <sheetViews>
    <sheetView zoomScale="90" zoomScaleNormal="90" workbookViewId="0">
      <selection activeCell="A134" sqref="A134"/>
    </sheetView>
  </sheetViews>
  <sheetFormatPr baseColWidth="10" defaultRowHeight="15.75" x14ac:dyDescent="0.25"/>
  <cols>
    <col min="1" max="1" width="10.375" bestFit="1" customWidth="1"/>
    <col min="2" max="2" width="35.5" bestFit="1" customWidth="1"/>
    <col min="3" max="3" width="42" bestFit="1" customWidth="1"/>
    <col min="4" max="4" width="9.875" bestFit="1" customWidth="1"/>
    <col min="6" max="6" width="8.375" bestFit="1" customWidth="1"/>
    <col min="7" max="7" width="37.625" bestFit="1" customWidth="1"/>
    <col min="8" max="8" width="15.75" bestFit="1" customWidth="1"/>
  </cols>
  <sheetData>
    <row r="1" spans="1:8" x14ac:dyDescent="0.25">
      <c r="A1" t="s">
        <v>115</v>
      </c>
      <c r="B1" t="s">
        <v>166</v>
      </c>
      <c r="C1" t="s">
        <v>167</v>
      </c>
      <c r="D1" t="s">
        <v>232</v>
      </c>
      <c r="E1" t="s">
        <v>507</v>
      </c>
      <c r="F1" t="s">
        <v>112</v>
      </c>
      <c r="G1" t="s">
        <v>361</v>
      </c>
      <c r="H1" t="s">
        <v>359</v>
      </c>
    </row>
    <row r="2" spans="1:8" hidden="1" x14ac:dyDescent="0.25">
      <c r="A2" s="77">
        <v>45078</v>
      </c>
      <c r="B2" t="s">
        <v>321</v>
      </c>
      <c r="C2" t="s">
        <v>363</v>
      </c>
      <c r="D2">
        <v>300</v>
      </c>
      <c r="E2" t="s">
        <v>508</v>
      </c>
      <c r="F2" t="s">
        <v>509</v>
      </c>
      <c r="G2" t="s">
        <v>364</v>
      </c>
      <c r="H2" t="s">
        <v>360</v>
      </c>
    </row>
    <row r="3" spans="1:8" hidden="1" x14ac:dyDescent="0.25">
      <c r="A3" s="77">
        <v>45078</v>
      </c>
      <c r="B3" t="s">
        <v>321</v>
      </c>
      <c r="C3" t="s">
        <v>363</v>
      </c>
      <c r="D3">
        <v>400</v>
      </c>
      <c r="E3" t="s">
        <v>508</v>
      </c>
      <c r="F3" t="s">
        <v>509</v>
      </c>
      <c r="G3" t="s">
        <v>395</v>
      </c>
      <c r="H3" t="s">
        <v>360</v>
      </c>
    </row>
    <row r="4" spans="1:8" hidden="1" x14ac:dyDescent="0.25">
      <c r="A4" s="77">
        <v>45080</v>
      </c>
      <c r="B4" t="s">
        <v>396</v>
      </c>
      <c r="C4" t="s">
        <v>397</v>
      </c>
      <c r="D4">
        <v>5000</v>
      </c>
      <c r="E4" t="s">
        <v>508</v>
      </c>
      <c r="F4" t="s">
        <v>509</v>
      </c>
      <c r="H4" t="s">
        <v>360</v>
      </c>
    </row>
    <row r="5" spans="1:8" hidden="1" x14ac:dyDescent="0.25">
      <c r="A5" s="77">
        <v>45081</v>
      </c>
      <c r="B5" t="s">
        <v>324</v>
      </c>
      <c r="C5" t="s">
        <v>398</v>
      </c>
      <c r="D5">
        <v>26125.53</v>
      </c>
      <c r="E5" t="s">
        <v>508</v>
      </c>
      <c r="F5" t="s">
        <v>509</v>
      </c>
      <c r="H5" t="s">
        <v>117</v>
      </c>
    </row>
    <row r="6" spans="1:8" hidden="1" x14ac:dyDescent="0.25">
      <c r="A6" s="77">
        <v>45081</v>
      </c>
      <c r="B6" t="s">
        <v>324</v>
      </c>
      <c r="C6" t="s">
        <v>399</v>
      </c>
      <c r="D6">
        <v>7100</v>
      </c>
      <c r="E6" t="s">
        <v>508</v>
      </c>
      <c r="F6" t="s">
        <v>509</v>
      </c>
      <c r="H6" t="s">
        <v>117</v>
      </c>
    </row>
    <row r="7" spans="1:8" hidden="1" x14ac:dyDescent="0.25">
      <c r="A7" s="77">
        <v>45081</v>
      </c>
      <c r="B7" t="s">
        <v>324</v>
      </c>
      <c r="C7" t="s">
        <v>400</v>
      </c>
      <c r="D7">
        <v>5940</v>
      </c>
      <c r="E7" t="s">
        <v>508</v>
      </c>
      <c r="F7" t="s">
        <v>509</v>
      </c>
      <c r="H7" t="s">
        <v>117</v>
      </c>
    </row>
    <row r="8" spans="1:8" hidden="1" x14ac:dyDescent="0.25">
      <c r="A8" s="77">
        <v>45081</v>
      </c>
      <c r="B8" t="s">
        <v>324</v>
      </c>
      <c r="C8" t="s">
        <v>401</v>
      </c>
      <c r="D8">
        <v>1400</v>
      </c>
      <c r="E8" t="s">
        <v>508</v>
      </c>
      <c r="F8" t="s">
        <v>509</v>
      </c>
      <c r="H8" t="s">
        <v>117</v>
      </c>
    </row>
    <row r="9" spans="1:8" hidden="1" x14ac:dyDescent="0.25">
      <c r="A9" s="77">
        <v>45081</v>
      </c>
      <c r="B9" t="s">
        <v>322</v>
      </c>
      <c r="C9" t="s">
        <v>275</v>
      </c>
      <c r="D9">
        <v>1409</v>
      </c>
      <c r="E9" t="s">
        <v>508</v>
      </c>
      <c r="F9" t="s">
        <v>509</v>
      </c>
      <c r="H9" t="s">
        <v>117</v>
      </c>
    </row>
    <row r="10" spans="1:8" hidden="1" x14ac:dyDescent="0.25">
      <c r="A10" s="77">
        <v>45081</v>
      </c>
      <c r="B10" t="s">
        <v>321</v>
      </c>
      <c r="C10" t="s">
        <v>402</v>
      </c>
      <c r="D10">
        <v>1480</v>
      </c>
      <c r="E10" t="s">
        <v>508</v>
      </c>
      <c r="F10" t="s">
        <v>509</v>
      </c>
      <c r="H10" t="s">
        <v>118</v>
      </c>
    </row>
    <row r="11" spans="1:8" hidden="1" x14ac:dyDescent="0.25">
      <c r="A11" s="77">
        <v>45081</v>
      </c>
      <c r="B11" t="s">
        <v>403</v>
      </c>
      <c r="C11" t="s">
        <v>404</v>
      </c>
      <c r="D11">
        <v>530</v>
      </c>
      <c r="E11" t="s">
        <v>508</v>
      </c>
      <c r="F11" t="s">
        <v>509</v>
      </c>
      <c r="H11" t="s">
        <v>118</v>
      </c>
    </row>
    <row r="12" spans="1:8" hidden="1" x14ac:dyDescent="0.25">
      <c r="A12" s="77">
        <v>45082</v>
      </c>
      <c r="B12" t="s">
        <v>324</v>
      </c>
      <c r="C12" t="s">
        <v>405</v>
      </c>
      <c r="D12">
        <v>400</v>
      </c>
      <c r="E12" t="s">
        <v>508</v>
      </c>
      <c r="F12" t="s">
        <v>509</v>
      </c>
      <c r="H12" t="s">
        <v>360</v>
      </c>
    </row>
    <row r="13" spans="1:8" hidden="1" x14ac:dyDescent="0.25">
      <c r="A13" s="77">
        <v>45083</v>
      </c>
      <c r="B13" t="s">
        <v>408</v>
      </c>
      <c r="C13" t="s">
        <v>409</v>
      </c>
      <c r="D13">
        <v>296181.01</v>
      </c>
      <c r="E13" t="s">
        <v>508</v>
      </c>
      <c r="F13" t="s">
        <v>509</v>
      </c>
      <c r="H13" t="s">
        <v>118</v>
      </c>
    </row>
    <row r="14" spans="1:8" hidden="1" x14ac:dyDescent="0.25">
      <c r="A14" s="77">
        <v>45083</v>
      </c>
      <c r="B14" t="s">
        <v>408</v>
      </c>
      <c r="C14" t="s">
        <v>410</v>
      </c>
      <c r="D14">
        <v>84741.32</v>
      </c>
      <c r="E14" t="s">
        <v>508</v>
      </c>
      <c r="F14" t="s">
        <v>509</v>
      </c>
      <c r="G14" t="s">
        <v>411</v>
      </c>
      <c r="H14" t="s">
        <v>118</v>
      </c>
    </row>
    <row r="15" spans="1:8" hidden="1" x14ac:dyDescent="0.25">
      <c r="A15" s="77">
        <v>45083</v>
      </c>
      <c r="B15" t="s">
        <v>321</v>
      </c>
      <c r="C15" t="s">
        <v>412</v>
      </c>
      <c r="D15">
        <v>11331.86</v>
      </c>
      <c r="E15" t="s">
        <v>508</v>
      </c>
      <c r="F15" t="s">
        <v>509</v>
      </c>
      <c r="G15" t="s">
        <v>413</v>
      </c>
      <c r="H15" t="s">
        <v>117</v>
      </c>
    </row>
    <row r="16" spans="1:8" hidden="1" x14ac:dyDescent="0.25">
      <c r="A16" s="77">
        <v>45083</v>
      </c>
      <c r="B16" t="s">
        <v>321</v>
      </c>
      <c r="C16" t="s">
        <v>414</v>
      </c>
      <c r="D16">
        <v>2000</v>
      </c>
      <c r="E16" t="s">
        <v>508</v>
      </c>
      <c r="F16" t="s">
        <v>509</v>
      </c>
      <c r="G16" t="s">
        <v>415</v>
      </c>
      <c r="H16" t="s">
        <v>117</v>
      </c>
    </row>
    <row r="17" spans="1:8" hidden="1" x14ac:dyDescent="0.25">
      <c r="A17" s="77">
        <v>45083</v>
      </c>
      <c r="B17" t="s">
        <v>321</v>
      </c>
      <c r="C17" t="s">
        <v>416</v>
      </c>
      <c r="D17">
        <v>1800</v>
      </c>
      <c r="E17" t="s">
        <v>508</v>
      </c>
      <c r="F17" t="s">
        <v>509</v>
      </c>
      <c r="G17" t="s">
        <v>417</v>
      </c>
      <c r="H17" t="s">
        <v>360</v>
      </c>
    </row>
    <row r="18" spans="1:8" hidden="1" x14ac:dyDescent="0.25">
      <c r="A18" s="77">
        <v>45083</v>
      </c>
      <c r="B18" t="s">
        <v>322</v>
      </c>
      <c r="C18" t="s">
        <v>418</v>
      </c>
      <c r="D18">
        <v>400</v>
      </c>
      <c r="E18" t="s">
        <v>508</v>
      </c>
      <c r="F18" t="s">
        <v>509</v>
      </c>
      <c r="G18" t="s">
        <v>419</v>
      </c>
      <c r="H18" t="s">
        <v>360</v>
      </c>
    </row>
    <row r="19" spans="1:8" hidden="1" x14ac:dyDescent="0.25">
      <c r="A19" s="77">
        <v>45084</v>
      </c>
      <c r="B19" t="s">
        <v>321</v>
      </c>
      <c r="C19" t="s">
        <v>420</v>
      </c>
      <c r="D19">
        <v>7756.31</v>
      </c>
      <c r="E19" t="s">
        <v>508</v>
      </c>
      <c r="F19" t="s">
        <v>509</v>
      </c>
      <c r="H19" t="s">
        <v>118</v>
      </c>
    </row>
    <row r="20" spans="1:8" hidden="1" x14ac:dyDescent="0.25">
      <c r="A20" s="77">
        <v>45084</v>
      </c>
      <c r="B20" t="s">
        <v>520</v>
      </c>
      <c r="C20" t="s">
        <v>421</v>
      </c>
      <c r="D20">
        <v>83655</v>
      </c>
      <c r="E20" t="s">
        <v>508</v>
      </c>
      <c r="F20" t="s">
        <v>509</v>
      </c>
      <c r="H20" t="s">
        <v>118</v>
      </c>
    </row>
    <row r="21" spans="1:8" hidden="1" x14ac:dyDescent="0.25">
      <c r="A21" s="77">
        <v>45086</v>
      </c>
      <c r="B21" t="s">
        <v>321</v>
      </c>
      <c r="C21" t="s">
        <v>363</v>
      </c>
      <c r="D21">
        <v>300</v>
      </c>
      <c r="E21" t="s">
        <v>508</v>
      </c>
      <c r="F21" t="s">
        <v>509</v>
      </c>
      <c r="H21" t="s">
        <v>360</v>
      </c>
    </row>
    <row r="22" spans="1:8" hidden="1" x14ac:dyDescent="0.25">
      <c r="A22" s="77">
        <v>45086</v>
      </c>
      <c r="B22" t="s">
        <v>323</v>
      </c>
      <c r="C22" t="s">
        <v>422</v>
      </c>
      <c r="D22">
        <v>300</v>
      </c>
      <c r="E22" t="s">
        <v>508</v>
      </c>
      <c r="F22" t="s">
        <v>509</v>
      </c>
      <c r="H22" t="s">
        <v>360</v>
      </c>
    </row>
    <row r="23" spans="1:8" hidden="1" x14ac:dyDescent="0.25">
      <c r="A23" s="77">
        <v>45088</v>
      </c>
      <c r="B23" t="s">
        <v>321</v>
      </c>
      <c r="C23" t="s">
        <v>423</v>
      </c>
      <c r="D23">
        <v>1500</v>
      </c>
      <c r="E23" t="s">
        <v>508</v>
      </c>
      <c r="F23" t="s">
        <v>509</v>
      </c>
      <c r="H23" t="s">
        <v>360</v>
      </c>
    </row>
    <row r="24" spans="1:8" hidden="1" x14ac:dyDescent="0.25">
      <c r="A24" s="77">
        <v>45090</v>
      </c>
      <c r="B24" t="s">
        <v>323</v>
      </c>
      <c r="C24" t="s">
        <v>424</v>
      </c>
      <c r="D24">
        <v>450</v>
      </c>
      <c r="E24" t="s">
        <v>508</v>
      </c>
      <c r="F24" t="s">
        <v>509</v>
      </c>
      <c r="H24" t="s">
        <v>360</v>
      </c>
    </row>
    <row r="25" spans="1:8" hidden="1" x14ac:dyDescent="0.25">
      <c r="A25" s="77">
        <v>45090</v>
      </c>
      <c r="B25" t="s">
        <v>323</v>
      </c>
      <c r="C25" t="s">
        <v>425</v>
      </c>
      <c r="D25">
        <v>150</v>
      </c>
      <c r="E25" t="s">
        <v>508</v>
      </c>
      <c r="F25" t="s">
        <v>509</v>
      </c>
      <c r="H25" t="s">
        <v>360</v>
      </c>
    </row>
    <row r="26" spans="1:8" hidden="1" x14ac:dyDescent="0.25">
      <c r="A26" s="77">
        <v>45092</v>
      </c>
      <c r="B26" t="s">
        <v>323</v>
      </c>
      <c r="C26" t="s">
        <v>426</v>
      </c>
      <c r="D26">
        <v>18500</v>
      </c>
      <c r="E26" t="s">
        <v>508</v>
      </c>
      <c r="F26" t="s">
        <v>509</v>
      </c>
      <c r="H26" t="s">
        <v>360</v>
      </c>
    </row>
    <row r="27" spans="1:8" hidden="1" x14ac:dyDescent="0.25">
      <c r="A27" s="77">
        <v>45092</v>
      </c>
      <c r="B27" t="s">
        <v>322</v>
      </c>
      <c r="C27" t="s">
        <v>427</v>
      </c>
      <c r="D27">
        <v>900</v>
      </c>
      <c r="E27" t="s">
        <v>508</v>
      </c>
      <c r="F27" t="s">
        <v>509</v>
      </c>
      <c r="H27" t="s">
        <v>360</v>
      </c>
    </row>
    <row r="28" spans="1:8" hidden="1" x14ac:dyDescent="0.25">
      <c r="A28" s="77">
        <v>45092</v>
      </c>
      <c r="B28" t="s">
        <v>321</v>
      </c>
      <c r="C28" t="s">
        <v>428</v>
      </c>
      <c r="D28">
        <v>13200.01</v>
      </c>
      <c r="E28" t="s">
        <v>508</v>
      </c>
      <c r="F28" t="s">
        <v>509</v>
      </c>
      <c r="H28" t="s">
        <v>117</v>
      </c>
    </row>
    <row r="29" spans="1:8" hidden="1" x14ac:dyDescent="0.25">
      <c r="A29" s="77">
        <v>45092</v>
      </c>
      <c r="B29" t="s">
        <v>322</v>
      </c>
      <c r="C29" t="s">
        <v>429</v>
      </c>
      <c r="D29">
        <v>1506</v>
      </c>
      <c r="E29" t="s">
        <v>508</v>
      </c>
      <c r="F29" t="s">
        <v>509</v>
      </c>
      <c r="H29" t="s">
        <v>117</v>
      </c>
    </row>
    <row r="30" spans="1:8" hidden="1" x14ac:dyDescent="0.25">
      <c r="A30" s="77">
        <v>45093</v>
      </c>
      <c r="B30" t="s">
        <v>321</v>
      </c>
      <c r="C30" t="s">
        <v>430</v>
      </c>
      <c r="D30">
        <v>350</v>
      </c>
      <c r="E30" t="s">
        <v>508</v>
      </c>
      <c r="F30" t="s">
        <v>509</v>
      </c>
      <c r="H30" t="s">
        <v>360</v>
      </c>
    </row>
    <row r="31" spans="1:8" hidden="1" x14ac:dyDescent="0.25">
      <c r="A31" s="77">
        <v>45098</v>
      </c>
      <c r="B31" t="s">
        <v>323</v>
      </c>
      <c r="C31" t="s">
        <v>431</v>
      </c>
      <c r="D31">
        <v>500</v>
      </c>
      <c r="E31" t="s">
        <v>508</v>
      </c>
      <c r="F31" t="s">
        <v>509</v>
      </c>
      <c r="H31" t="s">
        <v>360</v>
      </c>
    </row>
    <row r="32" spans="1:8" hidden="1" x14ac:dyDescent="0.25">
      <c r="A32" s="77">
        <v>45100</v>
      </c>
      <c r="B32" t="s">
        <v>321</v>
      </c>
      <c r="C32" t="s">
        <v>430</v>
      </c>
      <c r="D32">
        <v>300</v>
      </c>
      <c r="E32" t="s">
        <v>508</v>
      </c>
      <c r="F32" t="s">
        <v>509</v>
      </c>
      <c r="H32" t="s">
        <v>360</v>
      </c>
    </row>
    <row r="33" spans="1:8" hidden="1" x14ac:dyDescent="0.25">
      <c r="A33" s="77">
        <v>45100</v>
      </c>
      <c r="B33" t="s">
        <v>321</v>
      </c>
      <c r="C33" t="s">
        <v>432</v>
      </c>
      <c r="D33">
        <v>19000</v>
      </c>
      <c r="E33" t="s">
        <v>508</v>
      </c>
      <c r="F33" t="s">
        <v>509</v>
      </c>
      <c r="H33" t="s">
        <v>360</v>
      </c>
    </row>
    <row r="34" spans="1:8" hidden="1" x14ac:dyDescent="0.25">
      <c r="A34" s="77">
        <v>45103</v>
      </c>
      <c r="B34" t="s">
        <v>321</v>
      </c>
      <c r="C34" t="s">
        <v>363</v>
      </c>
      <c r="D34">
        <v>300</v>
      </c>
      <c r="E34" t="s">
        <v>508</v>
      </c>
      <c r="F34" t="s">
        <v>509</v>
      </c>
      <c r="H34" t="s">
        <v>360</v>
      </c>
    </row>
    <row r="35" spans="1:8" hidden="1" x14ac:dyDescent="0.25">
      <c r="A35" s="77">
        <v>45111</v>
      </c>
      <c r="B35" t="s">
        <v>321</v>
      </c>
      <c r="C35" t="s">
        <v>363</v>
      </c>
      <c r="D35">
        <v>450</v>
      </c>
      <c r="E35" t="s">
        <v>508</v>
      </c>
      <c r="F35" t="s">
        <v>509</v>
      </c>
      <c r="H35" t="s">
        <v>360</v>
      </c>
    </row>
    <row r="36" spans="1:8" hidden="1" x14ac:dyDescent="0.25">
      <c r="A36" s="77">
        <v>45116</v>
      </c>
      <c r="B36" t="s">
        <v>322</v>
      </c>
      <c r="C36" t="s">
        <v>433</v>
      </c>
      <c r="D36">
        <v>400</v>
      </c>
      <c r="E36" t="s">
        <v>508</v>
      </c>
      <c r="F36" t="s">
        <v>509</v>
      </c>
      <c r="H36" t="s">
        <v>360</v>
      </c>
    </row>
    <row r="37" spans="1:8" hidden="1" x14ac:dyDescent="0.25">
      <c r="A37" s="77">
        <v>45116</v>
      </c>
      <c r="B37" t="s">
        <v>321</v>
      </c>
      <c r="C37" t="s">
        <v>434</v>
      </c>
      <c r="D37">
        <v>4385.05</v>
      </c>
      <c r="E37" t="s">
        <v>508</v>
      </c>
      <c r="F37" t="s">
        <v>509</v>
      </c>
      <c r="H37" t="s">
        <v>118</v>
      </c>
    </row>
    <row r="38" spans="1:8" hidden="1" x14ac:dyDescent="0.25">
      <c r="A38" s="77">
        <v>45116</v>
      </c>
      <c r="B38" t="s">
        <v>322</v>
      </c>
      <c r="C38" t="s">
        <v>435</v>
      </c>
      <c r="D38">
        <v>1817.05</v>
      </c>
      <c r="E38" t="s">
        <v>508</v>
      </c>
      <c r="F38" t="s">
        <v>509</v>
      </c>
      <c r="H38" t="s">
        <v>117</v>
      </c>
    </row>
    <row r="39" spans="1:8" hidden="1" x14ac:dyDescent="0.25">
      <c r="A39" s="77">
        <v>45116</v>
      </c>
      <c r="B39" t="s">
        <v>321</v>
      </c>
      <c r="C39" t="s">
        <v>436</v>
      </c>
      <c r="D39">
        <v>650</v>
      </c>
      <c r="E39" t="s">
        <v>508</v>
      </c>
      <c r="F39" t="s">
        <v>509</v>
      </c>
      <c r="H39" t="s">
        <v>118</v>
      </c>
    </row>
    <row r="40" spans="1:8" hidden="1" x14ac:dyDescent="0.25">
      <c r="A40" s="77">
        <v>45117</v>
      </c>
      <c r="B40" t="s">
        <v>321</v>
      </c>
      <c r="C40" t="s">
        <v>458</v>
      </c>
      <c r="D40">
        <v>3000</v>
      </c>
      <c r="E40" t="s">
        <v>508</v>
      </c>
      <c r="F40" t="s">
        <v>509</v>
      </c>
      <c r="H40" t="s">
        <v>360</v>
      </c>
    </row>
    <row r="41" spans="1:8" hidden="1" x14ac:dyDescent="0.25">
      <c r="A41" s="77">
        <v>45119</v>
      </c>
      <c r="B41" t="s">
        <v>321</v>
      </c>
      <c r="C41" t="s">
        <v>459</v>
      </c>
      <c r="D41">
        <v>2000</v>
      </c>
      <c r="E41" t="s">
        <v>508</v>
      </c>
      <c r="F41" t="s">
        <v>509</v>
      </c>
      <c r="H41" t="s">
        <v>360</v>
      </c>
    </row>
    <row r="42" spans="1:8" hidden="1" x14ac:dyDescent="0.25">
      <c r="A42" s="77">
        <v>45119</v>
      </c>
      <c r="B42" t="s">
        <v>321</v>
      </c>
      <c r="C42" t="s">
        <v>460</v>
      </c>
      <c r="D42">
        <v>1000</v>
      </c>
      <c r="E42" t="s">
        <v>508</v>
      </c>
      <c r="F42" t="s">
        <v>509</v>
      </c>
      <c r="H42" t="s">
        <v>360</v>
      </c>
    </row>
    <row r="43" spans="1:8" hidden="1" x14ac:dyDescent="0.25">
      <c r="A43" s="77">
        <v>45119</v>
      </c>
      <c r="B43" t="s">
        <v>321</v>
      </c>
      <c r="C43" t="s">
        <v>461</v>
      </c>
      <c r="D43">
        <v>2000</v>
      </c>
      <c r="E43" t="s">
        <v>508</v>
      </c>
      <c r="F43" t="s">
        <v>509</v>
      </c>
      <c r="H43" t="s">
        <v>360</v>
      </c>
    </row>
    <row r="44" spans="1:8" hidden="1" x14ac:dyDescent="0.25">
      <c r="A44" s="77">
        <v>45120</v>
      </c>
      <c r="B44" t="s">
        <v>322</v>
      </c>
      <c r="C44" t="s">
        <v>462</v>
      </c>
      <c r="D44">
        <v>7402.9</v>
      </c>
      <c r="E44" t="s">
        <v>508</v>
      </c>
      <c r="F44" t="s">
        <v>509</v>
      </c>
      <c r="H44" t="s">
        <v>117</v>
      </c>
    </row>
    <row r="45" spans="1:8" hidden="1" x14ac:dyDescent="0.25">
      <c r="A45" s="77">
        <v>45120</v>
      </c>
      <c r="B45" t="s">
        <v>321</v>
      </c>
      <c r="C45" t="s">
        <v>463</v>
      </c>
      <c r="D45">
        <v>3890</v>
      </c>
      <c r="E45" t="s">
        <v>508</v>
      </c>
      <c r="F45" t="s">
        <v>509</v>
      </c>
      <c r="H45" t="s">
        <v>118</v>
      </c>
    </row>
    <row r="46" spans="1:8" hidden="1" x14ac:dyDescent="0.25">
      <c r="A46" s="77">
        <v>45122</v>
      </c>
      <c r="B46" t="s">
        <v>324</v>
      </c>
      <c r="C46" t="s">
        <v>464</v>
      </c>
      <c r="D46">
        <v>3780</v>
      </c>
      <c r="E46" t="s">
        <v>508</v>
      </c>
      <c r="F46" t="s">
        <v>509</v>
      </c>
      <c r="H46" t="s">
        <v>118</v>
      </c>
    </row>
    <row r="47" spans="1:8" hidden="1" x14ac:dyDescent="0.25">
      <c r="A47" s="77">
        <v>45122</v>
      </c>
      <c r="B47" t="s">
        <v>322</v>
      </c>
      <c r="C47" t="s">
        <v>406</v>
      </c>
      <c r="D47">
        <v>400</v>
      </c>
      <c r="E47" t="s">
        <v>508</v>
      </c>
      <c r="F47" t="s">
        <v>509</v>
      </c>
      <c r="H47" t="s">
        <v>360</v>
      </c>
    </row>
    <row r="48" spans="1:8" hidden="1" x14ac:dyDescent="0.25">
      <c r="A48" s="77">
        <v>45126</v>
      </c>
      <c r="B48" t="s">
        <v>322</v>
      </c>
      <c r="C48" t="s">
        <v>465</v>
      </c>
      <c r="D48">
        <v>6000</v>
      </c>
      <c r="E48" t="s">
        <v>508</v>
      </c>
      <c r="F48" t="s">
        <v>509</v>
      </c>
      <c r="H48" t="s">
        <v>118</v>
      </c>
    </row>
    <row r="49" spans="1:8" hidden="1" x14ac:dyDescent="0.25">
      <c r="A49" s="77">
        <v>45126</v>
      </c>
      <c r="B49" t="s">
        <v>323</v>
      </c>
      <c r="C49" t="s">
        <v>466</v>
      </c>
      <c r="D49">
        <v>760</v>
      </c>
      <c r="E49" t="s">
        <v>508</v>
      </c>
      <c r="F49" t="s">
        <v>509</v>
      </c>
      <c r="H49" t="s">
        <v>118</v>
      </c>
    </row>
    <row r="50" spans="1:8" hidden="1" x14ac:dyDescent="0.25">
      <c r="A50" s="77">
        <v>45130</v>
      </c>
      <c r="B50" t="s">
        <v>321</v>
      </c>
      <c r="C50" t="s">
        <v>467</v>
      </c>
      <c r="D50">
        <v>540</v>
      </c>
      <c r="E50" t="s">
        <v>508</v>
      </c>
      <c r="F50" t="s">
        <v>509</v>
      </c>
      <c r="H50" t="s">
        <v>360</v>
      </c>
    </row>
    <row r="51" spans="1:8" hidden="1" x14ac:dyDescent="0.25">
      <c r="A51" s="77">
        <v>45130</v>
      </c>
      <c r="B51" t="s">
        <v>322</v>
      </c>
      <c r="C51" t="s">
        <v>468</v>
      </c>
      <c r="D51">
        <v>400</v>
      </c>
      <c r="E51" t="s">
        <v>508</v>
      </c>
      <c r="F51" t="s">
        <v>509</v>
      </c>
      <c r="H51" t="s">
        <v>360</v>
      </c>
    </row>
    <row r="52" spans="1:8" hidden="1" x14ac:dyDescent="0.25">
      <c r="A52" s="77">
        <v>45130</v>
      </c>
      <c r="B52" t="s">
        <v>321</v>
      </c>
      <c r="C52" t="s">
        <v>469</v>
      </c>
      <c r="D52">
        <v>1960</v>
      </c>
      <c r="E52" t="s">
        <v>508</v>
      </c>
      <c r="F52" t="s">
        <v>509</v>
      </c>
      <c r="H52" t="s">
        <v>118</v>
      </c>
    </row>
    <row r="53" spans="1:8" hidden="1" x14ac:dyDescent="0.25">
      <c r="A53" s="77">
        <v>45130</v>
      </c>
      <c r="B53" t="s">
        <v>322</v>
      </c>
      <c r="C53" t="s">
        <v>470</v>
      </c>
      <c r="D53">
        <v>1612.06</v>
      </c>
      <c r="E53" t="s">
        <v>508</v>
      </c>
      <c r="F53" t="s">
        <v>509</v>
      </c>
      <c r="H53" t="s">
        <v>117</v>
      </c>
    </row>
    <row r="54" spans="1:8" hidden="1" x14ac:dyDescent="0.25">
      <c r="A54" s="77">
        <v>45130</v>
      </c>
      <c r="B54" t="s">
        <v>321</v>
      </c>
      <c r="C54" t="s">
        <v>471</v>
      </c>
      <c r="D54">
        <v>1210</v>
      </c>
      <c r="E54" t="s">
        <v>508</v>
      </c>
      <c r="F54" t="s">
        <v>509</v>
      </c>
      <c r="H54" t="s">
        <v>118</v>
      </c>
    </row>
    <row r="55" spans="1:8" hidden="1" x14ac:dyDescent="0.25">
      <c r="A55" s="77">
        <v>45130</v>
      </c>
      <c r="B55" t="s">
        <v>323</v>
      </c>
      <c r="C55" t="s">
        <v>472</v>
      </c>
      <c r="D55">
        <v>300</v>
      </c>
      <c r="E55" t="s">
        <v>508</v>
      </c>
      <c r="F55" t="s">
        <v>509</v>
      </c>
      <c r="H55" t="s">
        <v>360</v>
      </c>
    </row>
    <row r="56" spans="1:8" hidden="1" x14ac:dyDescent="0.25">
      <c r="A56" s="77">
        <v>45130</v>
      </c>
      <c r="B56" t="s">
        <v>473</v>
      </c>
      <c r="C56" t="s">
        <v>474</v>
      </c>
      <c r="D56">
        <v>300</v>
      </c>
      <c r="E56" t="s">
        <v>508</v>
      </c>
      <c r="F56" t="s">
        <v>509</v>
      </c>
      <c r="H56" t="s">
        <v>360</v>
      </c>
    </row>
    <row r="57" spans="1:8" hidden="1" x14ac:dyDescent="0.25">
      <c r="A57" s="77">
        <v>45131</v>
      </c>
      <c r="B57" t="s">
        <v>322</v>
      </c>
      <c r="C57" t="s">
        <v>475</v>
      </c>
      <c r="D57">
        <v>100</v>
      </c>
      <c r="E57" t="s">
        <v>508</v>
      </c>
      <c r="F57" t="s">
        <v>509</v>
      </c>
      <c r="H57" t="s">
        <v>360</v>
      </c>
    </row>
    <row r="58" spans="1:8" hidden="1" x14ac:dyDescent="0.25">
      <c r="A58" s="77">
        <v>45134</v>
      </c>
      <c r="B58" t="s">
        <v>321</v>
      </c>
      <c r="C58" t="s">
        <v>476</v>
      </c>
      <c r="D58">
        <v>5526.23</v>
      </c>
      <c r="E58" t="s">
        <v>508</v>
      </c>
      <c r="F58" t="s">
        <v>509</v>
      </c>
      <c r="H58" t="s">
        <v>118</v>
      </c>
    </row>
    <row r="59" spans="1:8" hidden="1" x14ac:dyDescent="0.25">
      <c r="A59" s="77">
        <v>45138</v>
      </c>
      <c r="B59" t="s">
        <v>473</v>
      </c>
      <c r="C59" t="s">
        <v>477</v>
      </c>
      <c r="D59">
        <v>500</v>
      </c>
      <c r="E59" t="s">
        <v>508</v>
      </c>
      <c r="F59" t="s">
        <v>509</v>
      </c>
      <c r="H59" t="s">
        <v>360</v>
      </c>
    </row>
    <row r="60" spans="1:8" hidden="1" x14ac:dyDescent="0.25">
      <c r="A60" s="77">
        <v>45139</v>
      </c>
      <c r="B60" t="s">
        <v>323</v>
      </c>
      <c r="C60" t="s">
        <v>510</v>
      </c>
      <c r="D60">
        <v>4000</v>
      </c>
      <c r="E60" t="s">
        <v>508</v>
      </c>
      <c r="F60" t="s">
        <v>509</v>
      </c>
      <c r="G60" t="s">
        <v>511</v>
      </c>
      <c r="H60" t="s">
        <v>360</v>
      </c>
    </row>
    <row r="61" spans="1:8" hidden="1" x14ac:dyDescent="0.25">
      <c r="A61" s="77">
        <v>45139</v>
      </c>
      <c r="B61" t="s">
        <v>323</v>
      </c>
      <c r="C61" t="s">
        <v>512</v>
      </c>
      <c r="D61">
        <v>10000</v>
      </c>
      <c r="E61" t="s">
        <v>508</v>
      </c>
      <c r="F61" t="s">
        <v>509</v>
      </c>
      <c r="G61" t="s">
        <v>513</v>
      </c>
      <c r="H61" t="s">
        <v>360</v>
      </c>
    </row>
    <row r="62" spans="1:8" hidden="1" x14ac:dyDescent="0.25">
      <c r="A62" s="77">
        <v>45139</v>
      </c>
      <c r="B62" t="s">
        <v>322</v>
      </c>
      <c r="C62" t="s">
        <v>514</v>
      </c>
      <c r="D62">
        <v>6300</v>
      </c>
      <c r="E62" t="s">
        <v>508</v>
      </c>
      <c r="F62" t="s">
        <v>509</v>
      </c>
      <c r="H62" t="s">
        <v>118</v>
      </c>
    </row>
    <row r="63" spans="1:8" hidden="1" x14ac:dyDescent="0.25">
      <c r="A63" s="77">
        <v>45142</v>
      </c>
      <c r="B63" t="s">
        <v>321</v>
      </c>
      <c r="C63" t="s">
        <v>515</v>
      </c>
      <c r="D63">
        <v>2500</v>
      </c>
      <c r="E63" t="s">
        <v>508</v>
      </c>
      <c r="F63" t="s">
        <v>509</v>
      </c>
      <c r="H63" t="s">
        <v>360</v>
      </c>
    </row>
    <row r="64" spans="1:8" hidden="1" x14ac:dyDescent="0.25">
      <c r="A64" s="77">
        <v>45142</v>
      </c>
      <c r="B64" t="s">
        <v>323</v>
      </c>
      <c r="C64" t="s">
        <v>516</v>
      </c>
      <c r="D64">
        <v>5400</v>
      </c>
      <c r="E64" t="s">
        <v>508</v>
      </c>
      <c r="F64" t="s">
        <v>509</v>
      </c>
      <c r="H64" t="s">
        <v>118</v>
      </c>
    </row>
    <row r="65" spans="1:8" hidden="1" x14ac:dyDescent="0.25">
      <c r="A65" s="77">
        <v>45143</v>
      </c>
      <c r="B65" t="s">
        <v>323</v>
      </c>
      <c r="C65" t="s">
        <v>517</v>
      </c>
      <c r="D65">
        <v>500</v>
      </c>
      <c r="E65" t="s">
        <v>508</v>
      </c>
      <c r="F65" t="s">
        <v>509</v>
      </c>
      <c r="H65" t="s">
        <v>360</v>
      </c>
    </row>
    <row r="66" spans="1:8" hidden="1" x14ac:dyDescent="0.25">
      <c r="A66" s="77">
        <v>45145</v>
      </c>
      <c r="B66" t="s">
        <v>321</v>
      </c>
      <c r="C66" t="s">
        <v>430</v>
      </c>
      <c r="D66">
        <v>700</v>
      </c>
      <c r="E66" t="s">
        <v>508</v>
      </c>
      <c r="F66" t="s">
        <v>509</v>
      </c>
      <c r="H66" t="s">
        <v>360</v>
      </c>
    </row>
    <row r="67" spans="1:8" hidden="1" x14ac:dyDescent="0.25">
      <c r="A67" s="77">
        <v>45145</v>
      </c>
      <c r="B67" t="s">
        <v>473</v>
      </c>
      <c r="C67" t="s">
        <v>518</v>
      </c>
      <c r="D67">
        <v>6000</v>
      </c>
      <c r="E67" t="s">
        <v>508</v>
      </c>
      <c r="F67" t="s">
        <v>509</v>
      </c>
      <c r="H67" t="s">
        <v>360</v>
      </c>
    </row>
    <row r="68" spans="1:8" hidden="1" x14ac:dyDescent="0.25">
      <c r="A68" s="77">
        <v>45146</v>
      </c>
      <c r="B68" t="s">
        <v>321</v>
      </c>
      <c r="C68" t="s">
        <v>519</v>
      </c>
      <c r="D68">
        <v>4000</v>
      </c>
      <c r="E68" t="s">
        <v>508</v>
      </c>
      <c r="F68" t="s">
        <v>509</v>
      </c>
      <c r="H68" t="s">
        <v>360</v>
      </c>
    </row>
    <row r="69" spans="1:8" hidden="1" x14ac:dyDescent="0.25">
      <c r="A69" s="77">
        <v>45151</v>
      </c>
      <c r="B69" t="s">
        <v>323</v>
      </c>
      <c r="C69" t="s">
        <v>521</v>
      </c>
      <c r="D69">
        <v>400</v>
      </c>
      <c r="H69" t="s">
        <v>360</v>
      </c>
    </row>
    <row r="70" spans="1:8" hidden="1" x14ac:dyDescent="0.25">
      <c r="A70" s="77">
        <v>45152</v>
      </c>
      <c r="B70" t="s">
        <v>321</v>
      </c>
      <c r="C70" t="s">
        <v>522</v>
      </c>
      <c r="D70">
        <v>500</v>
      </c>
      <c r="H70" t="s">
        <v>360</v>
      </c>
    </row>
    <row r="71" spans="1:8" hidden="1" x14ac:dyDescent="0.25">
      <c r="A71" s="77">
        <v>45154</v>
      </c>
      <c r="B71" t="s">
        <v>321</v>
      </c>
      <c r="C71" t="s">
        <v>523</v>
      </c>
      <c r="D71">
        <v>1500</v>
      </c>
      <c r="H71" t="s">
        <v>360</v>
      </c>
    </row>
    <row r="72" spans="1:8" hidden="1" x14ac:dyDescent="0.25">
      <c r="A72" s="77">
        <v>45155</v>
      </c>
      <c r="B72" t="s">
        <v>321</v>
      </c>
      <c r="C72" t="s">
        <v>522</v>
      </c>
      <c r="D72">
        <v>1400</v>
      </c>
      <c r="H72" t="s">
        <v>360</v>
      </c>
    </row>
    <row r="73" spans="1:8" hidden="1" x14ac:dyDescent="0.25">
      <c r="A73" s="77">
        <v>45155</v>
      </c>
      <c r="B73" t="s">
        <v>322</v>
      </c>
      <c r="C73" t="s">
        <v>406</v>
      </c>
      <c r="D73">
        <v>400</v>
      </c>
      <c r="H73" t="s">
        <v>360</v>
      </c>
    </row>
    <row r="74" spans="1:8" hidden="1" x14ac:dyDescent="0.25">
      <c r="A74" s="77">
        <v>45161</v>
      </c>
      <c r="B74" t="s">
        <v>321</v>
      </c>
      <c r="C74" t="s">
        <v>524</v>
      </c>
      <c r="D74">
        <v>500</v>
      </c>
      <c r="H74" t="s">
        <v>360</v>
      </c>
    </row>
    <row r="75" spans="1:8" hidden="1" x14ac:dyDescent="0.25">
      <c r="A75" s="77">
        <v>45161</v>
      </c>
      <c r="B75" t="s">
        <v>322</v>
      </c>
      <c r="C75" t="s">
        <v>406</v>
      </c>
      <c r="D75">
        <v>400</v>
      </c>
      <c r="H75" t="s">
        <v>360</v>
      </c>
    </row>
    <row r="76" spans="1:8" hidden="1" x14ac:dyDescent="0.25">
      <c r="A76" s="77">
        <v>45161</v>
      </c>
      <c r="B76" t="s">
        <v>321</v>
      </c>
      <c r="C76" t="s">
        <v>430</v>
      </c>
      <c r="D76">
        <v>600</v>
      </c>
      <c r="H76" t="s">
        <v>360</v>
      </c>
    </row>
    <row r="77" spans="1:8" hidden="1" x14ac:dyDescent="0.25">
      <c r="A77" s="77">
        <v>45161</v>
      </c>
      <c r="B77" t="s">
        <v>323</v>
      </c>
      <c r="C77" t="s">
        <v>521</v>
      </c>
      <c r="D77">
        <v>960</v>
      </c>
      <c r="H77" t="s">
        <v>360</v>
      </c>
    </row>
    <row r="78" spans="1:8" hidden="1" x14ac:dyDescent="0.25">
      <c r="A78" s="77">
        <v>45164</v>
      </c>
      <c r="B78" t="s">
        <v>403</v>
      </c>
      <c r="C78" t="s">
        <v>525</v>
      </c>
      <c r="D78">
        <v>800</v>
      </c>
      <c r="H78" t="s">
        <v>360</v>
      </c>
    </row>
    <row r="79" spans="1:8" hidden="1" x14ac:dyDescent="0.25">
      <c r="A79" s="77">
        <v>45169</v>
      </c>
      <c r="B79" t="s">
        <v>473</v>
      </c>
      <c r="C79" t="s">
        <v>552</v>
      </c>
      <c r="D79">
        <v>500</v>
      </c>
      <c r="H79" t="s">
        <v>360</v>
      </c>
    </row>
    <row r="80" spans="1:8" hidden="1" x14ac:dyDescent="0.25">
      <c r="A80" s="77">
        <v>45174</v>
      </c>
      <c r="B80" t="s">
        <v>321</v>
      </c>
      <c r="C80" t="s">
        <v>569</v>
      </c>
      <c r="D80">
        <v>2000</v>
      </c>
      <c r="H80" t="s">
        <v>360</v>
      </c>
    </row>
    <row r="81" spans="1:8" hidden="1" x14ac:dyDescent="0.25">
      <c r="A81" s="77">
        <v>45174</v>
      </c>
      <c r="B81" t="s">
        <v>324</v>
      </c>
      <c r="C81" t="s">
        <v>570</v>
      </c>
      <c r="D81">
        <v>600</v>
      </c>
      <c r="H81" t="s">
        <v>360</v>
      </c>
    </row>
    <row r="82" spans="1:8" hidden="1" x14ac:dyDescent="0.25">
      <c r="A82" s="77">
        <v>45174</v>
      </c>
      <c r="B82" t="s">
        <v>321</v>
      </c>
      <c r="C82" t="s">
        <v>571</v>
      </c>
      <c r="D82">
        <v>200</v>
      </c>
      <c r="H82" t="s">
        <v>360</v>
      </c>
    </row>
    <row r="83" spans="1:8" hidden="1" x14ac:dyDescent="0.25">
      <c r="A83" s="77">
        <v>45174</v>
      </c>
      <c r="B83" t="s">
        <v>324</v>
      </c>
      <c r="C83" t="s">
        <v>572</v>
      </c>
      <c r="D83">
        <v>800</v>
      </c>
      <c r="H83" t="s">
        <v>360</v>
      </c>
    </row>
    <row r="84" spans="1:8" hidden="1" x14ac:dyDescent="0.25">
      <c r="A84" s="77">
        <v>45174</v>
      </c>
      <c r="B84" t="s">
        <v>324</v>
      </c>
      <c r="C84" t="s">
        <v>573</v>
      </c>
      <c r="D84">
        <v>1600</v>
      </c>
      <c r="H84" t="s">
        <v>360</v>
      </c>
    </row>
    <row r="85" spans="1:8" hidden="1" x14ac:dyDescent="0.25">
      <c r="A85" s="77">
        <v>45174</v>
      </c>
      <c r="B85" t="s">
        <v>324</v>
      </c>
      <c r="C85" t="s">
        <v>574</v>
      </c>
      <c r="D85">
        <v>900</v>
      </c>
      <c r="H85" t="s">
        <v>360</v>
      </c>
    </row>
    <row r="86" spans="1:8" hidden="1" x14ac:dyDescent="0.25">
      <c r="A86" s="77">
        <v>45174</v>
      </c>
      <c r="B86" t="s">
        <v>324</v>
      </c>
      <c r="C86" t="s">
        <v>575</v>
      </c>
      <c r="D86">
        <v>800</v>
      </c>
      <c r="H86" t="s">
        <v>360</v>
      </c>
    </row>
    <row r="87" spans="1:8" hidden="1" x14ac:dyDescent="0.25">
      <c r="A87" s="77">
        <v>45174</v>
      </c>
      <c r="B87" t="s">
        <v>324</v>
      </c>
      <c r="C87" t="s">
        <v>573</v>
      </c>
      <c r="D87">
        <v>1100</v>
      </c>
      <c r="H87" t="s">
        <v>360</v>
      </c>
    </row>
    <row r="88" spans="1:8" hidden="1" x14ac:dyDescent="0.25">
      <c r="A88" s="77">
        <v>45174</v>
      </c>
      <c r="B88" t="s">
        <v>324</v>
      </c>
      <c r="C88" t="s">
        <v>576</v>
      </c>
      <c r="D88">
        <v>1000</v>
      </c>
      <c r="H88" t="s">
        <v>360</v>
      </c>
    </row>
    <row r="89" spans="1:8" hidden="1" x14ac:dyDescent="0.25">
      <c r="A89" s="77">
        <v>45174</v>
      </c>
      <c r="B89" t="s">
        <v>324</v>
      </c>
      <c r="C89" t="s">
        <v>577</v>
      </c>
      <c r="D89">
        <v>250</v>
      </c>
      <c r="H89" t="s">
        <v>360</v>
      </c>
    </row>
    <row r="90" spans="1:8" hidden="1" x14ac:dyDescent="0.25">
      <c r="A90" s="77">
        <v>45174</v>
      </c>
      <c r="B90" t="s">
        <v>324</v>
      </c>
      <c r="C90" t="s">
        <v>578</v>
      </c>
      <c r="D90">
        <v>900</v>
      </c>
      <c r="H90" t="s">
        <v>360</v>
      </c>
    </row>
    <row r="91" spans="1:8" hidden="1" x14ac:dyDescent="0.25">
      <c r="A91" s="77">
        <v>45175</v>
      </c>
      <c r="B91" t="s">
        <v>324</v>
      </c>
      <c r="C91" t="s">
        <v>579</v>
      </c>
      <c r="D91">
        <v>5000</v>
      </c>
      <c r="H91" t="s">
        <v>360</v>
      </c>
    </row>
    <row r="92" spans="1:8" hidden="1" x14ac:dyDescent="0.25">
      <c r="A92" s="77">
        <v>45175</v>
      </c>
      <c r="B92" t="s">
        <v>324</v>
      </c>
      <c r="C92" t="s">
        <v>580</v>
      </c>
      <c r="D92">
        <v>1500</v>
      </c>
      <c r="H92" t="s">
        <v>360</v>
      </c>
    </row>
    <row r="93" spans="1:8" hidden="1" x14ac:dyDescent="0.25">
      <c r="A93" s="77">
        <v>45183</v>
      </c>
      <c r="B93" t="s">
        <v>321</v>
      </c>
      <c r="C93" t="s">
        <v>430</v>
      </c>
      <c r="D93">
        <v>600</v>
      </c>
      <c r="H93" t="s">
        <v>360</v>
      </c>
    </row>
    <row r="94" spans="1:8" hidden="1" x14ac:dyDescent="0.25">
      <c r="A94" s="77">
        <v>45184</v>
      </c>
      <c r="B94" t="s">
        <v>321</v>
      </c>
      <c r="C94" t="s">
        <v>702</v>
      </c>
      <c r="D94">
        <v>3000</v>
      </c>
      <c r="H94" t="s">
        <v>360</v>
      </c>
    </row>
    <row r="95" spans="1:8" hidden="1" x14ac:dyDescent="0.25">
      <c r="A95" s="77">
        <v>45184</v>
      </c>
      <c r="B95" t="s">
        <v>321</v>
      </c>
      <c r="C95" t="s">
        <v>703</v>
      </c>
      <c r="D95">
        <v>3000</v>
      </c>
      <c r="H95" t="s">
        <v>360</v>
      </c>
    </row>
    <row r="96" spans="1:8" hidden="1" x14ac:dyDescent="0.25">
      <c r="A96" s="77">
        <v>45186</v>
      </c>
      <c r="B96" t="s">
        <v>321</v>
      </c>
      <c r="C96" t="s">
        <v>704</v>
      </c>
      <c r="D96">
        <v>380</v>
      </c>
      <c r="H96" t="s">
        <v>360</v>
      </c>
    </row>
    <row r="97" spans="1:8" hidden="1" x14ac:dyDescent="0.25">
      <c r="A97" s="77">
        <v>45189</v>
      </c>
      <c r="B97" t="s">
        <v>323</v>
      </c>
      <c r="C97" t="s">
        <v>521</v>
      </c>
      <c r="D97">
        <v>600</v>
      </c>
      <c r="H97" t="s">
        <v>360</v>
      </c>
    </row>
    <row r="98" spans="1:8" hidden="1" x14ac:dyDescent="0.25">
      <c r="A98" s="77">
        <v>45189</v>
      </c>
      <c r="B98" t="s">
        <v>323</v>
      </c>
      <c r="C98" t="s">
        <v>705</v>
      </c>
      <c r="D98">
        <v>20000</v>
      </c>
      <c r="H98" t="s">
        <v>360</v>
      </c>
    </row>
    <row r="99" spans="1:8" hidden="1" x14ac:dyDescent="0.25">
      <c r="A99" s="77">
        <v>45194</v>
      </c>
      <c r="B99" t="s">
        <v>323</v>
      </c>
      <c r="C99" t="s">
        <v>706</v>
      </c>
      <c r="D99">
        <v>2000</v>
      </c>
      <c r="H99" t="s">
        <v>360</v>
      </c>
    </row>
    <row r="100" spans="1:8" hidden="1" x14ac:dyDescent="0.25">
      <c r="A100" s="77">
        <v>45200</v>
      </c>
      <c r="B100" t="s">
        <v>323</v>
      </c>
      <c r="C100" t="s">
        <v>521</v>
      </c>
      <c r="D100">
        <v>300</v>
      </c>
      <c r="H100" t="s">
        <v>360</v>
      </c>
    </row>
    <row r="101" spans="1:8" hidden="1" x14ac:dyDescent="0.25">
      <c r="A101" s="77">
        <v>45202</v>
      </c>
      <c r="B101" t="s">
        <v>323</v>
      </c>
      <c r="C101" t="s">
        <v>707</v>
      </c>
      <c r="D101">
        <v>1000</v>
      </c>
      <c r="H101" t="s">
        <v>360</v>
      </c>
    </row>
    <row r="102" spans="1:8" hidden="1" x14ac:dyDescent="0.25">
      <c r="A102" s="77">
        <v>45205</v>
      </c>
      <c r="B102" t="s">
        <v>321</v>
      </c>
      <c r="C102" t="s">
        <v>763</v>
      </c>
      <c r="D102">
        <v>3000</v>
      </c>
      <c r="H102" t="s">
        <v>360</v>
      </c>
    </row>
    <row r="103" spans="1:8" hidden="1" x14ac:dyDescent="0.25">
      <c r="A103" s="77">
        <v>45206</v>
      </c>
      <c r="B103" t="s">
        <v>321</v>
      </c>
      <c r="C103" t="s">
        <v>764</v>
      </c>
      <c r="D103">
        <v>3000</v>
      </c>
      <c r="H103" t="s">
        <v>360</v>
      </c>
    </row>
    <row r="104" spans="1:8" hidden="1" x14ac:dyDescent="0.25">
      <c r="A104" s="77">
        <v>45207</v>
      </c>
      <c r="B104" t="s">
        <v>321</v>
      </c>
      <c r="C104" t="s">
        <v>765</v>
      </c>
      <c r="D104">
        <v>23300</v>
      </c>
      <c r="H104" t="s">
        <v>360</v>
      </c>
    </row>
    <row r="105" spans="1:8" hidden="1" x14ac:dyDescent="0.25">
      <c r="A105" s="77">
        <v>45207</v>
      </c>
      <c r="B105" t="s">
        <v>321</v>
      </c>
      <c r="C105" t="s">
        <v>766</v>
      </c>
      <c r="D105">
        <v>3160</v>
      </c>
      <c r="H105" t="s">
        <v>360</v>
      </c>
    </row>
    <row r="106" spans="1:8" hidden="1" x14ac:dyDescent="0.25">
      <c r="A106" s="77">
        <v>45209</v>
      </c>
      <c r="B106" t="s">
        <v>321</v>
      </c>
      <c r="C106" t="s">
        <v>430</v>
      </c>
      <c r="D106">
        <v>700</v>
      </c>
      <c r="H106" t="s">
        <v>360</v>
      </c>
    </row>
    <row r="107" spans="1:8" hidden="1" x14ac:dyDescent="0.25">
      <c r="A107" s="77">
        <v>45209</v>
      </c>
      <c r="B107" t="s">
        <v>323</v>
      </c>
      <c r="C107" t="s">
        <v>521</v>
      </c>
      <c r="D107">
        <v>500</v>
      </c>
      <c r="H107" t="s">
        <v>360</v>
      </c>
    </row>
    <row r="108" spans="1:8" hidden="1" x14ac:dyDescent="0.25">
      <c r="A108" s="77">
        <v>45211</v>
      </c>
      <c r="B108" t="s">
        <v>323</v>
      </c>
      <c r="C108" t="s">
        <v>767</v>
      </c>
      <c r="D108">
        <v>312800</v>
      </c>
      <c r="H108" t="s">
        <v>360</v>
      </c>
    </row>
    <row r="109" spans="1:8" hidden="1" x14ac:dyDescent="0.25">
      <c r="A109" s="77">
        <v>45211</v>
      </c>
      <c r="B109" t="s">
        <v>322</v>
      </c>
      <c r="C109" t="s">
        <v>768</v>
      </c>
      <c r="D109">
        <v>5000</v>
      </c>
      <c r="H109" t="s">
        <v>360</v>
      </c>
    </row>
    <row r="110" spans="1:8" hidden="1" x14ac:dyDescent="0.25">
      <c r="A110" s="77">
        <v>45212</v>
      </c>
      <c r="B110" t="s">
        <v>322</v>
      </c>
      <c r="C110" t="s">
        <v>769</v>
      </c>
      <c r="D110">
        <v>3500</v>
      </c>
      <c r="H110" t="s">
        <v>360</v>
      </c>
    </row>
    <row r="111" spans="1:8" hidden="1" x14ac:dyDescent="0.25">
      <c r="A111" s="77">
        <v>45212</v>
      </c>
      <c r="B111" t="s">
        <v>323</v>
      </c>
      <c r="C111" t="s">
        <v>521</v>
      </c>
      <c r="D111">
        <v>250</v>
      </c>
      <c r="H111" t="s">
        <v>360</v>
      </c>
    </row>
    <row r="112" spans="1:8" hidden="1" x14ac:dyDescent="0.25">
      <c r="A112" s="77">
        <v>45213</v>
      </c>
      <c r="B112" t="s">
        <v>322</v>
      </c>
      <c r="C112" t="s">
        <v>406</v>
      </c>
      <c r="D112">
        <v>600</v>
      </c>
      <c r="H112" t="s">
        <v>360</v>
      </c>
    </row>
    <row r="113" spans="1:8" hidden="1" x14ac:dyDescent="0.25">
      <c r="A113" s="77">
        <v>45213</v>
      </c>
      <c r="B113" t="s">
        <v>324</v>
      </c>
      <c r="C113" t="s">
        <v>770</v>
      </c>
      <c r="D113">
        <v>500</v>
      </c>
      <c r="H113" t="s">
        <v>360</v>
      </c>
    </row>
    <row r="114" spans="1:8" hidden="1" x14ac:dyDescent="0.25">
      <c r="A114" s="77">
        <v>45214</v>
      </c>
      <c r="B114" t="s">
        <v>321</v>
      </c>
      <c r="C114" t="s">
        <v>771</v>
      </c>
      <c r="D114">
        <v>3000</v>
      </c>
      <c r="H114" t="s">
        <v>360</v>
      </c>
    </row>
    <row r="115" spans="1:8" hidden="1" x14ac:dyDescent="0.25">
      <c r="A115" s="77">
        <v>45214</v>
      </c>
      <c r="B115" t="s">
        <v>324</v>
      </c>
      <c r="C115" t="s">
        <v>772</v>
      </c>
      <c r="D115">
        <v>2000</v>
      </c>
      <c r="H115" t="s">
        <v>360</v>
      </c>
    </row>
    <row r="116" spans="1:8" hidden="1" x14ac:dyDescent="0.25">
      <c r="A116" s="77">
        <v>45215</v>
      </c>
      <c r="B116" t="s">
        <v>473</v>
      </c>
      <c r="C116" t="s">
        <v>477</v>
      </c>
      <c r="D116">
        <v>2000</v>
      </c>
      <c r="H116" t="s">
        <v>360</v>
      </c>
    </row>
    <row r="117" spans="1:8" hidden="1" x14ac:dyDescent="0.25">
      <c r="A117" s="77">
        <v>45217</v>
      </c>
      <c r="B117" t="s">
        <v>323</v>
      </c>
      <c r="C117" t="s">
        <v>767</v>
      </c>
      <c r="D117">
        <v>38000</v>
      </c>
      <c r="G117" t="s">
        <v>773</v>
      </c>
      <c r="H117" t="s">
        <v>360</v>
      </c>
    </row>
    <row r="118" spans="1:8" hidden="1" x14ac:dyDescent="0.25">
      <c r="A118" s="77">
        <v>45218</v>
      </c>
      <c r="B118" t="s">
        <v>321</v>
      </c>
      <c r="C118" t="s">
        <v>430</v>
      </c>
      <c r="D118">
        <v>500</v>
      </c>
      <c r="H118" t="s">
        <v>360</v>
      </c>
    </row>
    <row r="119" spans="1:8" hidden="1" x14ac:dyDescent="0.25">
      <c r="A119" s="77">
        <v>45218</v>
      </c>
      <c r="B119" t="s">
        <v>321</v>
      </c>
      <c r="C119" t="s">
        <v>774</v>
      </c>
      <c r="D119">
        <v>5000</v>
      </c>
      <c r="H119" t="s">
        <v>360</v>
      </c>
    </row>
    <row r="120" spans="1:8" hidden="1" x14ac:dyDescent="0.25">
      <c r="A120" s="77">
        <v>45223</v>
      </c>
      <c r="B120" t="s">
        <v>321</v>
      </c>
      <c r="C120" t="s">
        <v>430</v>
      </c>
      <c r="D120">
        <v>500</v>
      </c>
      <c r="H120" t="s">
        <v>360</v>
      </c>
    </row>
    <row r="121" spans="1:8" hidden="1" x14ac:dyDescent="0.25">
      <c r="A121" s="77">
        <v>45224</v>
      </c>
      <c r="B121" t="s">
        <v>321</v>
      </c>
      <c r="C121" t="s">
        <v>430</v>
      </c>
      <c r="D121">
        <v>500</v>
      </c>
      <c r="H121" t="s">
        <v>360</v>
      </c>
    </row>
    <row r="122" spans="1:8" hidden="1" x14ac:dyDescent="0.25">
      <c r="A122" s="77">
        <v>45225</v>
      </c>
      <c r="B122" t="s">
        <v>322</v>
      </c>
      <c r="C122" t="s">
        <v>775</v>
      </c>
      <c r="D122">
        <v>5250</v>
      </c>
      <c r="H122" t="s">
        <v>360</v>
      </c>
    </row>
    <row r="123" spans="1:8" hidden="1" x14ac:dyDescent="0.25">
      <c r="A123" s="77">
        <v>45225</v>
      </c>
      <c r="B123" t="s">
        <v>322</v>
      </c>
      <c r="C123" t="s">
        <v>776</v>
      </c>
      <c r="D123">
        <v>1800</v>
      </c>
      <c r="H123" t="s">
        <v>360</v>
      </c>
    </row>
    <row r="124" spans="1:8" hidden="1" x14ac:dyDescent="0.25">
      <c r="A124" s="77">
        <v>45226</v>
      </c>
      <c r="B124" t="s">
        <v>321</v>
      </c>
      <c r="C124" t="s">
        <v>430</v>
      </c>
      <c r="D124">
        <v>500</v>
      </c>
      <c r="H124" t="s">
        <v>360</v>
      </c>
    </row>
    <row r="125" spans="1:8" hidden="1" x14ac:dyDescent="0.25">
      <c r="A125" s="77">
        <v>45228</v>
      </c>
      <c r="B125" t="s">
        <v>321</v>
      </c>
      <c r="C125" t="s">
        <v>777</v>
      </c>
      <c r="D125">
        <v>1800</v>
      </c>
      <c r="H125" t="s">
        <v>360</v>
      </c>
    </row>
    <row r="126" spans="1:8" x14ac:dyDescent="0.25">
      <c r="A126" s="77">
        <v>45233</v>
      </c>
      <c r="B126" t="s">
        <v>321</v>
      </c>
      <c r="C126" t="s">
        <v>778</v>
      </c>
      <c r="D126">
        <v>3000</v>
      </c>
      <c r="H126" t="s">
        <v>360</v>
      </c>
    </row>
    <row r="127" spans="1:8" x14ac:dyDescent="0.25">
      <c r="A127" s="77">
        <v>45234</v>
      </c>
      <c r="B127" t="s">
        <v>322</v>
      </c>
      <c r="C127" t="s">
        <v>406</v>
      </c>
      <c r="D127">
        <v>600</v>
      </c>
      <c r="H127" t="s">
        <v>360</v>
      </c>
    </row>
    <row r="128" spans="1:8" x14ac:dyDescent="0.25">
      <c r="A128" s="77">
        <v>45234</v>
      </c>
      <c r="B128" t="s">
        <v>321</v>
      </c>
      <c r="C128" t="s">
        <v>779</v>
      </c>
      <c r="D128">
        <v>1050</v>
      </c>
      <c r="H128" t="s">
        <v>360</v>
      </c>
    </row>
    <row r="129" spans="1:8" x14ac:dyDescent="0.25">
      <c r="A129" s="77">
        <v>45237</v>
      </c>
      <c r="B129" t="s">
        <v>323</v>
      </c>
      <c r="C129" t="s">
        <v>780</v>
      </c>
      <c r="D129">
        <v>200</v>
      </c>
      <c r="H129" t="s">
        <v>360</v>
      </c>
    </row>
    <row r="130" spans="1:8" x14ac:dyDescent="0.25">
      <c r="A130" s="77">
        <v>45243</v>
      </c>
      <c r="B130" t="s">
        <v>321</v>
      </c>
      <c r="C130" t="s">
        <v>781</v>
      </c>
      <c r="D130">
        <v>3500</v>
      </c>
      <c r="H130" t="s">
        <v>360</v>
      </c>
    </row>
    <row r="131" spans="1:8" x14ac:dyDescent="0.25">
      <c r="A131" s="77">
        <v>45243</v>
      </c>
      <c r="B131" t="s">
        <v>321</v>
      </c>
      <c r="C131" t="s">
        <v>782</v>
      </c>
      <c r="D131">
        <v>1700</v>
      </c>
      <c r="H131" t="s">
        <v>360</v>
      </c>
    </row>
    <row r="132" spans="1:8" x14ac:dyDescent="0.25">
      <c r="A132" s="77">
        <v>45246</v>
      </c>
      <c r="B132" t="s">
        <v>323</v>
      </c>
      <c r="C132" t="s">
        <v>510</v>
      </c>
      <c r="D132">
        <v>3000</v>
      </c>
      <c r="H132" t="s">
        <v>360</v>
      </c>
    </row>
    <row r="133" spans="1:8" x14ac:dyDescent="0.25">
      <c r="A133" s="77">
        <v>45254</v>
      </c>
      <c r="B133" t="s">
        <v>323</v>
      </c>
      <c r="C133" t="s">
        <v>767</v>
      </c>
      <c r="D133">
        <v>10200</v>
      </c>
      <c r="H133" t="s">
        <v>360</v>
      </c>
    </row>
    <row r="134" spans="1:8" x14ac:dyDescent="0.25">
      <c r="A134" s="77">
        <v>45255</v>
      </c>
      <c r="B134" t="s">
        <v>323</v>
      </c>
      <c r="C134" t="s">
        <v>836</v>
      </c>
      <c r="D134">
        <v>2500</v>
      </c>
      <c r="H134" t="s">
        <v>360</v>
      </c>
    </row>
    <row r="135" spans="1:8" x14ac:dyDescent="0.25">
      <c r="A135" s="77">
        <v>45258</v>
      </c>
      <c r="B135" t="s">
        <v>473</v>
      </c>
      <c r="C135" t="s">
        <v>477</v>
      </c>
      <c r="D135">
        <v>2000</v>
      </c>
      <c r="H135" t="s">
        <v>360</v>
      </c>
    </row>
    <row r="136" spans="1:8" hidden="1" x14ac:dyDescent="0.25">
      <c r="A136" s="77">
        <v>45262</v>
      </c>
      <c r="B136" t="s">
        <v>321</v>
      </c>
      <c r="C136" t="s">
        <v>837</v>
      </c>
      <c r="D136">
        <v>645</v>
      </c>
      <c r="H136" t="s">
        <v>360</v>
      </c>
    </row>
    <row r="137" spans="1:8" hidden="1" x14ac:dyDescent="0.25">
      <c r="A137" s="77">
        <v>45262</v>
      </c>
      <c r="B137" t="s">
        <v>321</v>
      </c>
      <c r="C137" t="s">
        <v>838</v>
      </c>
      <c r="D137">
        <v>800</v>
      </c>
      <c r="H137" t="s">
        <v>360</v>
      </c>
    </row>
    <row r="138" spans="1:8" hidden="1" x14ac:dyDescent="0.25">
      <c r="A138" s="77">
        <v>45265</v>
      </c>
      <c r="B138" t="s">
        <v>323</v>
      </c>
      <c r="C138" t="s">
        <v>839</v>
      </c>
      <c r="D138">
        <v>6000</v>
      </c>
      <c r="H138" t="s">
        <v>360</v>
      </c>
    </row>
    <row r="139" spans="1:8" hidden="1" x14ac:dyDescent="0.25">
      <c r="A139" s="77">
        <v>45267</v>
      </c>
      <c r="B139" t="s">
        <v>321</v>
      </c>
      <c r="C139" t="s">
        <v>840</v>
      </c>
      <c r="D139">
        <v>5500</v>
      </c>
      <c r="H139" t="s">
        <v>360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>
    <tabColor rgb="FFFFFF00"/>
  </sheetPr>
  <dimension ref="A1:R33"/>
  <sheetViews>
    <sheetView topLeftCell="B1" zoomScale="70" zoomScaleNormal="70" workbookViewId="0">
      <selection activeCell="L9" sqref="L9"/>
    </sheetView>
  </sheetViews>
  <sheetFormatPr baseColWidth="10" defaultColWidth="8" defaultRowHeight="15" x14ac:dyDescent="0.25"/>
  <cols>
    <col min="1" max="1" width="20.625" style="5" customWidth="1"/>
    <col min="2" max="2" width="14.625" style="5" customWidth="1"/>
    <col min="3" max="3" width="40.625" style="5" customWidth="1"/>
    <col min="4" max="4" width="20.625" style="7" customWidth="1"/>
    <col min="5" max="5" width="6.875" style="8" customWidth="1"/>
    <col min="6" max="17" width="10.5" style="3" customWidth="1"/>
    <col min="18" max="16384" width="8" style="3"/>
  </cols>
  <sheetData>
    <row r="1" spans="1:18" ht="39.950000000000003" customHeight="1" x14ac:dyDescent="0.3">
      <c r="A1" s="347" t="s">
        <v>15</v>
      </c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  <c r="M1" s="348"/>
      <c r="N1" s="348"/>
      <c r="O1" s="348"/>
      <c r="P1" s="348"/>
      <c r="Q1" s="348"/>
    </row>
    <row r="2" spans="1:18" ht="39.950000000000003" customHeight="1" x14ac:dyDescent="0.25">
      <c r="A2" s="147"/>
      <c r="B2" s="147"/>
      <c r="C2" s="147"/>
      <c r="D2" s="148"/>
      <c r="E2" s="149"/>
      <c r="F2" s="149" t="s">
        <v>16</v>
      </c>
      <c r="G2" s="149" t="s">
        <v>17</v>
      </c>
      <c r="H2" s="149" t="s">
        <v>18</v>
      </c>
      <c r="I2" s="149" t="s">
        <v>19</v>
      </c>
      <c r="J2" s="149" t="s">
        <v>20</v>
      </c>
      <c r="K2" s="149" t="s">
        <v>21</v>
      </c>
      <c r="L2" s="149" t="s">
        <v>22</v>
      </c>
      <c r="M2" s="149" t="s">
        <v>23</v>
      </c>
      <c r="N2" s="149" t="s">
        <v>24</v>
      </c>
      <c r="O2" s="149" t="s">
        <v>25</v>
      </c>
      <c r="P2" s="149" t="s">
        <v>26</v>
      </c>
      <c r="Q2" s="149" t="s">
        <v>27</v>
      </c>
    </row>
    <row r="3" spans="1:18" ht="39.950000000000003" customHeight="1" x14ac:dyDescent="0.25">
      <c r="A3" s="150" t="s">
        <v>28</v>
      </c>
      <c r="B3" s="151" t="s">
        <v>29</v>
      </c>
      <c r="C3" s="151" t="s">
        <v>30</v>
      </c>
      <c r="D3" s="152" t="s">
        <v>31</v>
      </c>
      <c r="E3" s="153" t="s">
        <v>32</v>
      </c>
      <c r="F3" s="153" t="s">
        <v>33</v>
      </c>
      <c r="G3" s="153" t="s">
        <v>34</v>
      </c>
      <c r="H3" s="153" t="s">
        <v>35</v>
      </c>
      <c r="I3" s="153" t="s">
        <v>36</v>
      </c>
      <c r="J3" s="153" t="s">
        <v>37</v>
      </c>
      <c r="K3" s="153" t="s">
        <v>38</v>
      </c>
      <c r="L3" s="153" t="s">
        <v>39</v>
      </c>
      <c r="M3" s="153" t="s">
        <v>40</v>
      </c>
      <c r="N3" s="153" t="s">
        <v>41</v>
      </c>
      <c r="O3" s="153" t="s">
        <v>42</v>
      </c>
      <c r="P3" s="153" t="s">
        <v>43</v>
      </c>
      <c r="Q3" s="154" t="s">
        <v>44</v>
      </c>
    </row>
    <row r="4" spans="1:18" ht="30" customHeight="1" x14ac:dyDescent="0.25">
      <c r="A4" s="130" t="s">
        <v>45</v>
      </c>
      <c r="B4" s="129" t="s">
        <v>46</v>
      </c>
      <c r="C4" s="129" t="s">
        <v>47</v>
      </c>
      <c r="D4" s="131" t="s">
        <v>48</v>
      </c>
      <c r="E4" s="132">
        <v>11</v>
      </c>
      <c r="F4" s="155"/>
      <c r="G4" s="155">
        <v>620</v>
      </c>
      <c r="H4" s="155">
        <v>620</v>
      </c>
      <c r="I4" s="155">
        <v>620</v>
      </c>
      <c r="J4" s="155">
        <v>620</v>
      </c>
      <c r="K4" s="155">
        <v>620</v>
      </c>
      <c r="L4" s="155">
        <v>620</v>
      </c>
      <c r="M4" s="155">
        <v>620</v>
      </c>
      <c r="N4" s="155">
        <v>620</v>
      </c>
      <c r="O4" s="155">
        <v>620</v>
      </c>
      <c r="P4" s="155">
        <v>620</v>
      </c>
      <c r="Q4" s="156">
        <v>620</v>
      </c>
    </row>
    <row r="5" spans="1:18" ht="30" customHeight="1" x14ac:dyDescent="0.25">
      <c r="A5" s="130" t="s">
        <v>45</v>
      </c>
      <c r="B5" s="129" t="s">
        <v>46</v>
      </c>
      <c r="C5" s="129" t="s">
        <v>51</v>
      </c>
      <c r="D5" s="131" t="s">
        <v>52</v>
      </c>
      <c r="E5" s="132">
        <v>11</v>
      </c>
      <c r="F5" s="155"/>
      <c r="G5" s="155">
        <v>1220</v>
      </c>
      <c r="H5" s="155">
        <v>1220</v>
      </c>
      <c r="I5" s="155">
        <v>1220</v>
      </c>
      <c r="J5" s="155">
        <v>1220</v>
      </c>
      <c r="K5" s="155">
        <v>1220</v>
      </c>
      <c r="L5" s="155">
        <v>1220</v>
      </c>
      <c r="M5" s="155">
        <v>1220</v>
      </c>
      <c r="N5" s="155">
        <v>1220</v>
      </c>
      <c r="O5" s="155">
        <v>1220</v>
      </c>
      <c r="P5" s="155">
        <v>1220</v>
      </c>
      <c r="Q5" s="156">
        <v>1220</v>
      </c>
    </row>
    <row r="6" spans="1:18" ht="30" customHeight="1" x14ac:dyDescent="0.25">
      <c r="A6" s="130" t="s">
        <v>45</v>
      </c>
      <c r="B6" s="129" t="s">
        <v>54</v>
      </c>
      <c r="C6" s="129" t="s">
        <v>55</v>
      </c>
      <c r="D6" s="133">
        <v>120106758617</v>
      </c>
      <c r="E6" s="132">
        <v>11</v>
      </c>
      <c r="F6" s="155"/>
      <c r="G6" s="155">
        <v>540</v>
      </c>
      <c r="H6" s="155">
        <v>540</v>
      </c>
      <c r="I6" s="155">
        <v>540</v>
      </c>
      <c r="J6" s="155">
        <v>540</v>
      </c>
      <c r="K6" s="155">
        <v>540</v>
      </c>
      <c r="L6" s="155">
        <v>540</v>
      </c>
      <c r="M6" s="155">
        <v>540</v>
      </c>
      <c r="N6" s="155">
        <v>540</v>
      </c>
      <c r="O6" s="155">
        <v>540</v>
      </c>
      <c r="P6" s="155">
        <v>540</v>
      </c>
      <c r="Q6" s="156">
        <v>540</v>
      </c>
    </row>
    <row r="7" spans="1:18" ht="30" customHeight="1" x14ac:dyDescent="0.25">
      <c r="A7" s="130" t="s">
        <v>45</v>
      </c>
      <c r="B7" s="129" t="s">
        <v>54</v>
      </c>
      <c r="C7" s="129" t="s">
        <v>56</v>
      </c>
      <c r="D7" s="133">
        <v>110109729043</v>
      </c>
      <c r="E7" s="132">
        <v>11</v>
      </c>
      <c r="F7" s="155"/>
      <c r="G7" s="155">
        <v>3700</v>
      </c>
      <c r="H7" s="155">
        <v>3700</v>
      </c>
      <c r="I7" s="155">
        <v>3700</v>
      </c>
      <c r="J7" s="155">
        <v>3700</v>
      </c>
      <c r="K7" s="155">
        <v>3700</v>
      </c>
      <c r="L7" s="155">
        <v>3700</v>
      </c>
      <c r="M7" s="155">
        <v>3700</v>
      </c>
      <c r="N7" s="155">
        <v>3700</v>
      </c>
      <c r="O7" s="155">
        <v>3700</v>
      </c>
      <c r="P7" s="155">
        <v>3700</v>
      </c>
      <c r="Q7" s="156">
        <v>3700</v>
      </c>
    </row>
    <row r="8" spans="1:18" ht="30" customHeight="1" x14ac:dyDescent="0.25">
      <c r="A8" s="130" t="s">
        <v>45</v>
      </c>
      <c r="B8" s="129" t="s">
        <v>54</v>
      </c>
      <c r="C8" s="129" t="s">
        <v>58</v>
      </c>
      <c r="D8" s="133">
        <v>120106758625</v>
      </c>
      <c r="E8" s="132">
        <v>11</v>
      </c>
      <c r="F8" s="155"/>
      <c r="G8" s="155">
        <v>950</v>
      </c>
      <c r="H8" s="155">
        <v>950</v>
      </c>
      <c r="I8" s="155">
        <v>950</v>
      </c>
      <c r="J8" s="155">
        <v>950</v>
      </c>
      <c r="K8" s="155">
        <v>950</v>
      </c>
      <c r="L8" s="155">
        <v>950</v>
      </c>
      <c r="M8" s="155">
        <v>950</v>
      </c>
      <c r="N8" s="155">
        <v>950</v>
      </c>
      <c r="O8" s="155">
        <v>950</v>
      </c>
      <c r="P8" s="155">
        <v>950</v>
      </c>
      <c r="Q8" s="156">
        <v>950</v>
      </c>
    </row>
    <row r="9" spans="1:18" ht="30" customHeight="1" x14ac:dyDescent="0.25">
      <c r="A9" s="130" t="s">
        <v>45</v>
      </c>
      <c r="B9" s="129" t="s">
        <v>54</v>
      </c>
      <c r="C9" s="129" t="s">
        <v>217</v>
      </c>
      <c r="D9" s="133">
        <v>110124049806</v>
      </c>
      <c r="E9" s="132">
        <v>11</v>
      </c>
      <c r="F9" s="155"/>
      <c r="G9" s="155"/>
      <c r="H9" s="155"/>
      <c r="I9" s="155"/>
      <c r="J9" s="155"/>
      <c r="K9" s="155"/>
      <c r="L9" s="155"/>
      <c r="M9" s="155"/>
      <c r="N9" s="155"/>
      <c r="O9" s="155"/>
      <c r="P9" s="155"/>
      <c r="Q9" s="156"/>
    </row>
    <row r="10" spans="1:18" ht="30" customHeight="1" x14ac:dyDescent="0.25">
      <c r="A10" s="134" t="s">
        <v>49</v>
      </c>
      <c r="B10" s="135" t="s">
        <v>46</v>
      </c>
      <c r="C10" s="135" t="s">
        <v>47</v>
      </c>
      <c r="D10" s="136" t="s">
        <v>50</v>
      </c>
      <c r="E10" s="137">
        <v>12</v>
      </c>
      <c r="F10" s="157">
        <f>601+637</f>
        <v>1238</v>
      </c>
      <c r="G10" s="157">
        <v>1238</v>
      </c>
      <c r="H10" s="157">
        <v>1238</v>
      </c>
      <c r="I10" s="157">
        <v>1238</v>
      </c>
      <c r="J10" s="157">
        <v>1238</v>
      </c>
      <c r="K10" s="157">
        <v>1238</v>
      </c>
      <c r="L10" s="157">
        <v>1238</v>
      </c>
      <c r="M10" s="157">
        <v>1238</v>
      </c>
      <c r="N10" s="157">
        <v>1238</v>
      </c>
      <c r="O10" s="157">
        <v>1238</v>
      </c>
      <c r="P10" s="157">
        <v>1238</v>
      </c>
      <c r="Q10" s="158">
        <v>1238</v>
      </c>
    </row>
    <row r="11" spans="1:18" ht="30" customHeight="1" x14ac:dyDescent="0.25">
      <c r="A11" s="134" t="s">
        <v>49</v>
      </c>
      <c r="B11" s="135" t="s">
        <v>46</v>
      </c>
      <c r="C11" s="135" t="s">
        <v>51</v>
      </c>
      <c r="D11" s="136" t="s">
        <v>53</v>
      </c>
      <c r="E11" s="137">
        <v>12</v>
      </c>
      <c r="F11" s="157">
        <f>1075+1139</f>
        <v>2214</v>
      </c>
      <c r="G11" s="157">
        <v>2214</v>
      </c>
      <c r="H11" s="157">
        <v>2214</v>
      </c>
      <c r="I11" s="157">
        <v>2214</v>
      </c>
      <c r="J11" s="157">
        <v>2214</v>
      </c>
      <c r="K11" s="157">
        <v>2214</v>
      </c>
      <c r="L11" s="157">
        <v>2214</v>
      </c>
      <c r="M11" s="157">
        <v>2214</v>
      </c>
      <c r="N11" s="157">
        <v>2214</v>
      </c>
      <c r="O11" s="157">
        <v>2214</v>
      </c>
      <c r="P11" s="157">
        <v>2214</v>
      </c>
      <c r="Q11" s="158">
        <v>2214</v>
      </c>
    </row>
    <row r="12" spans="1:18" ht="30" customHeight="1" x14ac:dyDescent="0.55000000000000004">
      <c r="A12" s="134" t="s">
        <v>49</v>
      </c>
      <c r="B12" s="135" t="s">
        <v>54</v>
      </c>
      <c r="C12" s="135" t="s">
        <v>57</v>
      </c>
      <c r="D12" s="164" t="s">
        <v>273</v>
      </c>
      <c r="E12" s="137">
        <v>12</v>
      </c>
      <c r="F12" s="157">
        <f>2879+661</f>
        <v>3540</v>
      </c>
      <c r="G12" s="157">
        <v>3540</v>
      </c>
      <c r="H12" s="157">
        <v>3540</v>
      </c>
      <c r="I12" s="157">
        <v>3540</v>
      </c>
      <c r="J12" s="157">
        <v>3540</v>
      </c>
      <c r="K12" s="157">
        <v>3540</v>
      </c>
      <c r="L12" s="157">
        <v>3540</v>
      </c>
      <c r="M12" s="157">
        <v>3540</v>
      </c>
      <c r="N12" s="157">
        <v>3540</v>
      </c>
      <c r="O12" s="157">
        <v>3540</v>
      </c>
      <c r="P12" s="157">
        <v>3540</v>
      </c>
      <c r="Q12" s="158">
        <v>3540</v>
      </c>
      <c r="R12" s="166"/>
    </row>
    <row r="13" spans="1:18" ht="30" customHeight="1" x14ac:dyDescent="0.25">
      <c r="A13" s="134" t="s">
        <v>49</v>
      </c>
      <c r="B13" s="135" t="s">
        <v>54</v>
      </c>
      <c r="C13" s="135" t="s">
        <v>217</v>
      </c>
      <c r="D13" s="165" t="s">
        <v>274</v>
      </c>
      <c r="E13" s="137">
        <v>12</v>
      </c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8"/>
    </row>
    <row r="14" spans="1:18" ht="30" customHeight="1" x14ac:dyDescent="0.25">
      <c r="A14" s="138" t="s">
        <v>59</v>
      </c>
      <c r="B14" s="139" t="s">
        <v>54</v>
      </c>
      <c r="C14" s="139" t="s">
        <v>58</v>
      </c>
      <c r="D14" s="140" t="s">
        <v>60</v>
      </c>
      <c r="E14" s="141">
        <v>1</v>
      </c>
      <c r="F14" s="159"/>
      <c r="G14" s="159">
        <v>15449.4</v>
      </c>
      <c r="H14" s="159"/>
      <c r="I14" s="159"/>
      <c r="J14" s="159"/>
      <c r="K14" s="159"/>
      <c r="L14" s="159"/>
      <c r="M14" s="159"/>
      <c r="N14" s="159"/>
      <c r="O14" s="159"/>
      <c r="P14" s="159"/>
      <c r="Q14" s="160"/>
    </row>
    <row r="15" spans="1:18" ht="30" customHeight="1" x14ac:dyDescent="0.25">
      <c r="A15" s="138" t="s">
        <v>59</v>
      </c>
      <c r="B15" s="139" t="s">
        <v>54</v>
      </c>
      <c r="C15" s="139" t="s">
        <v>55</v>
      </c>
      <c r="D15" s="140" t="s">
        <v>61</v>
      </c>
      <c r="E15" s="141">
        <v>1</v>
      </c>
      <c r="F15" s="159"/>
      <c r="G15" s="159">
        <v>15449.4</v>
      </c>
      <c r="H15" s="159"/>
      <c r="I15" s="159"/>
      <c r="J15" s="159"/>
      <c r="K15" s="159"/>
      <c r="L15" s="159"/>
      <c r="M15" s="159"/>
      <c r="N15" s="159"/>
      <c r="O15" s="159"/>
      <c r="P15" s="159"/>
      <c r="Q15" s="160"/>
    </row>
    <row r="16" spans="1:18" ht="30" customHeight="1" x14ac:dyDescent="0.25">
      <c r="A16" s="142" t="s">
        <v>62</v>
      </c>
      <c r="B16" s="143" t="s">
        <v>63</v>
      </c>
      <c r="C16" s="143" t="s">
        <v>64</v>
      </c>
      <c r="D16" s="144" t="s">
        <v>65</v>
      </c>
      <c r="E16" s="145">
        <v>6</v>
      </c>
      <c r="F16" s="161"/>
      <c r="G16" s="161"/>
      <c r="H16" s="161"/>
      <c r="I16" s="161"/>
      <c r="J16" s="161"/>
      <c r="K16" s="161"/>
      <c r="L16" s="161"/>
      <c r="M16" s="161"/>
      <c r="N16" s="161"/>
      <c r="O16" s="161"/>
      <c r="P16" s="161"/>
      <c r="Q16" s="162"/>
    </row>
    <row r="17" spans="1:17" s="8" customFormat="1" ht="30" customHeight="1" x14ac:dyDescent="0.25">
      <c r="A17" s="146"/>
      <c r="B17" s="146"/>
      <c r="C17" s="146"/>
      <c r="D17" s="146"/>
      <c r="E17" s="146"/>
      <c r="F17" s="163">
        <f>SUBTOTAL(109,Impuestos_2022[FEB])</f>
        <v>6992</v>
      </c>
      <c r="G17" s="163">
        <f>SUBTOTAL(109,Impuestos_2022[MAR])</f>
        <v>44920.800000000003</v>
      </c>
      <c r="H17" s="163">
        <f>SUBTOTAL(109,Impuestos_2022[ABR])</f>
        <v>14022</v>
      </c>
      <c r="I17" s="163">
        <f>SUBTOTAL(109,Impuestos_2022[MAY])</f>
        <v>14022</v>
      </c>
      <c r="J17" s="163">
        <f>SUBTOTAL(109,Impuestos_2022[JUN])</f>
        <v>14022</v>
      </c>
      <c r="K17" s="163">
        <f>SUBTOTAL(109,Impuestos_2022[JUL])</f>
        <v>14022</v>
      </c>
      <c r="L17" s="163">
        <f>SUBTOTAL(109,Impuestos_2022[AGO])</f>
        <v>14022</v>
      </c>
      <c r="M17" s="163">
        <f>SUBTOTAL(109,Impuestos_2022[SEP])</f>
        <v>14022</v>
      </c>
      <c r="N17" s="163">
        <f>SUBTOTAL(109,Impuestos_2022[OCT])</f>
        <v>14022</v>
      </c>
      <c r="O17" s="163">
        <f>SUBTOTAL(109,Impuestos_2022[NOV])</f>
        <v>14022</v>
      </c>
      <c r="P17" s="163">
        <f>SUBTOTAL(109,Impuestos_2022[DIC])</f>
        <v>14022</v>
      </c>
      <c r="Q17" s="163">
        <f>SUBTOTAL(109,Impuestos_2022[ENE])</f>
        <v>14022</v>
      </c>
    </row>
    <row r="18" spans="1:17" ht="30" customHeight="1" x14ac:dyDescent="0.2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</row>
    <row r="19" spans="1:17" ht="30" customHeight="1" x14ac:dyDescent="0.25"/>
    <row r="20" spans="1:17" ht="30" customHeight="1" x14ac:dyDescent="0.25"/>
    <row r="21" spans="1:17" ht="30" customHeight="1" x14ac:dyDescent="0.25"/>
    <row r="22" spans="1:17" ht="30" customHeight="1" x14ac:dyDescent="0.25"/>
    <row r="23" spans="1:17" ht="30" customHeight="1" x14ac:dyDescent="0.25"/>
    <row r="24" spans="1:17" ht="30" customHeight="1" x14ac:dyDescent="0.25"/>
    <row r="25" spans="1:17" ht="30" customHeight="1" x14ac:dyDescent="0.25"/>
    <row r="26" spans="1:17" ht="30" customHeight="1" x14ac:dyDescent="0.25"/>
    <row r="27" spans="1:17" ht="30" customHeight="1" x14ac:dyDescent="0.25"/>
    <row r="28" spans="1:17" ht="30" customHeight="1" x14ac:dyDescent="0.25"/>
    <row r="29" spans="1:17" ht="30" customHeight="1" x14ac:dyDescent="0.25"/>
    <row r="30" spans="1:17" ht="30" customHeight="1" x14ac:dyDescent="0.25"/>
    <row r="31" spans="1:17" ht="30" customHeight="1" x14ac:dyDescent="0.25"/>
    <row r="32" spans="1:17" ht="30" customHeight="1" x14ac:dyDescent="0.25"/>
    <row r="33" ht="30" customHeight="1" x14ac:dyDescent="0.25"/>
  </sheetData>
  <mergeCells count="1">
    <mergeCell ref="A1:Q1"/>
  </mergeCells>
  <phoneticPr fontId="31" type="noConversion"/>
  <pageMargins left="0.75" right="0.75" top="1" bottom="1" header="0.5" footer="0.5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2">
    <tabColor rgb="FFFFFF00"/>
  </sheetPr>
  <dimension ref="A1:J111"/>
  <sheetViews>
    <sheetView zoomScale="80" zoomScaleNormal="80" workbookViewId="0">
      <selection activeCell="I88" sqref="I88"/>
    </sheetView>
  </sheetViews>
  <sheetFormatPr baseColWidth="10" defaultRowHeight="15.75" x14ac:dyDescent="0.25"/>
  <cols>
    <col min="1" max="1" width="13" style="77" customWidth="1"/>
    <col min="2" max="2" width="11" style="280"/>
    <col min="3" max="3" width="21.25" customWidth="1"/>
    <col min="4" max="4" width="20.75" customWidth="1"/>
    <col min="5" max="5" width="41.25" customWidth="1"/>
    <col min="6" max="6" width="25.625" style="198" customWidth="1"/>
    <col min="7" max="7" width="11" style="177"/>
    <col min="8" max="8" width="11" style="312"/>
    <col min="9" max="9" width="11" style="202"/>
    <col min="10" max="10" width="17" style="177" customWidth="1"/>
  </cols>
  <sheetData>
    <row r="1" spans="1:10" s="191" customFormat="1" ht="30" customHeight="1" x14ac:dyDescent="0.25">
      <c r="A1" s="196" t="s">
        <v>544</v>
      </c>
      <c r="B1" s="308" t="s">
        <v>642</v>
      </c>
      <c r="C1" s="189" t="s">
        <v>28</v>
      </c>
      <c r="D1" s="189" t="s">
        <v>29</v>
      </c>
      <c r="E1" s="189" t="s">
        <v>30</v>
      </c>
      <c r="F1" s="188" t="s">
        <v>31</v>
      </c>
      <c r="G1" s="189" t="s">
        <v>32</v>
      </c>
      <c r="H1" s="309" t="s">
        <v>545</v>
      </c>
      <c r="I1" s="200" t="s">
        <v>547</v>
      </c>
      <c r="J1" s="199" t="s">
        <v>546</v>
      </c>
    </row>
    <row r="2" spans="1:10" s="1" customFormat="1" ht="20.100000000000001" hidden="1" customHeight="1" x14ac:dyDescent="0.25">
      <c r="A2" s="190">
        <v>44995</v>
      </c>
      <c r="B2" s="197" t="s">
        <v>643</v>
      </c>
      <c r="C2" s="1" t="s">
        <v>45</v>
      </c>
      <c r="D2" s="1" t="s">
        <v>46</v>
      </c>
      <c r="E2" s="1" t="s">
        <v>47</v>
      </c>
      <c r="F2" s="197" t="s">
        <v>48</v>
      </c>
      <c r="G2" s="187">
        <v>11</v>
      </c>
      <c r="H2" s="310" t="s">
        <v>33</v>
      </c>
      <c r="I2" s="209">
        <v>880</v>
      </c>
      <c r="J2" s="187" t="s">
        <v>409</v>
      </c>
    </row>
    <row r="3" spans="1:10" s="1" customFormat="1" ht="20.100000000000001" hidden="1" customHeight="1" x14ac:dyDescent="0.25">
      <c r="A3" s="190">
        <v>45026</v>
      </c>
      <c r="B3" s="197" t="s">
        <v>643</v>
      </c>
      <c r="C3" s="1" t="s">
        <v>45</v>
      </c>
      <c r="D3" s="1" t="s">
        <v>46</v>
      </c>
      <c r="E3" s="1" t="s">
        <v>47</v>
      </c>
      <c r="F3" s="197" t="s">
        <v>48</v>
      </c>
      <c r="G3" s="187">
        <v>11</v>
      </c>
      <c r="H3" s="310" t="s">
        <v>34</v>
      </c>
      <c r="I3" s="209">
        <v>880</v>
      </c>
      <c r="J3" s="187" t="s">
        <v>409</v>
      </c>
    </row>
    <row r="4" spans="1:10" s="1" customFormat="1" ht="20.100000000000001" hidden="1" customHeight="1" x14ac:dyDescent="0.25">
      <c r="A4" s="190">
        <v>45056</v>
      </c>
      <c r="B4" s="197" t="s">
        <v>643</v>
      </c>
      <c r="C4" s="1" t="s">
        <v>45</v>
      </c>
      <c r="D4" s="1" t="s">
        <v>46</v>
      </c>
      <c r="E4" s="1" t="s">
        <v>47</v>
      </c>
      <c r="F4" s="197" t="s">
        <v>48</v>
      </c>
      <c r="G4" s="187">
        <v>11</v>
      </c>
      <c r="H4" s="310" t="s">
        <v>35</v>
      </c>
      <c r="I4" s="209">
        <v>880</v>
      </c>
      <c r="J4" s="187" t="s">
        <v>409</v>
      </c>
    </row>
    <row r="5" spans="1:10" s="1" customFormat="1" ht="20.100000000000001" hidden="1" customHeight="1" x14ac:dyDescent="0.25">
      <c r="A5" s="190">
        <v>45087</v>
      </c>
      <c r="B5" s="197" t="s">
        <v>643</v>
      </c>
      <c r="C5" s="1" t="s">
        <v>45</v>
      </c>
      <c r="D5" s="1" t="s">
        <v>46</v>
      </c>
      <c r="E5" s="1" t="s">
        <v>47</v>
      </c>
      <c r="F5" s="197" t="s">
        <v>48</v>
      </c>
      <c r="G5" s="187">
        <v>11</v>
      </c>
      <c r="H5" s="310" t="s">
        <v>36</v>
      </c>
      <c r="I5" s="209">
        <v>880</v>
      </c>
      <c r="J5" s="187" t="s">
        <v>409</v>
      </c>
    </row>
    <row r="6" spans="1:10" s="1" customFormat="1" ht="20.100000000000001" hidden="1" customHeight="1" x14ac:dyDescent="0.25">
      <c r="A6" s="190">
        <v>45117</v>
      </c>
      <c r="B6" s="197" t="s">
        <v>643</v>
      </c>
      <c r="C6" s="1" t="s">
        <v>45</v>
      </c>
      <c r="D6" s="1" t="s">
        <v>46</v>
      </c>
      <c r="E6" s="1" t="s">
        <v>47</v>
      </c>
      <c r="F6" s="197" t="s">
        <v>48</v>
      </c>
      <c r="G6" s="187">
        <v>11</v>
      </c>
      <c r="H6" s="310" t="s">
        <v>37</v>
      </c>
      <c r="I6" s="209">
        <v>880</v>
      </c>
      <c r="J6" s="187" t="s">
        <v>409</v>
      </c>
    </row>
    <row r="7" spans="1:10" s="1" customFormat="1" ht="20.100000000000001" hidden="1" customHeight="1" x14ac:dyDescent="0.25">
      <c r="A7" s="190">
        <v>44995</v>
      </c>
      <c r="B7" s="197" t="s">
        <v>643</v>
      </c>
      <c r="C7" s="192" t="s">
        <v>45</v>
      </c>
      <c r="D7" s="192" t="s">
        <v>46</v>
      </c>
      <c r="E7" s="192" t="s">
        <v>51</v>
      </c>
      <c r="F7" s="193" t="s">
        <v>52</v>
      </c>
      <c r="G7" s="194">
        <v>11</v>
      </c>
      <c r="H7" s="310" t="s">
        <v>33</v>
      </c>
      <c r="I7" s="210">
        <v>1670</v>
      </c>
      <c r="J7" s="187" t="s">
        <v>409</v>
      </c>
    </row>
    <row r="8" spans="1:10" s="1" customFormat="1" ht="20.100000000000001" hidden="1" customHeight="1" x14ac:dyDescent="0.25">
      <c r="A8" s="190">
        <v>45026</v>
      </c>
      <c r="B8" s="197" t="s">
        <v>643</v>
      </c>
      <c r="C8" s="192" t="s">
        <v>45</v>
      </c>
      <c r="D8" s="192" t="s">
        <v>46</v>
      </c>
      <c r="E8" s="192" t="s">
        <v>51</v>
      </c>
      <c r="F8" s="193" t="s">
        <v>52</v>
      </c>
      <c r="G8" s="194">
        <v>11</v>
      </c>
      <c r="H8" s="310" t="s">
        <v>34</v>
      </c>
      <c r="I8" s="210">
        <v>1670</v>
      </c>
      <c r="J8" s="187" t="s">
        <v>409</v>
      </c>
    </row>
    <row r="9" spans="1:10" s="1" customFormat="1" ht="20.100000000000001" hidden="1" customHeight="1" x14ac:dyDescent="0.25">
      <c r="A9" s="190">
        <v>45056</v>
      </c>
      <c r="B9" s="197" t="s">
        <v>643</v>
      </c>
      <c r="C9" s="192" t="s">
        <v>45</v>
      </c>
      <c r="D9" s="192" t="s">
        <v>46</v>
      </c>
      <c r="E9" s="192" t="s">
        <v>51</v>
      </c>
      <c r="F9" s="193" t="s">
        <v>52</v>
      </c>
      <c r="G9" s="194">
        <v>11</v>
      </c>
      <c r="H9" s="310" t="s">
        <v>35</v>
      </c>
      <c r="I9" s="210">
        <v>1670</v>
      </c>
      <c r="J9" s="187" t="s">
        <v>409</v>
      </c>
    </row>
    <row r="10" spans="1:10" s="1" customFormat="1" ht="20.100000000000001" hidden="1" customHeight="1" x14ac:dyDescent="0.25">
      <c r="A10" s="190">
        <v>45087</v>
      </c>
      <c r="B10" s="197" t="s">
        <v>643</v>
      </c>
      <c r="C10" s="192" t="s">
        <v>45</v>
      </c>
      <c r="D10" s="192" t="s">
        <v>46</v>
      </c>
      <c r="E10" s="192" t="s">
        <v>51</v>
      </c>
      <c r="F10" s="193" t="s">
        <v>52</v>
      </c>
      <c r="G10" s="194">
        <v>11</v>
      </c>
      <c r="H10" s="310" t="s">
        <v>36</v>
      </c>
      <c r="I10" s="210">
        <v>1670</v>
      </c>
      <c r="J10" s="187" t="s">
        <v>409</v>
      </c>
    </row>
    <row r="11" spans="1:10" s="1" customFormat="1" ht="20.100000000000001" hidden="1" customHeight="1" x14ac:dyDescent="0.25">
      <c r="A11" s="190">
        <v>45117</v>
      </c>
      <c r="B11" s="197" t="s">
        <v>643</v>
      </c>
      <c r="C11" s="192" t="s">
        <v>45</v>
      </c>
      <c r="D11" s="192" t="s">
        <v>46</v>
      </c>
      <c r="E11" s="192" t="s">
        <v>51</v>
      </c>
      <c r="F11" s="193" t="s">
        <v>52</v>
      </c>
      <c r="G11" s="194">
        <v>11</v>
      </c>
      <c r="H11" s="310" t="s">
        <v>37</v>
      </c>
      <c r="I11" s="210">
        <v>1670</v>
      </c>
      <c r="J11" s="187" t="s">
        <v>409</v>
      </c>
    </row>
    <row r="12" spans="1:10" s="1" customFormat="1" ht="20.100000000000001" hidden="1" customHeight="1" x14ac:dyDescent="0.25">
      <c r="A12" s="190">
        <v>44995</v>
      </c>
      <c r="B12" s="197" t="s">
        <v>643</v>
      </c>
      <c r="C12" s="192" t="s">
        <v>45</v>
      </c>
      <c r="D12" s="192" t="s">
        <v>54</v>
      </c>
      <c r="E12" s="192" t="s">
        <v>55</v>
      </c>
      <c r="F12" s="193" t="s">
        <v>548</v>
      </c>
      <c r="G12" s="194">
        <v>11</v>
      </c>
      <c r="H12" s="310" t="s">
        <v>33</v>
      </c>
      <c r="I12" s="210">
        <v>890</v>
      </c>
      <c r="J12" s="187" t="s">
        <v>409</v>
      </c>
    </row>
    <row r="13" spans="1:10" s="1" customFormat="1" ht="20.100000000000001" hidden="1" customHeight="1" x14ac:dyDescent="0.25">
      <c r="A13" s="190">
        <v>45026</v>
      </c>
      <c r="B13" s="197" t="s">
        <v>643</v>
      </c>
      <c r="C13" s="192" t="s">
        <v>45</v>
      </c>
      <c r="D13" s="192" t="s">
        <v>54</v>
      </c>
      <c r="E13" s="192" t="s">
        <v>55</v>
      </c>
      <c r="F13" s="193" t="s">
        <v>548</v>
      </c>
      <c r="G13" s="194">
        <v>11</v>
      </c>
      <c r="H13" s="310" t="s">
        <v>34</v>
      </c>
      <c r="I13" s="210">
        <v>890</v>
      </c>
      <c r="J13" s="187" t="s">
        <v>409</v>
      </c>
    </row>
    <row r="14" spans="1:10" s="1" customFormat="1" ht="20.100000000000001" hidden="1" customHeight="1" x14ac:dyDescent="0.25">
      <c r="A14" s="190">
        <v>45056</v>
      </c>
      <c r="B14" s="197" t="s">
        <v>643</v>
      </c>
      <c r="C14" s="192" t="s">
        <v>45</v>
      </c>
      <c r="D14" s="192" t="s">
        <v>54</v>
      </c>
      <c r="E14" s="192" t="s">
        <v>55</v>
      </c>
      <c r="F14" s="193" t="s">
        <v>548</v>
      </c>
      <c r="G14" s="194">
        <v>11</v>
      </c>
      <c r="H14" s="310" t="s">
        <v>35</v>
      </c>
      <c r="I14" s="210">
        <v>890</v>
      </c>
      <c r="J14" s="187" t="s">
        <v>409</v>
      </c>
    </row>
    <row r="15" spans="1:10" s="1" customFormat="1" ht="20.100000000000001" hidden="1" customHeight="1" x14ac:dyDescent="0.25">
      <c r="A15" s="190">
        <v>45087</v>
      </c>
      <c r="B15" s="197" t="s">
        <v>643</v>
      </c>
      <c r="C15" s="192" t="s">
        <v>45</v>
      </c>
      <c r="D15" s="192" t="s">
        <v>54</v>
      </c>
      <c r="E15" s="192" t="s">
        <v>55</v>
      </c>
      <c r="F15" s="193" t="s">
        <v>548</v>
      </c>
      <c r="G15" s="194">
        <v>11</v>
      </c>
      <c r="H15" s="310" t="s">
        <v>36</v>
      </c>
      <c r="I15" s="210">
        <v>890</v>
      </c>
      <c r="J15" s="187" t="s">
        <v>409</v>
      </c>
    </row>
    <row r="16" spans="1:10" s="1" customFormat="1" ht="20.100000000000001" hidden="1" customHeight="1" x14ac:dyDescent="0.25">
      <c r="A16" s="190">
        <v>45117</v>
      </c>
      <c r="B16" s="197" t="s">
        <v>643</v>
      </c>
      <c r="C16" s="192" t="s">
        <v>45</v>
      </c>
      <c r="D16" s="192" t="s">
        <v>54</v>
      </c>
      <c r="E16" s="192" t="s">
        <v>55</v>
      </c>
      <c r="F16" s="193" t="s">
        <v>548</v>
      </c>
      <c r="G16" s="194">
        <v>11</v>
      </c>
      <c r="H16" s="310" t="s">
        <v>37</v>
      </c>
      <c r="I16" s="210">
        <v>890</v>
      </c>
      <c r="J16" s="187" t="s">
        <v>409</v>
      </c>
    </row>
    <row r="17" spans="1:10" s="1" customFormat="1" ht="20.100000000000001" hidden="1" customHeight="1" x14ac:dyDescent="0.25">
      <c r="A17" s="190">
        <v>44995</v>
      </c>
      <c r="B17" s="197" t="s">
        <v>643</v>
      </c>
      <c r="C17" s="192" t="s">
        <v>45</v>
      </c>
      <c r="D17" s="192" t="s">
        <v>54</v>
      </c>
      <c r="E17" s="192" t="s">
        <v>56</v>
      </c>
      <c r="F17" s="193" t="s">
        <v>549</v>
      </c>
      <c r="G17" s="194">
        <v>11</v>
      </c>
      <c r="H17" s="310" t="s">
        <v>33</v>
      </c>
      <c r="I17" s="210">
        <v>5490</v>
      </c>
      <c r="J17" s="187" t="s">
        <v>409</v>
      </c>
    </row>
    <row r="18" spans="1:10" s="1" customFormat="1" ht="20.100000000000001" hidden="1" customHeight="1" x14ac:dyDescent="0.25">
      <c r="A18" s="190">
        <v>45026</v>
      </c>
      <c r="B18" s="197" t="s">
        <v>643</v>
      </c>
      <c r="C18" s="192" t="s">
        <v>45</v>
      </c>
      <c r="D18" s="192" t="s">
        <v>54</v>
      </c>
      <c r="E18" s="192" t="s">
        <v>56</v>
      </c>
      <c r="F18" s="193" t="s">
        <v>549</v>
      </c>
      <c r="G18" s="194">
        <v>11</v>
      </c>
      <c r="H18" s="310" t="s">
        <v>34</v>
      </c>
      <c r="I18" s="210">
        <v>5490</v>
      </c>
      <c r="J18" s="187" t="s">
        <v>409</v>
      </c>
    </row>
    <row r="19" spans="1:10" s="1" customFormat="1" ht="20.100000000000001" hidden="1" customHeight="1" x14ac:dyDescent="0.25">
      <c r="A19" s="190">
        <v>45056</v>
      </c>
      <c r="B19" s="197" t="s">
        <v>643</v>
      </c>
      <c r="C19" s="192" t="s">
        <v>45</v>
      </c>
      <c r="D19" s="192" t="s">
        <v>54</v>
      </c>
      <c r="E19" s="192" t="s">
        <v>56</v>
      </c>
      <c r="F19" s="193" t="s">
        <v>549</v>
      </c>
      <c r="G19" s="194">
        <v>11</v>
      </c>
      <c r="H19" s="310" t="s">
        <v>35</v>
      </c>
      <c r="I19" s="210">
        <v>5490</v>
      </c>
      <c r="J19" s="187" t="s">
        <v>409</v>
      </c>
    </row>
    <row r="20" spans="1:10" s="1" customFormat="1" ht="20.100000000000001" hidden="1" customHeight="1" x14ac:dyDescent="0.25">
      <c r="A20" s="190">
        <v>45087</v>
      </c>
      <c r="B20" s="197" t="s">
        <v>643</v>
      </c>
      <c r="C20" s="192" t="s">
        <v>45</v>
      </c>
      <c r="D20" s="192" t="s">
        <v>54</v>
      </c>
      <c r="E20" s="192" t="s">
        <v>56</v>
      </c>
      <c r="F20" s="193" t="s">
        <v>549</v>
      </c>
      <c r="G20" s="194">
        <v>11</v>
      </c>
      <c r="H20" s="310" t="s">
        <v>36</v>
      </c>
      <c r="I20" s="210">
        <v>5490</v>
      </c>
      <c r="J20" s="187" t="s">
        <v>409</v>
      </c>
    </row>
    <row r="21" spans="1:10" s="1" customFormat="1" ht="20.100000000000001" hidden="1" customHeight="1" x14ac:dyDescent="0.25">
      <c r="A21" s="190">
        <v>45117</v>
      </c>
      <c r="B21" s="197" t="s">
        <v>643</v>
      </c>
      <c r="C21" s="192" t="s">
        <v>45</v>
      </c>
      <c r="D21" s="192" t="s">
        <v>54</v>
      </c>
      <c r="E21" s="192" t="s">
        <v>56</v>
      </c>
      <c r="F21" s="193" t="s">
        <v>549</v>
      </c>
      <c r="G21" s="194">
        <v>11</v>
      </c>
      <c r="H21" s="310" t="s">
        <v>37</v>
      </c>
      <c r="I21" s="210">
        <v>5490</v>
      </c>
      <c r="J21" s="187" t="s">
        <v>409</v>
      </c>
    </row>
    <row r="22" spans="1:10" s="1" customFormat="1" ht="20.100000000000001" hidden="1" customHeight="1" x14ac:dyDescent="0.25">
      <c r="A22" s="190">
        <v>44995</v>
      </c>
      <c r="B22" s="197" t="s">
        <v>643</v>
      </c>
      <c r="C22" s="192" t="s">
        <v>45</v>
      </c>
      <c r="D22" s="192" t="s">
        <v>54</v>
      </c>
      <c r="E22" s="192" t="s">
        <v>58</v>
      </c>
      <c r="F22" s="193" t="s">
        <v>550</v>
      </c>
      <c r="G22" s="194">
        <v>11</v>
      </c>
      <c r="H22" s="310" t="s">
        <v>33</v>
      </c>
      <c r="I22" s="210">
        <v>1360</v>
      </c>
      <c r="J22" s="187" t="s">
        <v>409</v>
      </c>
    </row>
    <row r="23" spans="1:10" s="1" customFormat="1" ht="20.100000000000001" hidden="1" customHeight="1" x14ac:dyDescent="0.25">
      <c r="A23" s="190">
        <v>45026</v>
      </c>
      <c r="B23" s="197" t="s">
        <v>643</v>
      </c>
      <c r="C23" s="192" t="s">
        <v>45</v>
      </c>
      <c r="D23" s="192" t="s">
        <v>54</v>
      </c>
      <c r="E23" s="192" t="s">
        <v>58</v>
      </c>
      <c r="F23" s="193" t="s">
        <v>550</v>
      </c>
      <c r="G23" s="194">
        <v>11</v>
      </c>
      <c r="H23" s="310" t="s">
        <v>34</v>
      </c>
      <c r="I23" s="210">
        <v>1360</v>
      </c>
      <c r="J23" s="187" t="s">
        <v>409</v>
      </c>
    </row>
    <row r="24" spans="1:10" s="1" customFormat="1" ht="20.100000000000001" hidden="1" customHeight="1" x14ac:dyDescent="0.25">
      <c r="A24" s="190">
        <v>45056</v>
      </c>
      <c r="B24" s="197" t="s">
        <v>643</v>
      </c>
      <c r="C24" s="192" t="s">
        <v>45</v>
      </c>
      <c r="D24" s="192" t="s">
        <v>54</v>
      </c>
      <c r="E24" s="192" t="s">
        <v>58</v>
      </c>
      <c r="F24" s="193" t="s">
        <v>550</v>
      </c>
      <c r="G24" s="194">
        <v>11</v>
      </c>
      <c r="H24" s="310" t="s">
        <v>35</v>
      </c>
      <c r="I24" s="210">
        <v>1360</v>
      </c>
      <c r="J24" s="187" t="s">
        <v>409</v>
      </c>
    </row>
    <row r="25" spans="1:10" s="1" customFormat="1" ht="20.100000000000001" hidden="1" customHeight="1" x14ac:dyDescent="0.25">
      <c r="A25" s="190">
        <v>45087</v>
      </c>
      <c r="B25" s="197" t="s">
        <v>643</v>
      </c>
      <c r="C25" s="192" t="s">
        <v>45</v>
      </c>
      <c r="D25" s="192" t="s">
        <v>54</v>
      </c>
      <c r="E25" s="192" t="s">
        <v>58</v>
      </c>
      <c r="F25" s="193" t="s">
        <v>550</v>
      </c>
      <c r="G25" s="194">
        <v>11</v>
      </c>
      <c r="H25" s="310" t="s">
        <v>36</v>
      </c>
      <c r="I25" s="210">
        <v>1360</v>
      </c>
      <c r="J25" s="187" t="s">
        <v>409</v>
      </c>
    </row>
    <row r="26" spans="1:10" s="1" customFormat="1" ht="20.100000000000001" hidden="1" customHeight="1" x14ac:dyDescent="0.25">
      <c r="A26" s="190">
        <v>45117</v>
      </c>
      <c r="B26" s="197" t="s">
        <v>643</v>
      </c>
      <c r="C26" s="192" t="s">
        <v>45</v>
      </c>
      <c r="D26" s="192" t="s">
        <v>54</v>
      </c>
      <c r="E26" s="192" t="s">
        <v>58</v>
      </c>
      <c r="F26" s="193" t="s">
        <v>550</v>
      </c>
      <c r="G26" s="194">
        <v>11</v>
      </c>
      <c r="H26" s="310" t="s">
        <v>37</v>
      </c>
      <c r="I26" s="210">
        <v>1360</v>
      </c>
      <c r="J26" s="187" t="s">
        <v>409</v>
      </c>
    </row>
    <row r="27" spans="1:10" s="1" customFormat="1" ht="20.100000000000001" hidden="1" customHeight="1" x14ac:dyDescent="0.25">
      <c r="A27" s="190">
        <v>44967</v>
      </c>
      <c r="B27" s="197" t="s">
        <v>643</v>
      </c>
      <c r="C27" s="192" t="s">
        <v>45</v>
      </c>
      <c r="D27" s="192" t="s">
        <v>54</v>
      </c>
      <c r="E27" s="192" t="s">
        <v>217</v>
      </c>
      <c r="F27" s="193" t="s">
        <v>551</v>
      </c>
      <c r="G27" s="194">
        <v>11</v>
      </c>
      <c r="H27" s="311" t="s">
        <v>33</v>
      </c>
      <c r="I27" s="210">
        <v>4028.92</v>
      </c>
      <c r="J27" s="187" t="s">
        <v>409</v>
      </c>
    </row>
    <row r="28" spans="1:10" s="1" customFormat="1" ht="20.100000000000001" hidden="1" customHeight="1" x14ac:dyDescent="0.25">
      <c r="A28" s="190">
        <v>45026</v>
      </c>
      <c r="B28" s="197" t="s">
        <v>643</v>
      </c>
      <c r="C28" s="192" t="s">
        <v>45</v>
      </c>
      <c r="D28" s="192" t="s">
        <v>54</v>
      </c>
      <c r="E28" s="192" t="s">
        <v>217</v>
      </c>
      <c r="F28" s="193" t="s">
        <v>551</v>
      </c>
      <c r="G28" s="194">
        <v>11</v>
      </c>
      <c r="H28" s="310" t="s">
        <v>34</v>
      </c>
      <c r="I28" s="210">
        <v>2740</v>
      </c>
      <c r="J28" s="187" t="s">
        <v>409</v>
      </c>
    </row>
    <row r="29" spans="1:10" s="1" customFormat="1" ht="20.100000000000001" hidden="1" customHeight="1" x14ac:dyDescent="0.25">
      <c r="A29" s="190">
        <v>45056</v>
      </c>
      <c r="B29" s="197" t="s">
        <v>643</v>
      </c>
      <c r="C29" s="192" t="s">
        <v>45</v>
      </c>
      <c r="D29" s="192" t="s">
        <v>54</v>
      </c>
      <c r="E29" s="192" t="s">
        <v>217</v>
      </c>
      <c r="F29" s="193" t="s">
        <v>551</v>
      </c>
      <c r="G29" s="194">
        <v>11</v>
      </c>
      <c r="H29" s="310" t="s">
        <v>35</v>
      </c>
      <c r="I29" s="210">
        <v>2740</v>
      </c>
      <c r="J29" s="187" t="s">
        <v>409</v>
      </c>
    </row>
    <row r="30" spans="1:10" s="1" customFormat="1" ht="20.100000000000001" hidden="1" customHeight="1" x14ac:dyDescent="0.25">
      <c r="A30" s="190">
        <v>45087</v>
      </c>
      <c r="B30" s="197" t="s">
        <v>643</v>
      </c>
      <c r="C30" s="192" t="s">
        <v>45</v>
      </c>
      <c r="D30" s="192" t="s">
        <v>54</v>
      </c>
      <c r="E30" s="192" t="s">
        <v>217</v>
      </c>
      <c r="F30" s="193" t="s">
        <v>551</v>
      </c>
      <c r="G30" s="194">
        <v>11</v>
      </c>
      <c r="H30" s="310" t="s">
        <v>36</v>
      </c>
      <c r="I30" s="210">
        <v>2740</v>
      </c>
      <c r="J30" s="187" t="s">
        <v>409</v>
      </c>
    </row>
    <row r="31" spans="1:10" s="1" customFormat="1" ht="20.100000000000001" hidden="1" customHeight="1" x14ac:dyDescent="0.25">
      <c r="A31" s="190">
        <v>45117</v>
      </c>
      <c r="B31" s="197" t="s">
        <v>643</v>
      </c>
      <c r="C31" s="192" t="s">
        <v>45</v>
      </c>
      <c r="D31" s="192" t="s">
        <v>54</v>
      </c>
      <c r="E31" s="192" t="s">
        <v>217</v>
      </c>
      <c r="F31" s="193" t="s">
        <v>551</v>
      </c>
      <c r="G31" s="194">
        <v>11</v>
      </c>
      <c r="H31" s="310" t="s">
        <v>37</v>
      </c>
      <c r="I31" s="210">
        <v>2740</v>
      </c>
      <c r="J31" s="187" t="s">
        <v>409</v>
      </c>
    </row>
    <row r="32" spans="1:10" s="1" customFormat="1" ht="20.100000000000001" hidden="1" customHeight="1" x14ac:dyDescent="0.25">
      <c r="A32" s="190">
        <v>44967</v>
      </c>
      <c r="B32" s="197" t="s">
        <v>643</v>
      </c>
      <c r="C32" s="204" t="s">
        <v>49</v>
      </c>
      <c r="D32" s="204" t="s">
        <v>46</v>
      </c>
      <c r="E32" s="204" t="s">
        <v>47</v>
      </c>
      <c r="F32" s="205" t="s">
        <v>50</v>
      </c>
      <c r="G32" s="206">
        <v>12</v>
      </c>
      <c r="H32" s="311" t="s">
        <v>44</v>
      </c>
      <c r="I32" s="211">
        <v>1715</v>
      </c>
      <c r="J32" s="187" t="s">
        <v>409</v>
      </c>
    </row>
    <row r="33" spans="1:10" s="1" customFormat="1" ht="20.100000000000001" hidden="1" customHeight="1" x14ac:dyDescent="0.25">
      <c r="A33" s="190">
        <v>44995</v>
      </c>
      <c r="B33" s="197" t="s">
        <v>643</v>
      </c>
      <c r="C33" s="192" t="s">
        <v>49</v>
      </c>
      <c r="D33" s="192" t="s">
        <v>46</v>
      </c>
      <c r="E33" s="192" t="s">
        <v>47</v>
      </c>
      <c r="F33" s="193" t="s">
        <v>50</v>
      </c>
      <c r="G33" s="194">
        <v>12</v>
      </c>
      <c r="H33" s="310" t="s">
        <v>33</v>
      </c>
      <c r="I33" s="210">
        <v>1715</v>
      </c>
      <c r="J33" s="187" t="s">
        <v>409</v>
      </c>
    </row>
    <row r="34" spans="1:10" s="1" customFormat="1" ht="20.100000000000001" hidden="1" customHeight="1" x14ac:dyDescent="0.25">
      <c r="A34" s="190">
        <v>45026</v>
      </c>
      <c r="B34" s="197" t="s">
        <v>643</v>
      </c>
      <c r="C34" s="192" t="s">
        <v>49</v>
      </c>
      <c r="D34" s="192" t="s">
        <v>46</v>
      </c>
      <c r="E34" s="192" t="s">
        <v>47</v>
      </c>
      <c r="F34" s="193" t="s">
        <v>50</v>
      </c>
      <c r="G34" s="194">
        <v>12</v>
      </c>
      <c r="H34" s="310" t="s">
        <v>34</v>
      </c>
      <c r="I34" s="210">
        <v>1715</v>
      </c>
      <c r="J34" s="187" t="s">
        <v>409</v>
      </c>
    </row>
    <row r="35" spans="1:10" s="1" customFormat="1" ht="20.100000000000001" hidden="1" customHeight="1" x14ac:dyDescent="0.25">
      <c r="A35" s="190">
        <v>45056</v>
      </c>
      <c r="B35" s="197" t="s">
        <v>643</v>
      </c>
      <c r="C35" s="192" t="s">
        <v>49</v>
      </c>
      <c r="D35" s="192" t="s">
        <v>46</v>
      </c>
      <c r="E35" s="192" t="s">
        <v>47</v>
      </c>
      <c r="F35" s="193" t="s">
        <v>50</v>
      </c>
      <c r="G35" s="194">
        <v>12</v>
      </c>
      <c r="H35" s="310" t="s">
        <v>35</v>
      </c>
      <c r="I35" s="210">
        <v>1715</v>
      </c>
      <c r="J35" s="187" t="s">
        <v>409</v>
      </c>
    </row>
    <row r="36" spans="1:10" s="1" customFormat="1" ht="20.100000000000001" hidden="1" customHeight="1" x14ac:dyDescent="0.25">
      <c r="A36" s="190">
        <v>45087</v>
      </c>
      <c r="B36" s="197" t="s">
        <v>643</v>
      </c>
      <c r="C36" s="192" t="s">
        <v>49</v>
      </c>
      <c r="D36" s="192" t="s">
        <v>46</v>
      </c>
      <c r="E36" s="192" t="s">
        <v>47</v>
      </c>
      <c r="F36" s="193" t="s">
        <v>50</v>
      </c>
      <c r="G36" s="194">
        <v>12</v>
      </c>
      <c r="H36" s="310" t="s">
        <v>36</v>
      </c>
      <c r="I36" s="210">
        <v>1715</v>
      </c>
      <c r="J36" s="187" t="s">
        <v>409</v>
      </c>
    </row>
    <row r="37" spans="1:10" s="1" customFormat="1" ht="20.100000000000001" hidden="1" customHeight="1" x14ac:dyDescent="0.25">
      <c r="A37" s="190">
        <v>45117</v>
      </c>
      <c r="B37" s="197" t="s">
        <v>643</v>
      </c>
      <c r="C37" s="192" t="s">
        <v>49</v>
      </c>
      <c r="D37" s="192" t="s">
        <v>46</v>
      </c>
      <c r="E37" s="192" t="s">
        <v>47</v>
      </c>
      <c r="F37" s="193" t="s">
        <v>50</v>
      </c>
      <c r="G37" s="194">
        <v>12</v>
      </c>
      <c r="H37" s="310" t="s">
        <v>37</v>
      </c>
      <c r="I37" s="210">
        <v>1715</v>
      </c>
      <c r="J37" s="187" t="s">
        <v>409</v>
      </c>
    </row>
    <row r="38" spans="1:10" s="1" customFormat="1" ht="20.100000000000001" hidden="1" customHeight="1" x14ac:dyDescent="0.25">
      <c r="A38" s="190">
        <v>44967</v>
      </c>
      <c r="B38" s="197" t="s">
        <v>643</v>
      </c>
      <c r="C38" s="204" t="s">
        <v>49</v>
      </c>
      <c r="D38" s="204" t="s">
        <v>46</v>
      </c>
      <c r="E38" s="204" t="s">
        <v>51</v>
      </c>
      <c r="F38" s="205" t="s">
        <v>53</v>
      </c>
      <c r="G38" s="206">
        <v>12</v>
      </c>
      <c r="H38" s="311" t="s">
        <v>44</v>
      </c>
      <c r="I38" s="211">
        <v>3067</v>
      </c>
      <c r="J38" s="187" t="s">
        <v>409</v>
      </c>
    </row>
    <row r="39" spans="1:10" s="1" customFormat="1" ht="20.100000000000001" hidden="1" customHeight="1" x14ac:dyDescent="0.25">
      <c r="A39" s="190">
        <v>44995</v>
      </c>
      <c r="B39" s="197" t="s">
        <v>643</v>
      </c>
      <c r="C39" s="192" t="s">
        <v>49</v>
      </c>
      <c r="D39" s="192" t="s">
        <v>46</v>
      </c>
      <c r="E39" s="192" t="s">
        <v>51</v>
      </c>
      <c r="F39" s="193" t="s">
        <v>53</v>
      </c>
      <c r="G39" s="194">
        <v>12</v>
      </c>
      <c r="H39" s="310" t="s">
        <v>33</v>
      </c>
      <c r="I39" s="210">
        <v>3067</v>
      </c>
      <c r="J39" s="187" t="s">
        <v>409</v>
      </c>
    </row>
    <row r="40" spans="1:10" s="1" customFormat="1" ht="20.100000000000001" hidden="1" customHeight="1" x14ac:dyDescent="0.25">
      <c r="A40" s="190">
        <v>45026</v>
      </c>
      <c r="B40" s="197" t="s">
        <v>643</v>
      </c>
      <c r="C40" s="192" t="s">
        <v>49</v>
      </c>
      <c r="D40" s="192" t="s">
        <v>46</v>
      </c>
      <c r="E40" s="192" t="s">
        <v>51</v>
      </c>
      <c r="F40" s="193" t="s">
        <v>53</v>
      </c>
      <c r="G40" s="194">
        <v>12</v>
      </c>
      <c r="H40" s="310" t="s">
        <v>34</v>
      </c>
      <c r="I40" s="210">
        <v>3067</v>
      </c>
      <c r="J40" s="187" t="s">
        <v>409</v>
      </c>
    </row>
    <row r="41" spans="1:10" s="1" customFormat="1" ht="20.100000000000001" hidden="1" customHeight="1" x14ac:dyDescent="0.25">
      <c r="A41" s="190">
        <v>45056</v>
      </c>
      <c r="B41" s="197" t="s">
        <v>643</v>
      </c>
      <c r="C41" s="192" t="s">
        <v>49</v>
      </c>
      <c r="D41" s="192" t="s">
        <v>46</v>
      </c>
      <c r="E41" s="192" t="s">
        <v>51</v>
      </c>
      <c r="F41" s="193" t="s">
        <v>53</v>
      </c>
      <c r="G41" s="194">
        <v>12</v>
      </c>
      <c r="H41" s="310" t="s">
        <v>35</v>
      </c>
      <c r="I41" s="210">
        <v>3067</v>
      </c>
      <c r="J41" s="187" t="s">
        <v>409</v>
      </c>
    </row>
    <row r="42" spans="1:10" s="1" customFormat="1" ht="20.100000000000001" hidden="1" customHeight="1" x14ac:dyDescent="0.25">
      <c r="A42" s="190">
        <v>45087</v>
      </c>
      <c r="B42" s="197" t="s">
        <v>643</v>
      </c>
      <c r="C42" s="192" t="s">
        <v>49</v>
      </c>
      <c r="D42" s="192" t="s">
        <v>46</v>
      </c>
      <c r="E42" s="192" t="s">
        <v>51</v>
      </c>
      <c r="F42" s="193" t="s">
        <v>53</v>
      </c>
      <c r="G42" s="194">
        <v>12</v>
      </c>
      <c r="H42" s="310" t="s">
        <v>36</v>
      </c>
      <c r="I42" s="210">
        <v>3067</v>
      </c>
      <c r="J42" s="187" t="s">
        <v>409</v>
      </c>
    </row>
    <row r="43" spans="1:10" s="1" customFormat="1" ht="20.100000000000001" hidden="1" customHeight="1" x14ac:dyDescent="0.25">
      <c r="A43" s="190">
        <v>45117</v>
      </c>
      <c r="B43" s="197" t="s">
        <v>643</v>
      </c>
      <c r="C43" s="192" t="s">
        <v>49</v>
      </c>
      <c r="D43" s="192" t="s">
        <v>46</v>
      </c>
      <c r="E43" s="192" t="s">
        <v>51</v>
      </c>
      <c r="F43" s="193" t="s">
        <v>53</v>
      </c>
      <c r="G43" s="194">
        <v>12</v>
      </c>
      <c r="H43" s="310" t="s">
        <v>37</v>
      </c>
      <c r="I43" s="210">
        <v>3067</v>
      </c>
      <c r="J43" s="187" t="s">
        <v>409</v>
      </c>
    </row>
    <row r="44" spans="1:10" s="1" customFormat="1" ht="20.100000000000001" hidden="1" customHeight="1" x14ac:dyDescent="0.25">
      <c r="A44" s="190">
        <v>44967</v>
      </c>
      <c r="B44" s="197" t="s">
        <v>643</v>
      </c>
      <c r="C44" s="192" t="s">
        <v>49</v>
      </c>
      <c r="D44" s="192" t="s">
        <v>54</v>
      </c>
      <c r="E44" s="192" t="s">
        <v>56</v>
      </c>
      <c r="F44" s="203" t="s">
        <v>273</v>
      </c>
      <c r="G44" s="194">
        <v>12</v>
      </c>
      <c r="H44" s="311" t="s">
        <v>44</v>
      </c>
      <c r="I44" s="210">
        <v>5487</v>
      </c>
      <c r="J44" s="187" t="s">
        <v>409</v>
      </c>
    </row>
    <row r="45" spans="1:10" s="1" customFormat="1" ht="20.100000000000001" hidden="1" customHeight="1" x14ac:dyDescent="0.25">
      <c r="A45" s="190">
        <v>44995</v>
      </c>
      <c r="B45" s="197" t="s">
        <v>643</v>
      </c>
      <c r="C45" s="192" t="s">
        <v>49</v>
      </c>
      <c r="D45" s="192" t="s">
        <v>54</v>
      </c>
      <c r="E45" s="192" t="s">
        <v>56</v>
      </c>
      <c r="F45" s="203" t="s">
        <v>273</v>
      </c>
      <c r="G45" s="194">
        <v>12</v>
      </c>
      <c r="H45" s="310" t="s">
        <v>33</v>
      </c>
      <c r="I45" s="210">
        <v>5487</v>
      </c>
      <c r="J45" s="187" t="s">
        <v>409</v>
      </c>
    </row>
    <row r="46" spans="1:10" s="1" customFormat="1" ht="20.100000000000001" hidden="1" customHeight="1" x14ac:dyDescent="0.25">
      <c r="A46" s="190">
        <v>45026</v>
      </c>
      <c r="B46" s="197" t="s">
        <v>643</v>
      </c>
      <c r="C46" s="192" t="s">
        <v>49</v>
      </c>
      <c r="D46" s="192" t="s">
        <v>54</v>
      </c>
      <c r="E46" s="192" t="s">
        <v>56</v>
      </c>
      <c r="F46" s="203" t="s">
        <v>273</v>
      </c>
      <c r="G46" s="194">
        <v>12</v>
      </c>
      <c r="H46" s="310" t="s">
        <v>34</v>
      </c>
      <c r="I46" s="210">
        <v>5487</v>
      </c>
      <c r="J46" s="187" t="s">
        <v>409</v>
      </c>
    </row>
    <row r="47" spans="1:10" s="1" customFormat="1" ht="20.100000000000001" hidden="1" customHeight="1" x14ac:dyDescent="0.25">
      <c r="A47" s="190">
        <v>45056</v>
      </c>
      <c r="B47" s="197" t="s">
        <v>643</v>
      </c>
      <c r="C47" s="192" t="s">
        <v>49</v>
      </c>
      <c r="D47" s="192" t="s">
        <v>54</v>
      </c>
      <c r="E47" s="192" t="s">
        <v>56</v>
      </c>
      <c r="F47" s="203" t="s">
        <v>273</v>
      </c>
      <c r="G47" s="194">
        <v>12</v>
      </c>
      <c r="H47" s="310" t="s">
        <v>35</v>
      </c>
      <c r="I47" s="210">
        <v>5487</v>
      </c>
      <c r="J47" s="187" t="s">
        <v>409</v>
      </c>
    </row>
    <row r="48" spans="1:10" s="1" customFormat="1" ht="20.100000000000001" hidden="1" customHeight="1" x14ac:dyDescent="0.25">
      <c r="A48" s="190">
        <v>45087</v>
      </c>
      <c r="B48" s="197" t="s">
        <v>643</v>
      </c>
      <c r="C48" s="192" t="s">
        <v>49</v>
      </c>
      <c r="D48" s="192" t="s">
        <v>54</v>
      </c>
      <c r="E48" s="192" t="s">
        <v>56</v>
      </c>
      <c r="F48" s="203" t="s">
        <v>273</v>
      </c>
      <c r="G48" s="194">
        <v>12</v>
      </c>
      <c r="H48" s="310" t="s">
        <v>36</v>
      </c>
      <c r="I48" s="210">
        <v>5487</v>
      </c>
      <c r="J48" s="187" t="s">
        <v>409</v>
      </c>
    </row>
    <row r="49" spans="1:10" s="1" customFormat="1" ht="20.100000000000001" hidden="1" customHeight="1" x14ac:dyDescent="0.25">
      <c r="A49" s="190">
        <v>45117</v>
      </c>
      <c r="B49" s="197" t="s">
        <v>643</v>
      </c>
      <c r="C49" s="192" t="s">
        <v>49</v>
      </c>
      <c r="D49" s="192" t="s">
        <v>54</v>
      </c>
      <c r="E49" s="192" t="s">
        <v>56</v>
      </c>
      <c r="F49" s="203" t="s">
        <v>273</v>
      </c>
      <c r="G49" s="194">
        <v>12</v>
      </c>
      <c r="H49" s="310" t="s">
        <v>37</v>
      </c>
      <c r="I49" s="210">
        <v>5487</v>
      </c>
      <c r="J49" s="187" t="s">
        <v>409</v>
      </c>
    </row>
    <row r="50" spans="1:10" s="1" customFormat="1" ht="20.100000000000001" hidden="1" customHeight="1" x14ac:dyDescent="0.25">
      <c r="A50" s="190">
        <v>44967</v>
      </c>
      <c r="B50" s="197" t="s">
        <v>643</v>
      </c>
      <c r="C50" s="192" t="s">
        <v>49</v>
      </c>
      <c r="D50" s="192" t="s">
        <v>54</v>
      </c>
      <c r="E50" s="192" t="s">
        <v>217</v>
      </c>
      <c r="F50" s="203" t="s">
        <v>274</v>
      </c>
      <c r="G50" s="194">
        <v>1</v>
      </c>
      <c r="H50" s="311" t="s">
        <v>44</v>
      </c>
      <c r="I50" s="210">
        <v>16281.6</v>
      </c>
      <c r="J50" s="187" t="s">
        <v>409</v>
      </c>
    </row>
    <row r="51" spans="1:10" s="1" customFormat="1" ht="20.100000000000001" hidden="1" customHeight="1" x14ac:dyDescent="0.25">
      <c r="A51" s="190">
        <v>45056</v>
      </c>
      <c r="B51" s="197" t="s">
        <v>643</v>
      </c>
      <c r="C51" s="207" t="s">
        <v>59</v>
      </c>
      <c r="D51" s="192" t="s">
        <v>54</v>
      </c>
      <c r="E51" s="192" t="s">
        <v>58</v>
      </c>
      <c r="F51" s="208" t="s">
        <v>60</v>
      </c>
      <c r="G51" s="194">
        <v>1</v>
      </c>
      <c r="H51" s="310" t="s">
        <v>35</v>
      </c>
      <c r="I51" s="210">
        <v>26653.200000000001</v>
      </c>
      <c r="J51" s="195" t="s">
        <v>121</v>
      </c>
    </row>
    <row r="52" spans="1:10" s="1" customFormat="1" ht="20.100000000000001" hidden="1" customHeight="1" x14ac:dyDescent="0.25">
      <c r="A52" s="190">
        <v>45056</v>
      </c>
      <c r="B52" s="197" t="s">
        <v>643</v>
      </c>
      <c r="C52" s="207" t="s">
        <v>59</v>
      </c>
      <c r="D52" s="192" t="s">
        <v>54</v>
      </c>
      <c r="E52" s="192" t="s">
        <v>55</v>
      </c>
      <c r="F52" s="208" t="s">
        <v>61</v>
      </c>
      <c r="G52" s="194">
        <v>1</v>
      </c>
      <c r="H52" s="310" t="s">
        <v>35</v>
      </c>
      <c r="I52" s="210">
        <v>26653.200000000001</v>
      </c>
      <c r="J52" s="195" t="s">
        <v>121</v>
      </c>
    </row>
    <row r="53" spans="1:10" s="1" customFormat="1" ht="20.100000000000001" hidden="1" customHeight="1" x14ac:dyDescent="0.25">
      <c r="A53" s="190">
        <v>45148</v>
      </c>
      <c r="B53" s="197" t="s">
        <v>643</v>
      </c>
      <c r="C53" s="192" t="s">
        <v>45</v>
      </c>
      <c r="D53" s="192" t="s">
        <v>54</v>
      </c>
      <c r="E53" s="192" t="s">
        <v>55</v>
      </c>
      <c r="F53" s="193" t="s">
        <v>548</v>
      </c>
      <c r="G53" s="194">
        <v>11</v>
      </c>
      <c r="H53" s="311" t="s">
        <v>38</v>
      </c>
      <c r="I53" s="210">
        <v>890</v>
      </c>
      <c r="J53" s="187" t="s">
        <v>409</v>
      </c>
    </row>
    <row r="54" spans="1:10" s="1" customFormat="1" ht="20.100000000000001" hidden="1" customHeight="1" x14ac:dyDescent="0.25">
      <c r="A54" s="190">
        <v>45148</v>
      </c>
      <c r="B54" s="197" t="s">
        <v>643</v>
      </c>
      <c r="C54" s="192" t="s">
        <v>45</v>
      </c>
      <c r="D54" s="192" t="s">
        <v>54</v>
      </c>
      <c r="E54" s="192" t="s">
        <v>56</v>
      </c>
      <c r="F54" s="193" t="s">
        <v>549</v>
      </c>
      <c r="G54" s="194">
        <v>11</v>
      </c>
      <c r="H54" s="311" t="s">
        <v>38</v>
      </c>
      <c r="I54" s="210">
        <v>5490</v>
      </c>
      <c r="J54" s="187" t="s">
        <v>409</v>
      </c>
    </row>
    <row r="55" spans="1:10" s="1" customFormat="1" ht="20.100000000000001" hidden="1" customHeight="1" x14ac:dyDescent="0.25">
      <c r="A55" s="190">
        <v>45148</v>
      </c>
      <c r="B55" s="197" t="s">
        <v>643</v>
      </c>
      <c r="C55" s="192" t="s">
        <v>45</v>
      </c>
      <c r="D55" s="192" t="s">
        <v>54</v>
      </c>
      <c r="E55" s="192" t="s">
        <v>58</v>
      </c>
      <c r="F55" s="193" t="s">
        <v>550</v>
      </c>
      <c r="G55" s="194">
        <v>11</v>
      </c>
      <c r="H55" s="311" t="s">
        <v>38</v>
      </c>
      <c r="I55" s="210">
        <v>1360</v>
      </c>
      <c r="J55" s="187" t="s">
        <v>409</v>
      </c>
    </row>
    <row r="56" spans="1:10" s="1" customFormat="1" ht="20.100000000000001" hidden="1" customHeight="1" x14ac:dyDescent="0.25">
      <c r="A56" s="190">
        <v>45148</v>
      </c>
      <c r="B56" s="197" t="s">
        <v>643</v>
      </c>
      <c r="C56" s="192" t="s">
        <v>45</v>
      </c>
      <c r="D56" s="192" t="s">
        <v>54</v>
      </c>
      <c r="E56" s="192" t="s">
        <v>217</v>
      </c>
      <c r="F56" s="193" t="s">
        <v>551</v>
      </c>
      <c r="G56" s="194">
        <v>11</v>
      </c>
      <c r="H56" s="311" t="s">
        <v>38</v>
      </c>
      <c r="I56" s="210">
        <v>2740</v>
      </c>
      <c r="J56" s="187" t="s">
        <v>409</v>
      </c>
    </row>
    <row r="57" spans="1:10" s="1" customFormat="1" ht="20.100000000000001" hidden="1" customHeight="1" x14ac:dyDescent="0.25">
      <c r="A57" s="190">
        <v>45148</v>
      </c>
      <c r="B57" s="197" t="s">
        <v>643</v>
      </c>
      <c r="C57" s="192" t="s">
        <v>45</v>
      </c>
      <c r="D57" s="192" t="s">
        <v>46</v>
      </c>
      <c r="E57" s="192" t="s">
        <v>47</v>
      </c>
      <c r="F57" s="193" t="s">
        <v>48</v>
      </c>
      <c r="G57" s="194">
        <v>11</v>
      </c>
      <c r="H57" s="311" t="s">
        <v>38</v>
      </c>
      <c r="I57" s="210">
        <v>880</v>
      </c>
      <c r="J57" s="187" t="s">
        <v>409</v>
      </c>
    </row>
    <row r="58" spans="1:10" s="1" customFormat="1" ht="20.100000000000001" hidden="1" customHeight="1" x14ac:dyDescent="0.25">
      <c r="A58" s="190">
        <v>45148</v>
      </c>
      <c r="B58" s="197" t="s">
        <v>643</v>
      </c>
      <c r="C58" s="192" t="s">
        <v>45</v>
      </c>
      <c r="D58" s="192" t="s">
        <v>46</v>
      </c>
      <c r="E58" s="192" t="s">
        <v>51</v>
      </c>
      <c r="F58" s="193" t="s">
        <v>52</v>
      </c>
      <c r="G58" s="194">
        <v>11</v>
      </c>
      <c r="H58" s="311" t="s">
        <v>38</v>
      </c>
      <c r="I58" s="210">
        <v>1670</v>
      </c>
      <c r="J58" s="187" t="s">
        <v>409</v>
      </c>
    </row>
    <row r="59" spans="1:10" s="1" customFormat="1" ht="20.100000000000001" hidden="1" customHeight="1" x14ac:dyDescent="0.25">
      <c r="A59" s="190">
        <v>45148</v>
      </c>
      <c r="B59" s="197" t="s">
        <v>643</v>
      </c>
      <c r="C59" s="192" t="s">
        <v>49</v>
      </c>
      <c r="D59" s="192" t="s">
        <v>46</v>
      </c>
      <c r="E59" s="192" t="s">
        <v>47</v>
      </c>
      <c r="F59" s="193" t="s">
        <v>50</v>
      </c>
      <c r="G59" s="194">
        <v>12</v>
      </c>
      <c r="H59" s="311" t="s">
        <v>38</v>
      </c>
      <c r="I59" s="210">
        <v>1715</v>
      </c>
      <c r="J59" s="187" t="s">
        <v>409</v>
      </c>
    </row>
    <row r="60" spans="1:10" s="1" customFormat="1" ht="20.100000000000001" hidden="1" customHeight="1" x14ac:dyDescent="0.25">
      <c r="A60" s="190">
        <v>45148</v>
      </c>
      <c r="B60" s="197" t="s">
        <v>643</v>
      </c>
      <c r="C60" s="192" t="s">
        <v>49</v>
      </c>
      <c r="D60" s="192" t="s">
        <v>46</v>
      </c>
      <c r="E60" s="192" t="s">
        <v>51</v>
      </c>
      <c r="F60" s="193" t="s">
        <v>53</v>
      </c>
      <c r="G60" s="194">
        <v>12</v>
      </c>
      <c r="H60" s="311" t="s">
        <v>38</v>
      </c>
      <c r="I60" s="210">
        <v>3067</v>
      </c>
      <c r="J60" s="187" t="s">
        <v>409</v>
      </c>
    </row>
    <row r="61" spans="1:10" s="1" customFormat="1" ht="20.100000000000001" hidden="1" customHeight="1" x14ac:dyDescent="0.25">
      <c r="A61" s="190">
        <v>45148</v>
      </c>
      <c r="B61" s="197" t="s">
        <v>643</v>
      </c>
      <c r="C61" s="192" t="s">
        <v>49</v>
      </c>
      <c r="D61" s="192" t="s">
        <v>54</v>
      </c>
      <c r="E61" s="192" t="s">
        <v>56</v>
      </c>
      <c r="F61" s="203" t="s">
        <v>273</v>
      </c>
      <c r="G61" s="194">
        <v>12</v>
      </c>
      <c r="H61" s="311" t="s">
        <v>38</v>
      </c>
      <c r="I61" s="210">
        <v>5487</v>
      </c>
      <c r="J61" s="187" t="s">
        <v>409</v>
      </c>
    </row>
    <row r="62" spans="1:10" s="1" customFormat="1" ht="20.100000000000001" hidden="1" customHeight="1" x14ac:dyDescent="0.25">
      <c r="A62" s="318">
        <v>45179</v>
      </c>
      <c r="B62" s="319" t="s">
        <v>643</v>
      </c>
      <c r="C62" s="320" t="s">
        <v>45</v>
      </c>
      <c r="D62" s="320" t="s">
        <v>54</v>
      </c>
      <c r="E62" s="320" t="s">
        <v>55</v>
      </c>
      <c r="F62" s="321" t="s">
        <v>548</v>
      </c>
      <c r="G62" s="323">
        <v>11</v>
      </c>
      <c r="H62" s="311" t="s">
        <v>39</v>
      </c>
      <c r="I62" s="324">
        <v>890</v>
      </c>
      <c r="J62" s="325" t="s">
        <v>409</v>
      </c>
    </row>
    <row r="63" spans="1:10" s="1" customFormat="1" ht="20.25" hidden="1" customHeight="1" x14ac:dyDescent="0.25">
      <c r="A63" s="318">
        <v>45179</v>
      </c>
      <c r="B63" s="319" t="s">
        <v>643</v>
      </c>
      <c r="C63" s="320" t="s">
        <v>45</v>
      </c>
      <c r="D63" s="320" t="s">
        <v>54</v>
      </c>
      <c r="E63" s="320" t="s">
        <v>56</v>
      </c>
      <c r="F63" s="321" t="s">
        <v>549</v>
      </c>
      <c r="G63" s="323">
        <v>11</v>
      </c>
      <c r="H63" s="311" t="s">
        <v>39</v>
      </c>
      <c r="I63" s="324">
        <v>5490</v>
      </c>
      <c r="J63" s="325" t="s">
        <v>409</v>
      </c>
    </row>
    <row r="64" spans="1:10" s="1" customFormat="1" ht="20.100000000000001" hidden="1" customHeight="1" x14ac:dyDescent="0.25">
      <c r="A64" s="318">
        <v>45179</v>
      </c>
      <c r="B64" s="319" t="s">
        <v>643</v>
      </c>
      <c r="C64" s="320" t="s">
        <v>45</v>
      </c>
      <c r="D64" s="320" t="s">
        <v>54</v>
      </c>
      <c r="E64" s="320" t="s">
        <v>58</v>
      </c>
      <c r="F64" s="321" t="s">
        <v>550</v>
      </c>
      <c r="G64" s="323">
        <v>11</v>
      </c>
      <c r="H64" s="311" t="s">
        <v>39</v>
      </c>
      <c r="I64" s="324">
        <v>1360</v>
      </c>
      <c r="J64" s="325" t="s">
        <v>409</v>
      </c>
    </row>
    <row r="65" spans="1:10" s="1" customFormat="1" ht="20.100000000000001" hidden="1" customHeight="1" x14ac:dyDescent="0.25">
      <c r="A65" s="318">
        <v>45179</v>
      </c>
      <c r="B65" s="319" t="s">
        <v>643</v>
      </c>
      <c r="C65" s="320" t="s">
        <v>45</v>
      </c>
      <c r="D65" s="320" t="s">
        <v>54</v>
      </c>
      <c r="E65" s="320" t="s">
        <v>217</v>
      </c>
      <c r="F65" s="321" t="s">
        <v>551</v>
      </c>
      <c r="G65" s="323">
        <v>11</v>
      </c>
      <c r="H65" s="311" t="s">
        <v>39</v>
      </c>
      <c r="I65" s="324">
        <v>2740</v>
      </c>
      <c r="J65" s="325" t="s">
        <v>409</v>
      </c>
    </row>
    <row r="66" spans="1:10" s="1" customFormat="1" ht="20.100000000000001" hidden="1" customHeight="1" x14ac:dyDescent="0.25">
      <c r="A66" s="318">
        <v>45179</v>
      </c>
      <c r="B66" s="319" t="s">
        <v>643</v>
      </c>
      <c r="C66" s="320" t="s">
        <v>45</v>
      </c>
      <c r="D66" s="320" t="s">
        <v>46</v>
      </c>
      <c r="E66" s="320" t="s">
        <v>47</v>
      </c>
      <c r="F66" s="321" t="s">
        <v>48</v>
      </c>
      <c r="G66" s="323">
        <v>11</v>
      </c>
      <c r="H66" s="311" t="s">
        <v>39</v>
      </c>
      <c r="I66" s="324">
        <v>880</v>
      </c>
      <c r="J66" s="325" t="s">
        <v>409</v>
      </c>
    </row>
    <row r="67" spans="1:10" s="1" customFormat="1" ht="20.100000000000001" hidden="1" customHeight="1" x14ac:dyDescent="0.25">
      <c r="A67" s="318">
        <v>45179</v>
      </c>
      <c r="B67" s="319" t="s">
        <v>643</v>
      </c>
      <c r="C67" s="320" t="s">
        <v>45</v>
      </c>
      <c r="D67" s="320" t="s">
        <v>46</v>
      </c>
      <c r="E67" s="320" t="s">
        <v>51</v>
      </c>
      <c r="F67" s="321" t="s">
        <v>52</v>
      </c>
      <c r="G67" s="323">
        <v>11</v>
      </c>
      <c r="H67" s="311" t="s">
        <v>39</v>
      </c>
      <c r="I67" s="324">
        <v>1670</v>
      </c>
      <c r="J67" s="325" t="s">
        <v>409</v>
      </c>
    </row>
    <row r="68" spans="1:10" s="1" customFormat="1" ht="20.100000000000001" hidden="1" customHeight="1" x14ac:dyDescent="0.25">
      <c r="A68" s="318">
        <v>45179</v>
      </c>
      <c r="B68" s="319" t="s">
        <v>643</v>
      </c>
      <c r="C68" s="320" t="s">
        <v>49</v>
      </c>
      <c r="D68" s="320" t="s">
        <v>46</v>
      </c>
      <c r="E68" s="320" t="s">
        <v>47</v>
      </c>
      <c r="F68" s="321" t="s">
        <v>50</v>
      </c>
      <c r="G68" s="323">
        <v>12</v>
      </c>
      <c r="H68" s="311" t="s">
        <v>39</v>
      </c>
      <c r="I68" s="324">
        <v>1715</v>
      </c>
      <c r="J68" s="325" t="s">
        <v>409</v>
      </c>
    </row>
    <row r="69" spans="1:10" s="1" customFormat="1" ht="20.100000000000001" hidden="1" customHeight="1" x14ac:dyDescent="0.25">
      <c r="A69" s="318">
        <v>45179</v>
      </c>
      <c r="B69" s="319" t="s">
        <v>643</v>
      </c>
      <c r="C69" s="320" t="s">
        <v>49</v>
      </c>
      <c r="D69" s="320" t="s">
        <v>46</v>
      </c>
      <c r="E69" s="320" t="s">
        <v>51</v>
      </c>
      <c r="F69" s="321" t="s">
        <v>53</v>
      </c>
      <c r="G69" s="323">
        <v>12</v>
      </c>
      <c r="H69" s="311" t="s">
        <v>39</v>
      </c>
      <c r="I69" s="324">
        <v>3067</v>
      </c>
      <c r="J69" s="325" t="s">
        <v>409</v>
      </c>
    </row>
    <row r="70" spans="1:10" s="1" customFormat="1" ht="20.100000000000001" hidden="1" customHeight="1" x14ac:dyDescent="0.25">
      <c r="A70" s="318">
        <v>45179</v>
      </c>
      <c r="B70" s="319" t="s">
        <v>643</v>
      </c>
      <c r="C70" s="320" t="s">
        <v>49</v>
      </c>
      <c r="D70" s="320" t="s">
        <v>54</v>
      </c>
      <c r="E70" s="320" t="s">
        <v>56</v>
      </c>
      <c r="F70" s="322" t="s">
        <v>273</v>
      </c>
      <c r="G70" s="323">
        <v>12</v>
      </c>
      <c r="H70" s="311" t="s">
        <v>39</v>
      </c>
      <c r="I70" s="324">
        <v>5487</v>
      </c>
      <c r="J70" s="325" t="s">
        <v>409</v>
      </c>
    </row>
    <row r="71" spans="1:10" s="1" customFormat="1" ht="20.100000000000001" hidden="1" customHeight="1" x14ac:dyDescent="0.25">
      <c r="A71" s="318">
        <v>45209</v>
      </c>
      <c r="B71" s="319" t="s">
        <v>643</v>
      </c>
      <c r="C71" s="320" t="s">
        <v>45</v>
      </c>
      <c r="D71" s="320" t="s">
        <v>54</v>
      </c>
      <c r="E71" s="320" t="s">
        <v>55</v>
      </c>
      <c r="F71" s="321" t="s">
        <v>548</v>
      </c>
      <c r="G71" s="323">
        <v>11</v>
      </c>
      <c r="H71" s="311" t="s">
        <v>40</v>
      </c>
      <c r="I71" s="324">
        <v>890</v>
      </c>
      <c r="J71" s="325" t="s">
        <v>409</v>
      </c>
    </row>
    <row r="72" spans="1:10" s="1" customFormat="1" ht="20.100000000000001" hidden="1" customHeight="1" x14ac:dyDescent="0.25">
      <c r="A72" s="318">
        <v>45209</v>
      </c>
      <c r="B72" s="319" t="s">
        <v>643</v>
      </c>
      <c r="C72" s="320" t="s">
        <v>45</v>
      </c>
      <c r="D72" s="320" t="s">
        <v>54</v>
      </c>
      <c r="E72" s="320" t="s">
        <v>56</v>
      </c>
      <c r="F72" s="321" t="s">
        <v>549</v>
      </c>
      <c r="G72" s="323">
        <v>11</v>
      </c>
      <c r="H72" s="311" t="s">
        <v>40</v>
      </c>
      <c r="I72" s="324">
        <v>5490</v>
      </c>
      <c r="J72" s="325" t="s">
        <v>409</v>
      </c>
    </row>
    <row r="73" spans="1:10" s="1" customFormat="1" ht="20.100000000000001" hidden="1" customHeight="1" x14ac:dyDescent="0.25">
      <c r="A73" s="318">
        <v>45209</v>
      </c>
      <c r="B73" s="319" t="s">
        <v>643</v>
      </c>
      <c r="C73" s="320" t="s">
        <v>45</v>
      </c>
      <c r="D73" s="320" t="s">
        <v>54</v>
      </c>
      <c r="E73" s="320" t="s">
        <v>58</v>
      </c>
      <c r="F73" s="321" t="s">
        <v>550</v>
      </c>
      <c r="G73" s="323">
        <v>11</v>
      </c>
      <c r="H73" s="311" t="s">
        <v>40</v>
      </c>
      <c r="I73" s="324">
        <v>1360</v>
      </c>
      <c r="J73" s="325" t="s">
        <v>409</v>
      </c>
    </row>
    <row r="74" spans="1:10" s="1" customFormat="1" ht="20.100000000000001" hidden="1" customHeight="1" x14ac:dyDescent="0.25">
      <c r="A74" s="318">
        <v>45209</v>
      </c>
      <c r="B74" s="319" t="s">
        <v>643</v>
      </c>
      <c r="C74" s="320" t="s">
        <v>45</v>
      </c>
      <c r="D74" s="320" t="s">
        <v>54</v>
      </c>
      <c r="E74" s="320" t="s">
        <v>217</v>
      </c>
      <c r="F74" s="321" t="s">
        <v>551</v>
      </c>
      <c r="G74" s="323">
        <v>11</v>
      </c>
      <c r="H74" s="311" t="s">
        <v>40</v>
      </c>
      <c r="I74" s="324">
        <v>2740</v>
      </c>
      <c r="J74" s="325" t="s">
        <v>409</v>
      </c>
    </row>
    <row r="75" spans="1:10" s="1" customFormat="1" ht="20.100000000000001" hidden="1" customHeight="1" x14ac:dyDescent="0.25">
      <c r="A75" s="318">
        <v>45209</v>
      </c>
      <c r="B75" s="319" t="s">
        <v>643</v>
      </c>
      <c r="C75" s="320" t="s">
        <v>45</v>
      </c>
      <c r="D75" s="320" t="s">
        <v>46</v>
      </c>
      <c r="E75" s="320" t="s">
        <v>47</v>
      </c>
      <c r="F75" s="321" t="s">
        <v>48</v>
      </c>
      <c r="G75" s="323">
        <v>11</v>
      </c>
      <c r="H75" s="311" t="s">
        <v>40</v>
      </c>
      <c r="I75" s="324">
        <v>880</v>
      </c>
      <c r="J75" s="325" t="s">
        <v>409</v>
      </c>
    </row>
    <row r="76" spans="1:10" s="1" customFormat="1" ht="20.100000000000001" hidden="1" customHeight="1" x14ac:dyDescent="0.25">
      <c r="A76" s="318">
        <v>45209</v>
      </c>
      <c r="B76" s="319" t="s">
        <v>643</v>
      </c>
      <c r="C76" s="320" t="s">
        <v>45</v>
      </c>
      <c r="D76" s="320" t="s">
        <v>46</v>
      </c>
      <c r="E76" s="320" t="s">
        <v>51</v>
      </c>
      <c r="F76" s="321" t="s">
        <v>52</v>
      </c>
      <c r="G76" s="323">
        <v>11</v>
      </c>
      <c r="H76" s="311" t="s">
        <v>40</v>
      </c>
      <c r="I76" s="324">
        <v>1670</v>
      </c>
      <c r="J76" s="325" t="s">
        <v>409</v>
      </c>
    </row>
    <row r="77" spans="1:10" s="1" customFormat="1" ht="20.100000000000001" hidden="1" customHeight="1" x14ac:dyDescent="0.25">
      <c r="A77" s="318">
        <v>45209</v>
      </c>
      <c r="B77" s="319" t="s">
        <v>643</v>
      </c>
      <c r="C77" s="320" t="s">
        <v>49</v>
      </c>
      <c r="D77" s="320" t="s">
        <v>46</v>
      </c>
      <c r="E77" s="320" t="s">
        <v>47</v>
      </c>
      <c r="F77" s="321" t="s">
        <v>50</v>
      </c>
      <c r="G77" s="323">
        <v>12</v>
      </c>
      <c r="H77" s="311" t="s">
        <v>40</v>
      </c>
      <c r="I77" s="324">
        <v>1715</v>
      </c>
      <c r="J77" s="325" t="s">
        <v>409</v>
      </c>
    </row>
    <row r="78" spans="1:10" s="1" customFormat="1" ht="20.100000000000001" hidden="1" customHeight="1" x14ac:dyDescent="0.25">
      <c r="A78" s="318">
        <v>45209</v>
      </c>
      <c r="B78" s="319" t="s">
        <v>643</v>
      </c>
      <c r="C78" s="320" t="s">
        <v>49</v>
      </c>
      <c r="D78" s="320" t="s">
        <v>46</v>
      </c>
      <c r="E78" s="320" t="s">
        <v>51</v>
      </c>
      <c r="F78" s="321" t="s">
        <v>53</v>
      </c>
      <c r="G78" s="323">
        <v>12</v>
      </c>
      <c r="H78" s="311" t="s">
        <v>40</v>
      </c>
      <c r="I78" s="324">
        <v>3067</v>
      </c>
      <c r="J78" s="325" t="s">
        <v>409</v>
      </c>
    </row>
    <row r="79" spans="1:10" s="1" customFormat="1" ht="20.100000000000001" hidden="1" customHeight="1" x14ac:dyDescent="0.25">
      <c r="A79" s="318">
        <v>45209</v>
      </c>
      <c r="B79" s="319" t="s">
        <v>643</v>
      </c>
      <c r="C79" s="320" t="s">
        <v>49</v>
      </c>
      <c r="D79" s="320" t="s">
        <v>54</v>
      </c>
      <c r="E79" s="320" t="s">
        <v>56</v>
      </c>
      <c r="F79" s="322" t="s">
        <v>273</v>
      </c>
      <c r="G79" s="323">
        <v>12</v>
      </c>
      <c r="H79" s="311" t="s">
        <v>40</v>
      </c>
      <c r="I79" s="324">
        <v>5487</v>
      </c>
      <c r="J79" s="325" t="s">
        <v>409</v>
      </c>
    </row>
    <row r="80" spans="1:10" s="1" customFormat="1" ht="20.100000000000001" customHeight="1" x14ac:dyDescent="0.25">
      <c r="A80" s="318">
        <v>45240</v>
      </c>
      <c r="B80" s="319" t="s">
        <v>643</v>
      </c>
      <c r="C80" s="320" t="s">
        <v>45</v>
      </c>
      <c r="D80" s="320" t="s">
        <v>54</v>
      </c>
      <c r="E80" s="320" t="s">
        <v>55</v>
      </c>
      <c r="F80" s="321" t="s">
        <v>548</v>
      </c>
      <c r="G80" s="323">
        <v>11</v>
      </c>
      <c r="H80" s="311" t="s">
        <v>41</v>
      </c>
      <c r="I80" s="324">
        <v>890</v>
      </c>
      <c r="J80" s="325" t="s">
        <v>409</v>
      </c>
    </row>
    <row r="81" spans="1:10" s="1" customFormat="1" ht="20.100000000000001" customHeight="1" x14ac:dyDescent="0.25">
      <c r="A81" s="318">
        <v>45240</v>
      </c>
      <c r="B81" s="319" t="s">
        <v>643</v>
      </c>
      <c r="C81" s="320" t="s">
        <v>45</v>
      </c>
      <c r="D81" s="320" t="s">
        <v>54</v>
      </c>
      <c r="E81" s="320" t="s">
        <v>56</v>
      </c>
      <c r="F81" s="321" t="s">
        <v>549</v>
      </c>
      <c r="G81" s="323">
        <v>11</v>
      </c>
      <c r="H81" s="311" t="s">
        <v>41</v>
      </c>
      <c r="I81" s="324">
        <v>5490</v>
      </c>
      <c r="J81" s="325" t="s">
        <v>409</v>
      </c>
    </row>
    <row r="82" spans="1:10" s="1" customFormat="1" ht="20.100000000000001" customHeight="1" x14ac:dyDescent="0.25">
      <c r="A82" s="318">
        <v>45240</v>
      </c>
      <c r="B82" s="319" t="s">
        <v>643</v>
      </c>
      <c r="C82" s="320" t="s">
        <v>45</v>
      </c>
      <c r="D82" s="320" t="s">
        <v>54</v>
      </c>
      <c r="E82" s="320" t="s">
        <v>58</v>
      </c>
      <c r="F82" s="321" t="s">
        <v>550</v>
      </c>
      <c r="G82" s="323">
        <v>11</v>
      </c>
      <c r="H82" s="311" t="s">
        <v>41</v>
      </c>
      <c r="I82" s="324">
        <v>1360</v>
      </c>
      <c r="J82" s="325" t="s">
        <v>409</v>
      </c>
    </row>
    <row r="83" spans="1:10" s="1" customFormat="1" ht="20.100000000000001" customHeight="1" x14ac:dyDescent="0.25">
      <c r="A83" s="318">
        <v>45240</v>
      </c>
      <c r="B83" s="319" t="s">
        <v>643</v>
      </c>
      <c r="C83" s="320" t="s">
        <v>45</v>
      </c>
      <c r="D83" s="320" t="s">
        <v>54</v>
      </c>
      <c r="E83" s="320" t="s">
        <v>217</v>
      </c>
      <c r="F83" s="321" t="s">
        <v>551</v>
      </c>
      <c r="G83" s="323">
        <v>11</v>
      </c>
      <c r="H83" s="311" t="s">
        <v>41</v>
      </c>
      <c r="I83" s="324">
        <v>2740</v>
      </c>
      <c r="J83" s="325" t="s">
        <v>409</v>
      </c>
    </row>
    <row r="84" spans="1:10" s="1" customFormat="1" ht="20.100000000000001" customHeight="1" x14ac:dyDescent="0.25">
      <c r="A84" s="318">
        <v>45240</v>
      </c>
      <c r="B84" s="319" t="s">
        <v>643</v>
      </c>
      <c r="C84" s="320" t="s">
        <v>45</v>
      </c>
      <c r="D84" s="320" t="s">
        <v>46</v>
      </c>
      <c r="E84" s="320" t="s">
        <v>47</v>
      </c>
      <c r="F84" s="321" t="s">
        <v>48</v>
      </c>
      <c r="G84" s="323">
        <v>11</v>
      </c>
      <c r="H84" s="311" t="s">
        <v>41</v>
      </c>
      <c r="I84" s="324">
        <v>880</v>
      </c>
      <c r="J84" s="325" t="s">
        <v>409</v>
      </c>
    </row>
    <row r="85" spans="1:10" s="1" customFormat="1" ht="20.100000000000001" customHeight="1" x14ac:dyDescent="0.25">
      <c r="A85" s="318">
        <v>45240</v>
      </c>
      <c r="B85" s="319" t="s">
        <v>643</v>
      </c>
      <c r="C85" s="320" t="s">
        <v>45</v>
      </c>
      <c r="D85" s="320" t="s">
        <v>46</v>
      </c>
      <c r="E85" s="320" t="s">
        <v>51</v>
      </c>
      <c r="F85" s="321" t="s">
        <v>52</v>
      </c>
      <c r="G85" s="323">
        <v>11</v>
      </c>
      <c r="H85" s="311" t="s">
        <v>41</v>
      </c>
      <c r="I85" s="324">
        <v>1670</v>
      </c>
      <c r="J85" s="325" t="s">
        <v>409</v>
      </c>
    </row>
    <row r="86" spans="1:10" s="1" customFormat="1" ht="20.100000000000001" customHeight="1" x14ac:dyDescent="0.25">
      <c r="A86" s="318">
        <v>45240</v>
      </c>
      <c r="B86" s="319" t="s">
        <v>643</v>
      </c>
      <c r="C86" s="320" t="s">
        <v>49</v>
      </c>
      <c r="D86" s="320" t="s">
        <v>46</v>
      </c>
      <c r="E86" s="320" t="s">
        <v>47</v>
      </c>
      <c r="F86" s="321" t="s">
        <v>50</v>
      </c>
      <c r="G86" s="323">
        <v>12</v>
      </c>
      <c r="H86" s="311" t="s">
        <v>41</v>
      </c>
      <c r="I86" s="324">
        <v>1715</v>
      </c>
      <c r="J86" s="325" t="s">
        <v>409</v>
      </c>
    </row>
    <row r="87" spans="1:10" s="1" customFormat="1" ht="20.100000000000001" customHeight="1" x14ac:dyDescent="0.25">
      <c r="A87" s="318">
        <v>45240</v>
      </c>
      <c r="B87" s="319" t="s">
        <v>643</v>
      </c>
      <c r="C87" s="320" t="s">
        <v>49</v>
      </c>
      <c r="D87" s="320" t="s">
        <v>46</v>
      </c>
      <c r="E87" s="320" t="s">
        <v>51</v>
      </c>
      <c r="F87" s="321" t="s">
        <v>53</v>
      </c>
      <c r="G87" s="323">
        <v>12</v>
      </c>
      <c r="H87" s="311" t="s">
        <v>41</v>
      </c>
      <c r="I87" s="324">
        <v>3067</v>
      </c>
      <c r="J87" s="325" t="s">
        <v>409</v>
      </c>
    </row>
    <row r="88" spans="1:10" s="1" customFormat="1" ht="20.100000000000001" customHeight="1" x14ac:dyDescent="0.25">
      <c r="A88" s="318">
        <v>45240</v>
      </c>
      <c r="B88" s="319" t="s">
        <v>643</v>
      </c>
      <c r="C88" s="320" t="s">
        <v>49</v>
      </c>
      <c r="D88" s="320" t="s">
        <v>54</v>
      </c>
      <c r="E88" s="320" t="s">
        <v>56</v>
      </c>
      <c r="F88" s="322" t="s">
        <v>273</v>
      </c>
      <c r="G88" s="323">
        <v>12</v>
      </c>
      <c r="H88" s="311" t="s">
        <v>41</v>
      </c>
      <c r="I88" s="324">
        <v>5487</v>
      </c>
      <c r="J88" s="325" t="s">
        <v>409</v>
      </c>
    </row>
    <row r="89" spans="1:10" s="1" customFormat="1" ht="20.100000000000001" customHeight="1" x14ac:dyDescent="0.25">
      <c r="A89" s="190"/>
      <c r="B89" s="280"/>
      <c r="F89" s="197"/>
      <c r="G89" s="187"/>
      <c r="H89" s="310"/>
      <c r="I89" s="201"/>
      <c r="J89" s="187"/>
    </row>
    <row r="90" spans="1:10" s="1" customFormat="1" ht="20.100000000000001" customHeight="1" x14ac:dyDescent="0.25">
      <c r="A90" s="190"/>
      <c r="B90" s="280"/>
      <c r="F90" s="197"/>
      <c r="G90" s="187"/>
      <c r="H90" s="310"/>
      <c r="I90" s="201"/>
      <c r="J90" s="187"/>
    </row>
    <row r="91" spans="1:10" s="1" customFormat="1" ht="20.100000000000001" customHeight="1" x14ac:dyDescent="0.25">
      <c r="A91" s="190"/>
      <c r="B91" s="280"/>
      <c r="F91" s="197"/>
      <c r="G91" s="187"/>
      <c r="H91" s="310"/>
      <c r="I91" s="201"/>
      <c r="J91" s="187"/>
    </row>
    <row r="92" spans="1:10" s="1" customFormat="1" ht="20.100000000000001" customHeight="1" x14ac:dyDescent="0.25">
      <c r="A92" s="190"/>
      <c r="B92" s="280"/>
      <c r="F92" s="197"/>
      <c r="G92" s="187"/>
      <c r="H92" s="310"/>
      <c r="I92" s="201"/>
      <c r="J92" s="187"/>
    </row>
    <row r="93" spans="1:10" s="1" customFormat="1" ht="20.100000000000001" customHeight="1" x14ac:dyDescent="0.25">
      <c r="A93" s="190"/>
      <c r="B93" s="280"/>
      <c r="F93" s="197"/>
      <c r="G93" s="187"/>
      <c r="H93" s="310"/>
      <c r="I93" s="201"/>
      <c r="J93" s="187"/>
    </row>
    <row r="94" spans="1:10" s="1" customFormat="1" ht="20.100000000000001" customHeight="1" x14ac:dyDescent="0.25">
      <c r="A94" s="190"/>
      <c r="B94" s="280"/>
      <c r="F94" s="197"/>
      <c r="G94" s="187"/>
      <c r="H94" s="310"/>
      <c r="I94" s="201"/>
      <c r="J94" s="187"/>
    </row>
    <row r="95" spans="1:10" s="1" customFormat="1" ht="20.100000000000001" customHeight="1" x14ac:dyDescent="0.25">
      <c r="A95" s="190"/>
      <c r="B95" s="280"/>
      <c r="F95" s="197"/>
      <c r="G95" s="187"/>
      <c r="H95" s="310"/>
      <c r="I95" s="201"/>
      <c r="J95" s="187"/>
    </row>
    <row r="96" spans="1:10" s="1" customFormat="1" ht="20.100000000000001" customHeight="1" x14ac:dyDescent="0.25">
      <c r="A96" s="190"/>
      <c r="B96" s="280"/>
      <c r="F96" s="197"/>
      <c r="G96" s="187"/>
      <c r="H96" s="310"/>
      <c r="I96" s="201"/>
      <c r="J96" s="187"/>
    </row>
    <row r="97" spans="1:10" s="1" customFormat="1" ht="20.100000000000001" customHeight="1" x14ac:dyDescent="0.25">
      <c r="A97" s="190"/>
      <c r="B97" s="280"/>
      <c r="F97" s="197"/>
      <c r="G97" s="187"/>
      <c r="H97" s="310"/>
      <c r="I97" s="201"/>
      <c r="J97" s="187"/>
    </row>
    <row r="98" spans="1:10" s="1" customFormat="1" ht="20.100000000000001" customHeight="1" x14ac:dyDescent="0.25">
      <c r="A98" s="190"/>
      <c r="B98" s="280"/>
      <c r="F98" s="197"/>
      <c r="G98" s="187"/>
      <c r="H98" s="310"/>
      <c r="I98" s="201"/>
      <c r="J98" s="187"/>
    </row>
    <row r="99" spans="1:10" s="1" customFormat="1" ht="20.100000000000001" customHeight="1" x14ac:dyDescent="0.25">
      <c r="A99" s="190"/>
      <c r="B99" s="280"/>
      <c r="F99" s="197"/>
      <c r="G99" s="187"/>
      <c r="H99" s="310"/>
      <c r="I99" s="201"/>
      <c r="J99" s="187"/>
    </row>
    <row r="100" spans="1:10" s="1" customFormat="1" ht="20.100000000000001" customHeight="1" x14ac:dyDescent="0.25">
      <c r="A100" s="190"/>
      <c r="B100" s="280"/>
      <c r="F100" s="197"/>
      <c r="G100" s="187"/>
      <c r="H100" s="310"/>
      <c r="I100" s="201"/>
      <c r="J100" s="187"/>
    </row>
    <row r="101" spans="1:10" s="1" customFormat="1" ht="20.100000000000001" customHeight="1" x14ac:dyDescent="0.25">
      <c r="A101" s="190"/>
      <c r="B101" s="280"/>
      <c r="F101" s="197"/>
      <c r="G101" s="187"/>
      <c r="H101" s="310"/>
      <c r="I101" s="201"/>
      <c r="J101" s="187"/>
    </row>
    <row r="102" spans="1:10" s="1" customFormat="1" ht="20.100000000000001" customHeight="1" x14ac:dyDescent="0.25">
      <c r="A102" s="190"/>
      <c r="B102" s="280"/>
      <c r="F102" s="197"/>
      <c r="G102" s="187"/>
      <c r="H102" s="310"/>
      <c r="I102" s="201"/>
      <c r="J102" s="187"/>
    </row>
    <row r="103" spans="1:10" ht="20.100000000000001" customHeight="1" x14ac:dyDescent="0.25"/>
    <row r="104" spans="1:10" ht="20.100000000000001" customHeight="1" x14ac:dyDescent="0.25"/>
    <row r="105" spans="1:10" ht="20.100000000000001" customHeight="1" x14ac:dyDescent="0.25"/>
    <row r="106" spans="1:10" ht="20.100000000000001" customHeight="1" x14ac:dyDescent="0.25"/>
    <row r="107" spans="1:10" ht="20.100000000000001" customHeight="1" x14ac:dyDescent="0.25"/>
    <row r="108" spans="1:10" ht="20.100000000000001" customHeight="1" x14ac:dyDescent="0.25"/>
    <row r="109" spans="1:10" ht="20.100000000000001" customHeight="1" x14ac:dyDescent="0.25"/>
    <row r="110" spans="1:10" ht="20.100000000000001" customHeight="1" x14ac:dyDescent="0.25"/>
    <row r="111" spans="1:10" ht="20.100000000000001" customHeight="1" x14ac:dyDescent="0.25"/>
  </sheetData>
  <phoneticPr fontId="3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BA2EB-3651-46D7-8E7F-D3DB37A37BBA}">
  <sheetPr codeName="Hoja1">
    <tabColor rgb="FFFFFF00"/>
  </sheetPr>
  <dimension ref="A1:L60"/>
  <sheetViews>
    <sheetView topLeftCell="A2" zoomScale="90" zoomScaleNormal="90" workbookViewId="0">
      <selection activeCell="K10" sqref="K10"/>
    </sheetView>
  </sheetViews>
  <sheetFormatPr baseColWidth="10" defaultRowHeight="15.75" x14ac:dyDescent="0.25"/>
  <cols>
    <col min="1" max="1" width="41.125" bestFit="1" customWidth="1"/>
    <col min="2" max="2" width="20.5" style="187" bestFit="1" customWidth="1"/>
    <col min="3" max="9" width="6.875" style="187" bestFit="1" customWidth="1"/>
    <col min="10" max="11" width="6.875" bestFit="1" customWidth="1"/>
    <col min="12" max="12" width="13" bestFit="1" customWidth="1"/>
    <col min="13" max="13" width="12" bestFit="1" customWidth="1"/>
    <col min="14" max="14" width="14.875" bestFit="1" customWidth="1"/>
    <col min="15" max="15" width="12" bestFit="1" customWidth="1"/>
    <col min="16" max="16" width="19.625" bestFit="1" customWidth="1"/>
    <col min="17" max="17" width="16.75" bestFit="1" customWidth="1"/>
    <col min="18" max="18" width="5.875" bestFit="1" customWidth="1"/>
    <col min="19" max="19" width="7.5" bestFit="1" customWidth="1"/>
    <col min="20" max="20" width="11.625" bestFit="1" customWidth="1"/>
    <col min="21" max="21" width="17.625" bestFit="1" customWidth="1"/>
    <col min="22" max="22" width="14.625" bestFit="1" customWidth="1"/>
    <col min="23" max="27" width="4.875" bestFit="1" customWidth="1"/>
    <col min="28" max="28" width="8.875" bestFit="1" customWidth="1"/>
    <col min="29" max="29" width="17.625" bestFit="1" customWidth="1"/>
    <col min="30" max="30" width="14.625" bestFit="1" customWidth="1"/>
    <col min="31" max="31" width="4.25" bestFit="1" customWidth="1"/>
    <col min="32" max="32" width="4.625" bestFit="1" customWidth="1"/>
    <col min="33" max="33" width="4" bestFit="1" customWidth="1"/>
    <col min="34" max="34" width="3.875" bestFit="1" customWidth="1"/>
    <col min="35" max="35" width="4.625" bestFit="1" customWidth="1"/>
    <col min="36" max="36" width="7.5" bestFit="1" customWidth="1"/>
    <col min="37" max="37" width="17.625" bestFit="1" customWidth="1"/>
    <col min="38" max="38" width="14.625" bestFit="1" customWidth="1"/>
    <col min="39" max="43" width="4.875" bestFit="1" customWidth="1"/>
    <col min="44" max="44" width="7.5" bestFit="1" customWidth="1"/>
    <col min="45" max="45" width="17.625" bestFit="1" customWidth="1"/>
    <col min="46" max="46" width="10.25" bestFit="1" customWidth="1"/>
    <col min="47" max="47" width="4.25" bestFit="1" customWidth="1"/>
    <col min="48" max="48" width="4.625" bestFit="1" customWidth="1"/>
    <col min="49" max="49" width="4" bestFit="1" customWidth="1"/>
    <col min="50" max="50" width="3.875" bestFit="1" customWidth="1"/>
    <col min="51" max="51" width="4.625" bestFit="1" customWidth="1"/>
    <col min="52" max="52" width="7.5" bestFit="1" customWidth="1"/>
    <col min="53" max="53" width="13.125" bestFit="1" customWidth="1"/>
    <col min="54" max="54" width="11.25" bestFit="1" customWidth="1"/>
    <col min="55" max="60" width="4.875" bestFit="1" customWidth="1"/>
    <col min="61" max="61" width="7.5" bestFit="1" customWidth="1"/>
    <col min="62" max="62" width="14.125" bestFit="1" customWidth="1"/>
    <col min="63" max="63" width="9.75" bestFit="1" customWidth="1"/>
    <col min="64" max="68" width="4.875" bestFit="1" customWidth="1"/>
    <col min="69" max="69" width="7.5" bestFit="1" customWidth="1"/>
    <col min="70" max="70" width="12.625" bestFit="1" customWidth="1"/>
    <col min="71" max="71" width="10.75" bestFit="1" customWidth="1"/>
    <col min="72" max="77" width="4.875" bestFit="1" customWidth="1"/>
    <col min="78" max="78" width="7.5" bestFit="1" customWidth="1"/>
    <col min="79" max="79" width="13.625" bestFit="1" customWidth="1"/>
    <col min="80" max="81" width="15.375" bestFit="1" customWidth="1"/>
    <col min="82" max="82" width="11.625" bestFit="1" customWidth="1"/>
    <col min="83" max="83" width="17.625" bestFit="1" customWidth="1"/>
    <col min="84" max="84" width="41.125" bestFit="1" customWidth="1"/>
    <col min="85" max="85" width="22.25" bestFit="1" customWidth="1"/>
    <col min="86" max="86" width="39" bestFit="1" customWidth="1"/>
    <col min="87" max="87" width="14.125" bestFit="1" customWidth="1"/>
    <col min="88" max="88" width="9.25" bestFit="1" customWidth="1"/>
    <col min="89" max="89" width="11.625" bestFit="1" customWidth="1"/>
  </cols>
  <sheetData>
    <row r="1" spans="1:12" ht="31.5" customHeight="1" thickBot="1" x14ac:dyDescent="0.3">
      <c r="A1" s="242"/>
      <c r="B1" s="248"/>
      <c r="C1" s="245"/>
      <c r="D1" s="245"/>
      <c r="E1" s="245"/>
      <c r="F1" s="245"/>
      <c r="G1" s="245"/>
      <c r="H1" s="245"/>
      <c r="I1" s="246"/>
    </row>
    <row r="2" spans="1:12" ht="16.5" thickBot="1" x14ac:dyDescent="0.3">
      <c r="A2" s="268" t="s">
        <v>582</v>
      </c>
      <c r="B2" s="268" t="s">
        <v>558</v>
      </c>
      <c r="C2" s="269"/>
      <c r="D2" s="270"/>
      <c r="E2" s="270"/>
      <c r="F2" s="270"/>
      <c r="G2" s="270"/>
      <c r="H2" s="270"/>
      <c r="I2" s="270"/>
      <c r="J2" s="270"/>
      <c r="K2" s="270"/>
      <c r="L2" s="271"/>
    </row>
    <row r="3" spans="1:12" ht="16.5" thickBot="1" x14ac:dyDescent="0.3">
      <c r="A3" s="268" t="s">
        <v>567</v>
      </c>
      <c r="B3" s="313" t="s">
        <v>44</v>
      </c>
      <c r="C3" s="270" t="s">
        <v>33</v>
      </c>
      <c r="D3" s="270" t="s">
        <v>34</v>
      </c>
      <c r="E3" s="270" t="s">
        <v>35</v>
      </c>
      <c r="F3" s="270" t="s">
        <v>36</v>
      </c>
      <c r="G3" s="270" t="s">
        <v>37</v>
      </c>
      <c r="H3" s="270" t="s">
        <v>38</v>
      </c>
      <c r="I3" s="270" t="s">
        <v>39</v>
      </c>
      <c r="J3" s="270" t="s">
        <v>40</v>
      </c>
      <c r="K3" s="271" t="s">
        <v>41</v>
      </c>
      <c r="L3" s="286" t="s">
        <v>640</v>
      </c>
    </row>
    <row r="4" spans="1:12" ht="16.5" thickBot="1" x14ac:dyDescent="0.3">
      <c r="A4" s="284" t="s">
        <v>643</v>
      </c>
      <c r="B4" s="263">
        <v>26550.6</v>
      </c>
      <c r="C4" s="264">
        <v>24587.919999999998</v>
      </c>
      <c r="D4" s="264">
        <v>23299</v>
      </c>
      <c r="E4" s="264">
        <v>76605.399999999994</v>
      </c>
      <c r="F4" s="264">
        <v>23299</v>
      </c>
      <c r="G4" s="264">
        <v>23299</v>
      </c>
      <c r="H4" s="264">
        <v>23299</v>
      </c>
      <c r="I4" s="264">
        <v>23299</v>
      </c>
      <c r="J4" s="264">
        <v>23299</v>
      </c>
      <c r="K4" s="264">
        <v>23299</v>
      </c>
      <c r="L4" s="265">
        <v>290836.92000000004</v>
      </c>
    </row>
    <row r="5" spans="1:12" ht="16.5" thickBot="1" x14ac:dyDescent="0.3">
      <c r="A5" s="303" t="s">
        <v>217</v>
      </c>
      <c r="B5" s="314">
        <v>16281.6</v>
      </c>
      <c r="C5" s="315">
        <v>4028.92</v>
      </c>
      <c r="D5" s="315">
        <v>2740</v>
      </c>
      <c r="E5" s="315">
        <v>2740</v>
      </c>
      <c r="F5" s="315">
        <v>2740</v>
      </c>
      <c r="G5" s="315">
        <v>2740</v>
      </c>
      <c r="H5" s="315">
        <v>2740</v>
      </c>
      <c r="I5" s="315">
        <v>2740</v>
      </c>
      <c r="J5" s="315">
        <v>2740</v>
      </c>
      <c r="K5" s="315">
        <v>2740</v>
      </c>
      <c r="L5" s="316">
        <v>42230.52</v>
      </c>
    </row>
    <row r="6" spans="1:12" ht="16.5" thickBot="1" x14ac:dyDescent="0.3">
      <c r="A6" s="304" t="s">
        <v>49</v>
      </c>
      <c r="B6" s="314">
        <v>16281.6</v>
      </c>
      <c r="C6" s="315"/>
      <c r="D6" s="315"/>
      <c r="E6" s="315"/>
      <c r="F6" s="315"/>
      <c r="G6" s="315"/>
      <c r="H6" s="315"/>
      <c r="I6" s="315"/>
      <c r="J6" s="315"/>
      <c r="K6" s="315"/>
      <c r="L6" s="316">
        <v>16281.6</v>
      </c>
    </row>
    <row r="7" spans="1:12" ht="16.5" thickBot="1" x14ac:dyDescent="0.3">
      <c r="A7" s="305" t="s">
        <v>45</v>
      </c>
      <c r="B7" s="314"/>
      <c r="C7" s="315">
        <v>4028.92</v>
      </c>
      <c r="D7" s="315">
        <v>2740</v>
      </c>
      <c r="E7" s="315">
        <v>2740</v>
      </c>
      <c r="F7" s="315">
        <v>2740</v>
      </c>
      <c r="G7" s="315">
        <v>2740</v>
      </c>
      <c r="H7" s="315">
        <v>2740</v>
      </c>
      <c r="I7" s="315">
        <v>2740</v>
      </c>
      <c r="J7" s="315">
        <v>2740</v>
      </c>
      <c r="K7" s="315">
        <v>2740</v>
      </c>
      <c r="L7" s="316">
        <v>25948.92</v>
      </c>
    </row>
    <row r="8" spans="1:12" x14ac:dyDescent="0.25">
      <c r="A8" s="306" t="s">
        <v>56</v>
      </c>
      <c r="B8" s="273">
        <v>5487</v>
      </c>
      <c r="C8" s="261">
        <v>10977</v>
      </c>
      <c r="D8" s="261">
        <v>10977</v>
      </c>
      <c r="E8" s="261">
        <v>10977</v>
      </c>
      <c r="F8" s="261">
        <v>10977</v>
      </c>
      <c r="G8" s="261">
        <v>10977</v>
      </c>
      <c r="H8" s="261">
        <v>10977</v>
      </c>
      <c r="I8" s="261">
        <v>10977</v>
      </c>
      <c r="J8" s="261">
        <v>10977</v>
      </c>
      <c r="K8" s="261">
        <v>10977</v>
      </c>
      <c r="L8" s="262">
        <v>104280</v>
      </c>
    </row>
    <row r="9" spans="1:12" x14ac:dyDescent="0.25">
      <c r="A9" s="285" t="s">
        <v>49</v>
      </c>
      <c r="B9" s="266">
        <v>5487</v>
      </c>
      <c r="C9" s="339">
        <v>5487</v>
      </c>
      <c r="D9" s="339">
        <v>5487</v>
      </c>
      <c r="E9" s="339">
        <v>5487</v>
      </c>
      <c r="F9" s="339">
        <v>5487</v>
      </c>
      <c r="G9" s="339">
        <v>5487</v>
      </c>
      <c r="H9" s="339">
        <v>5487</v>
      </c>
      <c r="I9" s="339">
        <v>5487</v>
      </c>
      <c r="J9" s="339">
        <v>5487</v>
      </c>
      <c r="K9" s="339">
        <v>5487</v>
      </c>
      <c r="L9" s="258">
        <v>54870</v>
      </c>
    </row>
    <row r="10" spans="1:12" ht="16.5" thickBot="1" x14ac:dyDescent="0.3">
      <c r="A10" s="285" t="s">
        <v>45</v>
      </c>
      <c r="B10" s="266"/>
      <c r="C10" s="339">
        <v>5490</v>
      </c>
      <c r="D10" s="339">
        <v>5490</v>
      </c>
      <c r="E10" s="339">
        <v>5490</v>
      </c>
      <c r="F10" s="339">
        <v>5490</v>
      </c>
      <c r="G10" s="339">
        <v>5490</v>
      </c>
      <c r="H10" s="339">
        <v>5490</v>
      </c>
      <c r="I10" s="339">
        <v>5490</v>
      </c>
      <c r="J10" s="339">
        <v>5490</v>
      </c>
      <c r="K10" s="339">
        <v>5490</v>
      </c>
      <c r="L10" s="258">
        <v>49410</v>
      </c>
    </row>
    <row r="11" spans="1:12" ht="16.5" thickBot="1" x14ac:dyDescent="0.3">
      <c r="A11" s="307" t="s">
        <v>55</v>
      </c>
      <c r="B11" s="314"/>
      <c r="C11" s="315">
        <v>890</v>
      </c>
      <c r="D11" s="315">
        <v>890</v>
      </c>
      <c r="E11" s="315">
        <v>27543.200000000001</v>
      </c>
      <c r="F11" s="315">
        <v>890</v>
      </c>
      <c r="G11" s="315">
        <v>890</v>
      </c>
      <c r="H11" s="315">
        <v>890</v>
      </c>
      <c r="I11" s="315">
        <v>890</v>
      </c>
      <c r="J11" s="315">
        <v>890</v>
      </c>
      <c r="K11" s="315">
        <v>890</v>
      </c>
      <c r="L11" s="316">
        <v>34663.199999999997</v>
      </c>
    </row>
    <row r="12" spans="1:12" ht="16.5" thickBot="1" x14ac:dyDescent="0.3">
      <c r="A12" s="285" t="s">
        <v>59</v>
      </c>
      <c r="B12" s="314"/>
      <c r="C12" s="315"/>
      <c r="D12" s="315"/>
      <c r="E12" s="315">
        <v>26653.200000000001</v>
      </c>
      <c r="F12" s="315"/>
      <c r="G12" s="315"/>
      <c r="H12" s="315"/>
      <c r="I12" s="315"/>
      <c r="J12" s="315"/>
      <c r="K12" s="315"/>
      <c r="L12" s="316">
        <v>26653.200000000001</v>
      </c>
    </row>
    <row r="13" spans="1:12" ht="16.5" thickBot="1" x14ac:dyDescent="0.3">
      <c r="A13" s="285" t="s">
        <v>45</v>
      </c>
      <c r="B13" s="314"/>
      <c r="C13" s="315">
        <v>890</v>
      </c>
      <c r="D13" s="315">
        <v>890</v>
      </c>
      <c r="E13" s="315">
        <v>890</v>
      </c>
      <c r="F13" s="315">
        <v>890</v>
      </c>
      <c r="G13" s="315">
        <v>890</v>
      </c>
      <c r="H13" s="315">
        <v>890</v>
      </c>
      <c r="I13" s="315">
        <v>890</v>
      </c>
      <c r="J13" s="315">
        <v>890</v>
      </c>
      <c r="K13" s="315">
        <v>890</v>
      </c>
      <c r="L13" s="316">
        <v>8010</v>
      </c>
    </row>
    <row r="14" spans="1:12" x14ac:dyDescent="0.25">
      <c r="A14" s="307" t="s">
        <v>58</v>
      </c>
      <c r="B14" s="274"/>
      <c r="C14" s="275">
        <v>1360</v>
      </c>
      <c r="D14" s="275">
        <v>1360</v>
      </c>
      <c r="E14" s="275">
        <v>28013.200000000001</v>
      </c>
      <c r="F14" s="275">
        <v>1360</v>
      </c>
      <c r="G14" s="275">
        <v>1360</v>
      </c>
      <c r="H14" s="275">
        <v>1360</v>
      </c>
      <c r="I14" s="275">
        <v>1360</v>
      </c>
      <c r="J14" s="275">
        <v>1360</v>
      </c>
      <c r="K14" s="275">
        <v>1360</v>
      </c>
      <c r="L14" s="276">
        <v>38893.199999999997</v>
      </c>
    </row>
    <row r="15" spans="1:12" x14ac:dyDescent="0.25">
      <c r="A15" s="285" t="s">
        <v>59</v>
      </c>
      <c r="B15" s="266"/>
      <c r="C15" s="339"/>
      <c r="D15" s="339"/>
      <c r="E15" s="339">
        <v>26653.200000000001</v>
      </c>
      <c r="F15" s="339"/>
      <c r="G15" s="339"/>
      <c r="H15" s="339"/>
      <c r="I15" s="339"/>
      <c r="J15" s="339"/>
      <c r="K15" s="339"/>
      <c r="L15" s="258">
        <v>26653.200000000001</v>
      </c>
    </row>
    <row r="16" spans="1:12" ht="16.5" thickBot="1" x14ac:dyDescent="0.3">
      <c r="A16" s="285" t="s">
        <v>45</v>
      </c>
      <c r="B16" s="266"/>
      <c r="C16" s="339">
        <v>1360</v>
      </c>
      <c r="D16" s="339">
        <v>1360</v>
      </c>
      <c r="E16" s="339">
        <v>1360</v>
      </c>
      <c r="F16" s="339">
        <v>1360</v>
      </c>
      <c r="G16" s="339">
        <v>1360</v>
      </c>
      <c r="H16" s="339">
        <v>1360</v>
      </c>
      <c r="I16" s="339">
        <v>1360</v>
      </c>
      <c r="J16" s="339">
        <v>1360</v>
      </c>
      <c r="K16" s="339">
        <v>1360</v>
      </c>
      <c r="L16" s="258">
        <v>12240</v>
      </c>
    </row>
    <row r="17" spans="1:12" ht="16.5" thickBot="1" x14ac:dyDescent="0.3">
      <c r="A17" s="307" t="s">
        <v>51</v>
      </c>
      <c r="B17" s="314">
        <v>3067</v>
      </c>
      <c r="C17" s="315">
        <v>4737</v>
      </c>
      <c r="D17" s="315">
        <v>4737</v>
      </c>
      <c r="E17" s="315">
        <v>4737</v>
      </c>
      <c r="F17" s="315">
        <v>4737</v>
      </c>
      <c r="G17" s="315">
        <v>4737</v>
      </c>
      <c r="H17" s="315">
        <v>4737</v>
      </c>
      <c r="I17" s="315">
        <v>4737</v>
      </c>
      <c r="J17" s="315">
        <v>4737</v>
      </c>
      <c r="K17" s="315">
        <v>4737</v>
      </c>
      <c r="L17" s="316">
        <v>45700</v>
      </c>
    </row>
    <row r="18" spans="1:12" ht="16.5" thickBot="1" x14ac:dyDescent="0.3">
      <c r="A18" s="285" t="s">
        <v>49</v>
      </c>
      <c r="B18" s="314">
        <v>3067</v>
      </c>
      <c r="C18" s="315">
        <v>3067</v>
      </c>
      <c r="D18" s="315">
        <v>3067</v>
      </c>
      <c r="E18" s="315">
        <v>3067</v>
      </c>
      <c r="F18" s="315">
        <v>3067</v>
      </c>
      <c r="G18" s="315">
        <v>3067</v>
      </c>
      <c r="H18" s="315">
        <v>3067</v>
      </c>
      <c r="I18" s="315">
        <v>3067</v>
      </c>
      <c r="J18" s="315">
        <v>3067</v>
      </c>
      <c r="K18" s="315">
        <v>3067</v>
      </c>
      <c r="L18" s="316">
        <v>30670</v>
      </c>
    </row>
    <row r="19" spans="1:12" ht="16.5" thickBot="1" x14ac:dyDescent="0.3">
      <c r="A19" s="285" t="s">
        <v>45</v>
      </c>
      <c r="B19" s="314"/>
      <c r="C19" s="315">
        <v>1670</v>
      </c>
      <c r="D19" s="315">
        <v>1670</v>
      </c>
      <c r="E19" s="315">
        <v>1670</v>
      </c>
      <c r="F19" s="315">
        <v>1670</v>
      </c>
      <c r="G19" s="315">
        <v>1670</v>
      </c>
      <c r="H19" s="315">
        <v>1670</v>
      </c>
      <c r="I19" s="315">
        <v>1670</v>
      </c>
      <c r="J19" s="315">
        <v>1670</v>
      </c>
      <c r="K19" s="315">
        <v>1670</v>
      </c>
      <c r="L19" s="316">
        <v>15030</v>
      </c>
    </row>
    <row r="20" spans="1:12" x14ac:dyDescent="0.25">
      <c r="A20" s="307" t="s">
        <v>47</v>
      </c>
      <c r="B20" s="274">
        <v>1715</v>
      </c>
      <c r="C20" s="275">
        <v>2595</v>
      </c>
      <c r="D20" s="275">
        <v>2595</v>
      </c>
      <c r="E20" s="275">
        <v>2595</v>
      </c>
      <c r="F20" s="275">
        <v>2595</v>
      </c>
      <c r="G20" s="275">
        <v>2595</v>
      </c>
      <c r="H20" s="275">
        <v>2595</v>
      </c>
      <c r="I20" s="275">
        <v>2595</v>
      </c>
      <c r="J20" s="275">
        <v>2595</v>
      </c>
      <c r="K20" s="275">
        <v>2595</v>
      </c>
      <c r="L20" s="276">
        <v>25070</v>
      </c>
    </row>
    <row r="21" spans="1:12" x14ac:dyDescent="0.25">
      <c r="A21" s="285" t="s">
        <v>49</v>
      </c>
      <c r="B21" s="266">
        <v>1715</v>
      </c>
      <c r="C21" s="339">
        <v>1715</v>
      </c>
      <c r="D21" s="339">
        <v>1715</v>
      </c>
      <c r="E21" s="339">
        <v>1715</v>
      </c>
      <c r="F21" s="339">
        <v>1715</v>
      </c>
      <c r="G21" s="339">
        <v>1715</v>
      </c>
      <c r="H21" s="339">
        <v>1715</v>
      </c>
      <c r="I21" s="339">
        <v>1715</v>
      </c>
      <c r="J21" s="339">
        <v>1715</v>
      </c>
      <c r="K21" s="339">
        <v>1715</v>
      </c>
      <c r="L21" s="258">
        <v>17150</v>
      </c>
    </row>
    <row r="22" spans="1:12" ht="16.5" thickBot="1" x14ac:dyDescent="0.3">
      <c r="A22" s="285" t="s">
        <v>45</v>
      </c>
      <c r="B22" s="266"/>
      <c r="C22" s="339">
        <v>880</v>
      </c>
      <c r="D22" s="339">
        <v>880</v>
      </c>
      <c r="E22" s="339">
        <v>880</v>
      </c>
      <c r="F22" s="339">
        <v>880</v>
      </c>
      <c r="G22" s="339">
        <v>880</v>
      </c>
      <c r="H22" s="339">
        <v>880</v>
      </c>
      <c r="I22" s="339">
        <v>880</v>
      </c>
      <c r="J22" s="339">
        <v>880</v>
      </c>
      <c r="K22" s="339">
        <v>880</v>
      </c>
      <c r="L22" s="258">
        <v>7920</v>
      </c>
    </row>
    <row r="23" spans="1:12" ht="16.5" thickBot="1" x14ac:dyDescent="0.3">
      <c r="A23" s="252" t="s">
        <v>640</v>
      </c>
      <c r="B23" s="267">
        <v>26550.6</v>
      </c>
      <c r="C23" s="259">
        <v>24587.919999999998</v>
      </c>
      <c r="D23" s="259">
        <v>23299</v>
      </c>
      <c r="E23" s="259">
        <v>76605.399999999994</v>
      </c>
      <c r="F23" s="259">
        <v>23299</v>
      </c>
      <c r="G23" s="259">
        <v>23299</v>
      </c>
      <c r="H23" s="259">
        <v>23299</v>
      </c>
      <c r="I23" s="259">
        <v>23299</v>
      </c>
      <c r="J23" s="259">
        <v>23299</v>
      </c>
      <c r="K23" s="259">
        <v>23299</v>
      </c>
      <c r="L23" s="260">
        <v>290836.92000000004</v>
      </c>
    </row>
    <row r="24" spans="1:12" x14ac:dyDescent="0.25">
      <c r="B24"/>
      <c r="C24"/>
      <c r="D24"/>
      <c r="E24"/>
      <c r="F24"/>
      <c r="G24"/>
      <c r="H24"/>
      <c r="I24"/>
    </row>
    <row r="25" spans="1:12" x14ac:dyDescent="0.25">
      <c r="B25"/>
      <c r="C25"/>
      <c r="D25"/>
      <c r="E25"/>
      <c r="F25"/>
      <c r="G25"/>
      <c r="H25"/>
      <c r="I25"/>
    </row>
    <row r="26" spans="1:12" ht="16.5" thickBot="1" x14ac:dyDescent="0.3">
      <c r="B26"/>
      <c r="C26"/>
      <c r="D26"/>
      <c r="E26"/>
      <c r="F26"/>
      <c r="G26"/>
      <c r="H26"/>
      <c r="I26"/>
    </row>
    <row r="27" spans="1:12" ht="16.5" thickBot="1" x14ac:dyDescent="0.3">
      <c r="B27"/>
      <c r="C27"/>
      <c r="D27"/>
      <c r="E27"/>
      <c r="F27"/>
      <c r="G27"/>
      <c r="H27"/>
      <c r="I27"/>
    </row>
    <row r="28" spans="1:12" x14ac:dyDescent="0.25">
      <c r="B28"/>
      <c r="C28"/>
      <c r="D28"/>
      <c r="E28"/>
      <c r="F28"/>
      <c r="G28"/>
      <c r="H28"/>
      <c r="I28"/>
    </row>
    <row r="29" spans="1:12" x14ac:dyDescent="0.25">
      <c r="B29"/>
      <c r="C29"/>
      <c r="D29"/>
      <c r="E29"/>
      <c r="F29"/>
      <c r="G29"/>
      <c r="H29"/>
      <c r="I29"/>
    </row>
    <row r="30" spans="1:12" x14ac:dyDescent="0.25">
      <c r="B30"/>
      <c r="C30"/>
      <c r="D30"/>
      <c r="E30"/>
      <c r="F30"/>
      <c r="G30"/>
      <c r="H30"/>
      <c r="I30"/>
    </row>
    <row r="31" spans="1:12" x14ac:dyDescent="0.25">
      <c r="B31"/>
      <c r="C31"/>
      <c r="D31"/>
      <c r="E31"/>
      <c r="F31"/>
      <c r="G31"/>
      <c r="H31"/>
      <c r="I31"/>
    </row>
    <row r="32" spans="1:12" x14ac:dyDescent="0.25">
      <c r="B32"/>
      <c r="C32"/>
      <c r="D32"/>
      <c r="E32"/>
      <c r="F32"/>
      <c r="G32"/>
      <c r="H32"/>
      <c r="I32"/>
    </row>
    <row r="33" spans="1:12" x14ac:dyDescent="0.25">
      <c r="B33"/>
      <c r="C33"/>
      <c r="D33"/>
      <c r="E33"/>
      <c r="F33"/>
      <c r="G33"/>
      <c r="H33"/>
      <c r="I33"/>
    </row>
    <row r="34" spans="1:12" x14ac:dyDescent="0.25">
      <c r="B34"/>
      <c r="C34"/>
      <c r="D34"/>
      <c r="E34"/>
      <c r="F34"/>
      <c r="G34"/>
      <c r="H34"/>
      <c r="I34"/>
    </row>
    <row r="35" spans="1:12" x14ac:dyDescent="0.25">
      <c r="B35"/>
      <c r="C35"/>
      <c r="D35"/>
      <c r="E35"/>
      <c r="F35"/>
      <c r="G35"/>
      <c r="H35"/>
      <c r="I35"/>
    </row>
    <row r="36" spans="1:12" x14ac:dyDescent="0.25">
      <c r="B36"/>
      <c r="C36"/>
      <c r="D36"/>
      <c r="E36"/>
      <c r="F36"/>
      <c r="G36"/>
      <c r="H36"/>
      <c r="I36"/>
    </row>
    <row r="37" spans="1:12" x14ac:dyDescent="0.25">
      <c r="B37"/>
      <c r="C37"/>
      <c r="D37"/>
      <c r="E37"/>
      <c r="F37"/>
      <c r="G37"/>
      <c r="H37"/>
      <c r="I37"/>
    </row>
    <row r="38" spans="1:12" x14ac:dyDescent="0.25">
      <c r="B38"/>
      <c r="C38"/>
      <c r="D38"/>
      <c r="E38"/>
      <c r="F38"/>
      <c r="G38"/>
      <c r="H38"/>
      <c r="I38"/>
    </row>
    <row r="39" spans="1:12" ht="16.5" thickBot="1" x14ac:dyDescent="0.3">
      <c r="B39"/>
      <c r="C39"/>
      <c r="D39"/>
      <c r="E39"/>
      <c r="F39"/>
      <c r="G39"/>
      <c r="H39"/>
      <c r="I39"/>
    </row>
    <row r="40" spans="1:12" x14ac:dyDescent="0.25">
      <c r="A40" s="349" t="s">
        <v>583</v>
      </c>
      <c r="B40" s="350"/>
      <c r="C40" s="350"/>
      <c r="D40" s="350"/>
      <c r="E40" s="350"/>
      <c r="F40" s="350"/>
      <c r="G40" s="350"/>
      <c r="H40" s="350"/>
      <c r="I40" s="351"/>
    </row>
    <row r="41" spans="1:12" ht="16.5" thickBot="1" x14ac:dyDescent="0.3">
      <c r="A41" s="352"/>
      <c r="B41" s="353"/>
      <c r="C41" s="353"/>
      <c r="D41" s="353"/>
      <c r="E41" s="353"/>
      <c r="F41" s="353"/>
      <c r="G41" s="353"/>
      <c r="H41" s="353"/>
      <c r="I41" s="354"/>
    </row>
    <row r="42" spans="1:12" ht="16.5" thickBot="1" x14ac:dyDescent="0.3">
      <c r="A42" s="239" t="s">
        <v>582</v>
      </c>
      <c r="B42" s="240" t="s">
        <v>558</v>
      </c>
      <c r="C42" s="241"/>
      <c r="D42" s="237"/>
      <c r="E42" s="237"/>
      <c r="F42" s="237"/>
      <c r="G42" s="237"/>
      <c r="H42" s="237"/>
      <c r="I42" s="237"/>
      <c r="J42" s="237"/>
      <c r="K42" s="237"/>
      <c r="L42" s="238"/>
    </row>
    <row r="43" spans="1:12" ht="16.5" thickBot="1" x14ac:dyDescent="0.3">
      <c r="A43" s="239" t="s">
        <v>567</v>
      </c>
      <c r="B43" s="241" t="s">
        <v>44</v>
      </c>
      <c r="C43" s="237" t="s">
        <v>33</v>
      </c>
      <c r="D43" s="237" t="s">
        <v>34</v>
      </c>
      <c r="E43" s="237" t="s">
        <v>35</v>
      </c>
      <c r="F43" s="237" t="s">
        <v>36</v>
      </c>
      <c r="G43" s="237" t="s">
        <v>37</v>
      </c>
      <c r="H43" s="237" t="s">
        <v>38</v>
      </c>
      <c r="I43" s="237" t="s">
        <v>39</v>
      </c>
      <c r="J43" s="237" t="s">
        <v>40</v>
      </c>
      <c r="K43" s="238" t="s">
        <v>41</v>
      </c>
      <c r="L43" s="243" t="s">
        <v>641</v>
      </c>
    </row>
    <row r="44" spans="1:12" ht="16.5" thickBot="1" x14ac:dyDescent="0.3">
      <c r="A44" s="284" t="s">
        <v>643</v>
      </c>
      <c r="B44" s="247">
        <v>26550.6</v>
      </c>
      <c r="C44" s="338">
        <v>24587.919999999998</v>
      </c>
      <c r="D44" s="338">
        <v>23299</v>
      </c>
      <c r="E44" s="338">
        <v>76605.399999999994</v>
      </c>
      <c r="F44" s="338">
        <v>23299</v>
      </c>
      <c r="G44" s="338">
        <v>23299</v>
      </c>
      <c r="H44" s="338">
        <v>23299</v>
      </c>
      <c r="I44" s="338">
        <v>23299</v>
      </c>
      <c r="J44" s="338">
        <v>23299</v>
      </c>
      <c r="K44" s="338">
        <v>23299</v>
      </c>
      <c r="L44" s="244">
        <v>290836.92</v>
      </c>
    </row>
    <row r="45" spans="1:12" ht="16.5" thickBot="1" x14ac:dyDescent="0.3">
      <c r="A45" s="303" t="s">
        <v>59</v>
      </c>
      <c r="B45" s="249"/>
      <c r="C45" s="250"/>
      <c r="D45" s="250"/>
      <c r="E45" s="250">
        <v>53306.400000000001</v>
      </c>
      <c r="F45" s="250"/>
      <c r="G45" s="250"/>
      <c r="H45" s="250"/>
      <c r="I45" s="250"/>
      <c r="J45" s="250"/>
      <c r="K45" s="250"/>
      <c r="L45" s="251">
        <v>53306.400000000001</v>
      </c>
    </row>
    <row r="46" spans="1:12" x14ac:dyDescent="0.25">
      <c r="A46" s="285" t="s">
        <v>55</v>
      </c>
      <c r="B46" s="247"/>
      <c r="C46" s="338"/>
      <c r="D46" s="338"/>
      <c r="E46" s="338">
        <v>26653.200000000001</v>
      </c>
      <c r="F46" s="338"/>
      <c r="G46" s="338"/>
      <c r="H46" s="338"/>
      <c r="I46" s="338"/>
      <c r="J46" s="338"/>
      <c r="K46" s="338"/>
      <c r="L46" s="244">
        <v>26653.200000000001</v>
      </c>
    </row>
    <row r="47" spans="1:12" x14ac:dyDescent="0.25">
      <c r="A47" s="285" t="s">
        <v>58</v>
      </c>
      <c r="B47" s="247"/>
      <c r="C47" s="338"/>
      <c r="D47" s="338"/>
      <c r="E47" s="338">
        <v>26653.200000000001</v>
      </c>
      <c r="F47" s="338"/>
      <c r="G47" s="338"/>
      <c r="H47" s="338"/>
      <c r="I47" s="338"/>
      <c r="J47" s="338"/>
      <c r="K47" s="338"/>
      <c r="L47" s="244">
        <v>26653.200000000001</v>
      </c>
    </row>
    <row r="48" spans="1:12" ht="16.5" thickBot="1" x14ac:dyDescent="0.3">
      <c r="A48" s="272" t="s">
        <v>49</v>
      </c>
      <c r="B48" s="248">
        <v>26550.6</v>
      </c>
      <c r="C48" s="245">
        <v>10269</v>
      </c>
      <c r="D48" s="245">
        <v>10269</v>
      </c>
      <c r="E48" s="245">
        <v>10269</v>
      </c>
      <c r="F48" s="245">
        <v>10269</v>
      </c>
      <c r="G48" s="245">
        <v>10269</v>
      </c>
      <c r="H48" s="245">
        <v>10269</v>
      </c>
      <c r="I48" s="245">
        <v>10269</v>
      </c>
      <c r="J48" s="245">
        <v>10269</v>
      </c>
      <c r="K48" s="245">
        <v>10269</v>
      </c>
      <c r="L48" s="246">
        <v>118971.6</v>
      </c>
    </row>
    <row r="49" spans="1:12" x14ac:dyDescent="0.25">
      <c r="A49" s="285" t="s">
        <v>217</v>
      </c>
      <c r="B49" s="247">
        <v>16281.6</v>
      </c>
      <c r="C49" s="338"/>
      <c r="D49" s="338"/>
      <c r="E49" s="338"/>
      <c r="F49" s="338"/>
      <c r="G49" s="338"/>
      <c r="H49" s="338"/>
      <c r="I49" s="338"/>
      <c r="J49" s="338"/>
      <c r="K49" s="338"/>
      <c r="L49" s="244">
        <v>16281.6</v>
      </c>
    </row>
    <row r="50" spans="1:12" x14ac:dyDescent="0.25">
      <c r="A50" s="285" t="s">
        <v>56</v>
      </c>
      <c r="B50" s="247">
        <v>5487</v>
      </c>
      <c r="C50" s="338">
        <v>5487</v>
      </c>
      <c r="D50" s="338">
        <v>5487</v>
      </c>
      <c r="E50" s="338">
        <v>5487</v>
      </c>
      <c r="F50" s="338">
        <v>5487</v>
      </c>
      <c r="G50" s="338">
        <v>5487</v>
      </c>
      <c r="H50" s="338">
        <v>5487</v>
      </c>
      <c r="I50" s="338">
        <v>5487</v>
      </c>
      <c r="J50" s="338">
        <v>5487</v>
      </c>
      <c r="K50" s="338">
        <v>5487</v>
      </c>
      <c r="L50" s="244">
        <v>54870</v>
      </c>
    </row>
    <row r="51" spans="1:12" x14ac:dyDescent="0.25">
      <c r="A51" s="285" t="s">
        <v>51</v>
      </c>
      <c r="B51" s="247">
        <v>3067</v>
      </c>
      <c r="C51" s="338">
        <v>3067</v>
      </c>
      <c r="D51" s="338">
        <v>3067</v>
      </c>
      <c r="E51" s="338">
        <v>3067</v>
      </c>
      <c r="F51" s="338">
        <v>3067</v>
      </c>
      <c r="G51" s="338">
        <v>3067</v>
      </c>
      <c r="H51" s="338">
        <v>3067</v>
      </c>
      <c r="I51" s="338">
        <v>3067</v>
      </c>
      <c r="J51" s="338">
        <v>3067</v>
      </c>
      <c r="K51" s="338">
        <v>3067</v>
      </c>
      <c r="L51" s="244">
        <v>30670</v>
      </c>
    </row>
    <row r="52" spans="1:12" x14ac:dyDescent="0.25">
      <c r="A52" s="285" t="s">
        <v>47</v>
      </c>
      <c r="B52" s="247">
        <v>1715</v>
      </c>
      <c r="C52" s="338">
        <v>1715</v>
      </c>
      <c r="D52" s="338">
        <v>1715</v>
      </c>
      <c r="E52" s="338">
        <v>1715</v>
      </c>
      <c r="F52" s="338">
        <v>1715</v>
      </c>
      <c r="G52" s="338">
        <v>1715</v>
      </c>
      <c r="H52" s="338">
        <v>1715</v>
      </c>
      <c r="I52" s="338">
        <v>1715</v>
      </c>
      <c r="J52" s="338">
        <v>1715</v>
      </c>
      <c r="K52" s="338">
        <v>1715</v>
      </c>
      <c r="L52" s="244">
        <v>17150</v>
      </c>
    </row>
    <row r="53" spans="1:12" ht="16.5" thickBot="1" x14ac:dyDescent="0.3">
      <c r="A53" s="272" t="s">
        <v>45</v>
      </c>
      <c r="B53" s="248"/>
      <c r="C53" s="245">
        <v>14318.92</v>
      </c>
      <c r="D53" s="245">
        <v>13030</v>
      </c>
      <c r="E53" s="245">
        <v>13030</v>
      </c>
      <c r="F53" s="245">
        <v>13030</v>
      </c>
      <c r="G53" s="245">
        <v>13030</v>
      </c>
      <c r="H53" s="245">
        <v>13030</v>
      </c>
      <c r="I53" s="245">
        <v>13030</v>
      </c>
      <c r="J53" s="245">
        <v>13030</v>
      </c>
      <c r="K53" s="245">
        <v>13030</v>
      </c>
      <c r="L53" s="246">
        <v>118558.92</v>
      </c>
    </row>
    <row r="54" spans="1:12" x14ac:dyDescent="0.25">
      <c r="A54" s="285" t="s">
        <v>217</v>
      </c>
      <c r="B54" s="247"/>
      <c r="C54" s="338">
        <v>4028.92</v>
      </c>
      <c r="D54" s="338">
        <v>2740</v>
      </c>
      <c r="E54" s="338">
        <v>2740</v>
      </c>
      <c r="F54" s="338">
        <v>2740</v>
      </c>
      <c r="G54" s="338">
        <v>2740</v>
      </c>
      <c r="H54" s="338">
        <v>2740</v>
      </c>
      <c r="I54" s="338">
        <v>2740</v>
      </c>
      <c r="J54" s="338">
        <v>2740</v>
      </c>
      <c r="K54" s="338">
        <v>2740</v>
      </c>
      <c r="L54" s="244">
        <v>25948.92</v>
      </c>
    </row>
    <row r="55" spans="1:12" x14ac:dyDescent="0.25">
      <c r="A55" s="285" t="s">
        <v>56</v>
      </c>
      <c r="B55" s="247"/>
      <c r="C55" s="338">
        <v>5490</v>
      </c>
      <c r="D55" s="338">
        <v>5490</v>
      </c>
      <c r="E55" s="338">
        <v>5490</v>
      </c>
      <c r="F55" s="338">
        <v>5490</v>
      </c>
      <c r="G55" s="338">
        <v>5490</v>
      </c>
      <c r="H55" s="338">
        <v>5490</v>
      </c>
      <c r="I55" s="338">
        <v>5490</v>
      </c>
      <c r="J55" s="338">
        <v>5490</v>
      </c>
      <c r="K55" s="338">
        <v>5490</v>
      </c>
      <c r="L55" s="244">
        <v>49410</v>
      </c>
    </row>
    <row r="56" spans="1:12" x14ac:dyDescent="0.25">
      <c r="A56" s="285" t="s">
        <v>55</v>
      </c>
      <c r="B56" s="247"/>
      <c r="C56" s="338">
        <v>890</v>
      </c>
      <c r="D56" s="338">
        <v>890</v>
      </c>
      <c r="E56" s="338">
        <v>890</v>
      </c>
      <c r="F56" s="338">
        <v>890</v>
      </c>
      <c r="G56" s="338">
        <v>890</v>
      </c>
      <c r="H56" s="338">
        <v>890</v>
      </c>
      <c r="I56" s="338">
        <v>890</v>
      </c>
      <c r="J56" s="338">
        <v>890</v>
      </c>
      <c r="K56" s="338">
        <v>890</v>
      </c>
      <c r="L56" s="244">
        <v>8010</v>
      </c>
    </row>
    <row r="57" spans="1:12" x14ac:dyDescent="0.25">
      <c r="A57" s="285" t="s">
        <v>58</v>
      </c>
      <c r="B57" s="247"/>
      <c r="C57" s="338">
        <v>1360</v>
      </c>
      <c r="D57" s="338">
        <v>1360</v>
      </c>
      <c r="E57" s="338">
        <v>1360</v>
      </c>
      <c r="F57" s="338">
        <v>1360</v>
      </c>
      <c r="G57" s="338">
        <v>1360</v>
      </c>
      <c r="H57" s="338">
        <v>1360</v>
      </c>
      <c r="I57" s="338">
        <v>1360</v>
      </c>
      <c r="J57" s="338">
        <v>1360</v>
      </c>
      <c r="K57" s="338">
        <v>1360</v>
      </c>
      <c r="L57" s="244">
        <v>12240</v>
      </c>
    </row>
    <row r="58" spans="1:12" x14ac:dyDescent="0.25">
      <c r="A58" s="285" t="s">
        <v>51</v>
      </c>
      <c r="B58" s="247"/>
      <c r="C58" s="338">
        <v>1670</v>
      </c>
      <c r="D58" s="338">
        <v>1670</v>
      </c>
      <c r="E58" s="338">
        <v>1670</v>
      </c>
      <c r="F58" s="338">
        <v>1670</v>
      </c>
      <c r="G58" s="338">
        <v>1670</v>
      </c>
      <c r="H58" s="338">
        <v>1670</v>
      </c>
      <c r="I58" s="338">
        <v>1670</v>
      </c>
      <c r="J58" s="338">
        <v>1670</v>
      </c>
      <c r="K58" s="338">
        <v>1670</v>
      </c>
      <c r="L58" s="244">
        <v>15030</v>
      </c>
    </row>
    <row r="59" spans="1:12" x14ac:dyDescent="0.25">
      <c r="A59" s="285" t="s">
        <v>47</v>
      </c>
      <c r="B59" s="247"/>
      <c r="C59" s="338">
        <v>880</v>
      </c>
      <c r="D59" s="338">
        <v>880</v>
      </c>
      <c r="E59" s="338">
        <v>880</v>
      </c>
      <c r="F59" s="338">
        <v>880</v>
      </c>
      <c r="G59" s="338">
        <v>880</v>
      </c>
      <c r="H59" s="338">
        <v>880</v>
      </c>
      <c r="I59" s="338">
        <v>880</v>
      </c>
      <c r="J59" s="338">
        <v>880</v>
      </c>
      <c r="K59" s="338">
        <v>880</v>
      </c>
      <c r="L59" s="244">
        <v>7920</v>
      </c>
    </row>
    <row r="60" spans="1:12" ht="16.5" thickBot="1" x14ac:dyDescent="0.3">
      <c r="A60" s="242" t="s">
        <v>641</v>
      </c>
      <c r="B60" s="248">
        <v>26550.6</v>
      </c>
      <c r="C60" s="245">
        <v>24587.919999999998</v>
      </c>
      <c r="D60" s="245">
        <v>23299</v>
      </c>
      <c r="E60" s="245">
        <v>76605.399999999994</v>
      </c>
      <c r="F60" s="245">
        <v>23299</v>
      </c>
      <c r="G60" s="245">
        <v>23299</v>
      </c>
      <c r="H60" s="245">
        <v>23299</v>
      </c>
      <c r="I60" s="245">
        <v>23299</v>
      </c>
      <c r="J60" s="245">
        <v>23299</v>
      </c>
      <c r="K60" s="245">
        <v>23299</v>
      </c>
      <c r="L60" s="246">
        <v>290836.92</v>
      </c>
    </row>
  </sheetData>
  <mergeCells count="1">
    <mergeCell ref="A40:I41"/>
  </mergeCells>
  <pageMargins left="0.7" right="0.7" top="0.75" bottom="0.75" header="0.3" footer="0.3"/>
  <pageSetup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>
    <tabColor rgb="FFFFFF00"/>
  </sheetPr>
  <dimension ref="A1:R34"/>
  <sheetViews>
    <sheetView topLeftCell="B1" zoomScale="70" zoomScaleNormal="70" workbookViewId="0">
      <selection activeCell="W14" sqref="W14"/>
    </sheetView>
  </sheetViews>
  <sheetFormatPr baseColWidth="10" defaultColWidth="8" defaultRowHeight="15" x14ac:dyDescent="0.25"/>
  <cols>
    <col min="1" max="1" width="23.5" style="5" customWidth="1"/>
    <col min="2" max="2" width="14.625" style="5" customWidth="1"/>
    <col min="3" max="3" width="40.625" style="5" customWidth="1"/>
    <col min="4" max="4" width="20.625" style="7" customWidth="1"/>
    <col min="5" max="6" width="9.625" style="8" customWidth="1"/>
    <col min="7" max="17" width="10.5" style="3" customWidth="1"/>
    <col min="18" max="18" width="15.125" style="3" customWidth="1"/>
    <col min="19" max="16384" width="8" style="3"/>
  </cols>
  <sheetData>
    <row r="1" spans="1:18" ht="39.950000000000003" customHeight="1" x14ac:dyDescent="0.3">
      <c r="A1" s="355" t="s">
        <v>230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356"/>
      <c r="Q1" s="356"/>
      <c r="R1" s="356"/>
    </row>
    <row r="2" spans="1:18" s="302" customFormat="1" ht="39.950000000000003" customHeight="1" x14ac:dyDescent="0.3">
      <c r="A2" s="297"/>
      <c r="B2" s="298"/>
      <c r="C2" s="298"/>
      <c r="D2" s="299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1"/>
    </row>
    <row r="3" spans="1:18" ht="39.950000000000003" customHeight="1" x14ac:dyDescent="0.25">
      <c r="A3" s="147"/>
      <c r="B3" s="147"/>
      <c r="C3" s="147"/>
      <c r="D3" s="148"/>
      <c r="E3" s="149"/>
      <c r="F3" s="149" t="s">
        <v>16</v>
      </c>
      <c r="G3" s="149" t="s">
        <v>17</v>
      </c>
      <c r="H3" s="149" t="s">
        <v>18</v>
      </c>
      <c r="I3" s="149" t="s">
        <v>19</v>
      </c>
      <c r="J3" s="149" t="s">
        <v>20</v>
      </c>
      <c r="K3" s="149" t="s">
        <v>21</v>
      </c>
      <c r="L3" s="149" t="s">
        <v>22</v>
      </c>
      <c r="M3" s="149" t="s">
        <v>23</v>
      </c>
      <c r="N3" s="149" t="s">
        <v>24</v>
      </c>
      <c r="O3" s="149" t="s">
        <v>25</v>
      </c>
      <c r="P3" s="149" t="s">
        <v>26</v>
      </c>
      <c r="Q3" s="149" t="s">
        <v>27</v>
      </c>
      <c r="R3" s="149" t="s">
        <v>78</v>
      </c>
    </row>
    <row r="4" spans="1:18" ht="39.950000000000003" customHeight="1" x14ac:dyDescent="0.25">
      <c r="A4" s="150" t="s">
        <v>28</v>
      </c>
      <c r="B4" s="151" t="s">
        <v>29</v>
      </c>
      <c r="C4" s="151" t="s">
        <v>30</v>
      </c>
      <c r="D4" s="152" t="s">
        <v>31</v>
      </c>
      <c r="E4" s="153" t="s">
        <v>32</v>
      </c>
      <c r="F4" s="153" t="s">
        <v>44</v>
      </c>
      <c r="G4" s="153" t="s">
        <v>33</v>
      </c>
      <c r="H4" s="153" t="s">
        <v>34</v>
      </c>
      <c r="I4" s="153" t="s">
        <v>35</v>
      </c>
      <c r="J4" s="153" t="s">
        <v>36</v>
      </c>
      <c r="K4" s="153" t="s">
        <v>37</v>
      </c>
      <c r="L4" s="153" t="s">
        <v>38</v>
      </c>
      <c r="M4" s="153" t="s">
        <v>39</v>
      </c>
      <c r="N4" s="153" t="s">
        <v>40</v>
      </c>
      <c r="O4" s="153" t="s">
        <v>41</v>
      </c>
      <c r="P4" s="153" t="s">
        <v>42</v>
      </c>
      <c r="Q4" s="153" t="s">
        <v>43</v>
      </c>
      <c r="R4" s="154" t="s">
        <v>111</v>
      </c>
    </row>
    <row r="5" spans="1:18" ht="30" customHeight="1" x14ac:dyDescent="0.25">
      <c r="A5" s="130" t="s">
        <v>45</v>
      </c>
      <c r="B5" s="129" t="s">
        <v>46</v>
      </c>
      <c r="C5" s="129" t="s">
        <v>47</v>
      </c>
      <c r="D5" s="131" t="s">
        <v>48</v>
      </c>
      <c r="E5" s="132">
        <v>11</v>
      </c>
      <c r="F5" s="181"/>
      <c r="G5" s="181">
        <v>880</v>
      </c>
      <c r="H5" s="181">
        <v>880</v>
      </c>
      <c r="I5" s="181">
        <v>880</v>
      </c>
      <c r="J5" s="181">
        <v>880</v>
      </c>
      <c r="K5" s="181">
        <v>880</v>
      </c>
      <c r="L5" s="181">
        <v>880</v>
      </c>
      <c r="M5" s="181">
        <v>880</v>
      </c>
      <c r="N5" s="181">
        <v>880</v>
      </c>
      <c r="O5" s="181">
        <v>880</v>
      </c>
      <c r="P5" s="181"/>
      <c r="Q5" s="181"/>
      <c r="R5" s="327">
        <f>SUM(Tabla26[[#This Row],[ENE]:[DIC]])</f>
        <v>7920</v>
      </c>
    </row>
    <row r="6" spans="1:18" ht="30" customHeight="1" x14ac:dyDescent="0.25">
      <c r="A6" s="130" t="s">
        <v>45</v>
      </c>
      <c r="B6" s="129" t="s">
        <v>46</v>
      </c>
      <c r="C6" s="129" t="s">
        <v>51</v>
      </c>
      <c r="D6" s="131" t="s">
        <v>52</v>
      </c>
      <c r="E6" s="132">
        <v>11</v>
      </c>
      <c r="F6" s="181"/>
      <c r="G6" s="181">
        <v>1670</v>
      </c>
      <c r="H6" s="181">
        <v>1670</v>
      </c>
      <c r="I6" s="181">
        <v>1670</v>
      </c>
      <c r="J6" s="181">
        <v>1670</v>
      </c>
      <c r="K6" s="181">
        <v>1670</v>
      </c>
      <c r="L6" s="181">
        <v>1670</v>
      </c>
      <c r="M6" s="181">
        <v>1670</v>
      </c>
      <c r="N6" s="181">
        <v>1670</v>
      </c>
      <c r="O6" s="181">
        <v>1670</v>
      </c>
      <c r="P6" s="181"/>
      <c r="Q6" s="181"/>
      <c r="R6" s="327">
        <f>SUM(Tabla26[[#This Row],[ENE]:[DIC]])</f>
        <v>15030</v>
      </c>
    </row>
    <row r="7" spans="1:18" ht="30" customHeight="1" x14ac:dyDescent="0.25">
      <c r="A7" s="130" t="s">
        <v>45</v>
      </c>
      <c r="B7" s="129" t="s">
        <v>54</v>
      </c>
      <c r="C7" s="129" t="s">
        <v>55</v>
      </c>
      <c r="D7" s="133">
        <v>120106758617</v>
      </c>
      <c r="E7" s="132">
        <v>11</v>
      </c>
      <c r="F7" s="181"/>
      <c r="G7" s="181">
        <v>890</v>
      </c>
      <c r="H7" s="181">
        <v>890</v>
      </c>
      <c r="I7" s="181">
        <v>890</v>
      </c>
      <c r="J7" s="181">
        <v>890</v>
      </c>
      <c r="K7" s="181">
        <v>890</v>
      </c>
      <c r="L7" s="181">
        <v>890</v>
      </c>
      <c r="M7" s="181">
        <v>890</v>
      </c>
      <c r="N7" s="181">
        <v>890</v>
      </c>
      <c r="O7" s="181">
        <v>890</v>
      </c>
      <c r="P7" s="181"/>
      <c r="Q7" s="181"/>
      <c r="R7" s="327">
        <f>SUM(Tabla26[[#This Row],[ENE]:[DIC]])</f>
        <v>8010</v>
      </c>
    </row>
    <row r="8" spans="1:18" ht="30" customHeight="1" x14ac:dyDescent="0.25">
      <c r="A8" s="130" t="s">
        <v>45</v>
      </c>
      <c r="B8" s="129" t="s">
        <v>54</v>
      </c>
      <c r="C8" s="129" t="s">
        <v>56</v>
      </c>
      <c r="D8" s="133">
        <v>110109729043</v>
      </c>
      <c r="E8" s="132">
        <v>11</v>
      </c>
      <c r="F8" s="181"/>
      <c r="G8" s="181">
        <v>5490</v>
      </c>
      <c r="H8" s="181">
        <v>5490</v>
      </c>
      <c r="I8" s="181">
        <v>5490</v>
      </c>
      <c r="J8" s="181">
        <v>5490</v>
      </c>
      <c r="K8" s="181">
        <v>5490</v>
      </c>
      <c r="L8" s="181">
        <v>5490</v>
      </c>
      <c r="M8" s="181">
        <v>5490</v>
      </c>
      <c r="N8" s="181">
        <v>5490</v>
      </c>
      <c r="O8" s="181">
        <v>5490</v>
      </c>
      <c r="P8" s="181"/>
      <c r="Q8" s="181"/>
      <c r="R8" s="327">
        <f>SUM(Tabla26[[#This Row],[ENE]:[DIC]])</f>
        <v>49410</v>
      </c>
    </row>
    <row r="9" spans="1:18" ht="30" customHeight="1" x14ac:dyDescent="0.25">
      <c r="A9" s="130" t="s">
        <v>45</v>
      </c>
      <c r="B9" s="129" t="s">
        <v>54</v>
      </c>
      <c r="C9" s="129" t="s">
        <v>58</v>
      </c>
      <c r="D9" s="133">
        <v>120106758625</v>
      </c>
      <c r="E9" s="132">
        <v>11</v>
      </c>
      <c r="F9" s="181"/>
      <c r="G9" s="181">
        <v>1360</v>
      </c>
      <c r="H9" s="181">
        <v>1360</v>
      </c>
      <c r="I9" s="181">
        <v>1360</v>
      </c>
      <c r="J9" s="181">
        <v>1360</v>
      </c>
      <c r="K9" s="181">
        <v>1360</v>
      </c>
      <c r="L9" s="181">
        <v>1360</v>
      </c>
      <c r="M9" s="181">
        <v>1360</v>
      </c>
      <c r="N9" s="181">
        <v>1360</v>
      </c>
      <c r="O9" s="181">
        <v>1360</v>
      </c>
      <c r="P9" s="181"/>
      <c r="Q9" s="181"/>
      <c r="R9" s="327">
        <f>SUM(Tabla26[[#This Row],[ENE]:[DIC]])</f>
        <v>12240</v>
      </c>
    </row>
    <row r="10" spans="1:18" ht="30" customHeight="1" x14ac:dyDescent="0.25">
      <c r="A10" s="130" t="s">
        <v>45</v>
      </c>
      <c r="B10" s="129" t="s">
        <v>54</v>
      </c>
      <c r="C10" s="129" t="s">
        <v>217</v>
      </c>
      <c r="D10" s="133">
        <v>110124049806</v>
      </c>
      <c r="E10" s="132">
        <v>11</v>
      </c>
      <c r="G10" s="181">
        <v>4028.92</v>
      </c>
      <c r="H10" s="181">
        <v>2740</v>
      </c>
      <c r="I10" s="181">
        <v>2740</v>
      </c>
      <c r="J10" s="181">
        <v>2740</v>
      </c>
      <c r="K10" s="181">
        <v>2740</v>
      </c>
      <c r="L10" s="181">
        <v>2740</v>
      </c>
      <c r="M10" s="181">
        <v>2740</v>
      </c>
      <c r="N10" s="181">
        <v>2740</v>
      </c>
      <c r="O10" s="181">
        <v>2740</v>
      </c>
      <c r="P10" s="181"/>
      <c r="Q10" s="181"/>
      <c r="R10" s="327">
        <f>SUM(Tabla26[[#This Row],[ENE]:[DIC]])</f>
        <v>25948.92</v>
      </c>
    </row>
    <row r="11" spans="1:18" ht="30" customHeight="1" x14ac:dyDescent="0.25">
      <c r="A11" s="134" t="s">
        <v>49</v>
      </c>
      <c r="B11" s="135" t="s">
        <v>46</v>
      </c>
      <c r="C11" s="135" t="s">
        <v>47</v>
      </c>
      <c r="D11" s="136" t="s">
        <v>50</v>
      </c>
      <c r="E11" s="137">
        <v>12</v>
      </c>
      <c r="F11" s="182">
        <v>1715</v>
      </c>
      <c r="G11" s="182">
        <v>1715</v>
      </c>
      <c r="H11" s="182">
        <v>1715</v>
      </c>
      <c r="I11" s="182">
        <v>1715</v>
      </c>
      <c r="J11" s="182">
        <v>1715</v>
      </c>
      <c r="K11" s="182">
        <v>1715</v>
      </c>
      <c r="L11" s="182">
        <v>1715</v>
      </c>
      <c r="M11" s="182">
        <v>1715</v>
      </c>
      <c r="N11" s="182">
        <v>1715</v>
      </c>
      <c r="O11" s="182">
        <v>1715</v>
      </c>
      <c r="P11" s="182"/>
      <c r="Q11" s="182"/>
      <c r="R11" s="327">
        <f>SUM(Tabla26[[#This Row],[ENE]:[DIC]])</f>
        <v>17150</v>
      </c>
    </row>
    <row r="12" spans="1:18" ht="30" customHeight="1" x14ac:dyDescent="0.25">
      <c r="A12" s="134" t="s">
        <v>49</v>
      </c>
      <c r="B12" s="135" t="s">
        <v>46</v>
      </c>
      <c r="C12" s="135" t="s">
        <v>51</v>
      </c>
      <c r="D12" s="136" t="s">
        <v>53</v>
      </c>
      <c r="E12" s="137">
        <v>12</v>
      </c>
      <c r="F12" s="182">
        <v>3067</v>
      </c>
      <c r="G12" s="182">
        <v>3067</v>
      </c>
      <c r="H12" s="182">
        <v>3067</v>
      </c>
      <c r="I12" s="182">
        <v>3067</v>
      </c>
      <c r="J12" s="182">
        <v>3067</v>
      </c>
      <c r="K12" s="182">
        <v>3067</v>
      </c>
      <c r="L12" s="182">
        <v>3067</v>
      </c>
      <c r="M12" s="182">
        <v>3067</v>
      </c>
      <c r="N12" s="182">
        <v>3067</v>
      </c>
      <c r="O12" s="182">
        <v>3067</v>
      </c>
      <c r="P12" s="182"/>
      <c r="Q12" s="182"/>
      <c r="R12" s="327">
        <f>SUM(Tabla26[[#This Row],[ENE]:[DIC]])</f>
        <v>30670</v>
      </c>
    </row>
    <row r="13" spans="1:18" ht="30" customHeight="1" x14ac:dyDescent="0.25">
      <c r="A13" s="134" t="s">
        <v>49</v>
      </c>
      <c r="B13" s="135" t="s">
        <v>54</v>
      </c>
      <c r="C13" s="135" t="s">
        <v>56</v>
      </c>
      <c r="D13" s="164" t="s">
        <v>273</v>
      </c>
      <c r="E13" s="137">
        <v>12</v>
      </c>
      <c r="F13" s="182">
        <v>5487</v>
      </c>
      <c r="G13" s="182">
        <v>5487</v>
      </c>
      <c r="H13" s="182">
        <v>5487</v>
      </c>
      <c r="I13" s="182">
        <v>5487</v>
      </c>
      <c r="J13" s="182">
        <v>5487</v>
      </c>
      <c r="K13" s="182">
        <v>5487</v>
      </c>
      <c r="L13" s="182">
        <v>5487</v>
      </c>
      <c r="M13" s="182">
        <v>5487</v>
      </c>
      <c r="N13" s="182">
        <v>5487</v>
      </c>
      <c r="O13" s="182">
        <v>5487</v>
      </c>
      <c r="P13" s="182"/>
      <c r="Q13" s="182"/>
      <c r="R13" s="327">
        <f>SUM(Tabla26[[#This Row],[ENE]:[DIC]])</f>
        <v>54870</v>
      </c>
    </row>
    <row r="14" spans="1:18" ht="30" customHeight="1" x14ac:dyDescent="0.25">
      <c r="A14" s="134" t="s">
        <v>49</v>
      </c>
      <c r="B14" s="135" t="s">
        <v>54</v>
      </c>
      <c r="C14" s="135" t="s">
        <v>217</v>
      </c>
      <c r="D14" s="165" t="s">
        <v>274</v>
      </c>
      <c r="E14" s="137">
        <v>1</v>
      </c>
      <c r="F14" s="182">
        <v>16281.6</v>
      </c>
      <c r="G14" s="182"/>
      <c r="H14" s="182"/>
      <c r="I14" s="182"/>
      <c r="J14" s="182"/>
      <c r="K14" s="182"/>
      <c r="L14" s="182"/>
      <c r="M14" s="182"/>
      <c r="N14" s="182"/>
      <c r="O14" s="182"/>
      <c r="P14" s="182"/>
      <c r="Q14" s="182"/>
      <c r="R14" s="327">
        <f>SUM(Tabla26[[#This Row],[ENE]:[DIC]])</f>
        <v>16281.6</v>
      </c>
    </row>
    <row r="15" spans="1:18" ht="30" customHeight="1" x14ac:dyDescent="0.25">
      <c r="A15" s="138" t="s">
        <v>59</v>
      </c>
      <c r="B15" s="139" t="s">
        <v>54</v>
      </c>
      <c r="C15" s="139" t="s">
        <v>58</v>
      </c>
      <c r="D15" s="140" t="s">
        <v>60</v>
      </c>
      <c r="E15" s="141">
        <v>1</v>
      </c>
      <c r="F15" s="183"/>
      <c r="G15" s="183"/>
      <c r="H15" s="183"/>
      <c r="I15" s="183">
        <v>26653.200000000001</v>
      </c>
      <c r="J15" s="183"/>
      <c r="K15" s="183"/>
      <c r="L15" s="183"/>
      <c r="M15" s="183"/>
      <c r="N15" s="183"/>
      <c r="O15" s="183"/>
      <c r="P15" s="183"/>
      <c r="Q15" s="183"/>
      <c r="R15" s="327">
        <f>SUM(Tabla26[[#This Row],[ENE]:[DIC]])</f>
        <v>26653.200000000001</v>
      </c>
    </row>
    <row r="16" spans="1:18" ht="30" customHeight="1" x14ac:dyDescent="0.25">
      <c r="A16" s="138" t="s">
        <v>59</v>
      </c>
      <c r="B16" s="139" t="s">
        <v>54</v>
      </c>
      <c r="C16" s="139" t="s">
        <v>55</v>
      </c>
      <c r="D16" s="140" t="s">
        <v>61</v>
      </c>
      <c r="E16" s="141">
        <v>1</v>
      </c>
      <c r="F16" s="183"/>
      <c r="G16" s="183"/>
      <c r="H16" s="183"/>
      <c r="I16" s="183">
        <v>26653.200000000001</v>
      </c>
      <c r="J16" s="183"/>
      <c r="K16" s="183"/>
      <c r="L16" s="183"/>
      <c r="M16" s="183"/>
      <c r="N16" s="183"/>
      <c r="O16" s="183"/>
      <c r="P16" s="183"/>
      <c r="Q16" s="183"/>
      <c r="R16" s="327">
        <f>SUM(Tabla26[[#This Row],[ENE]:[DIC]])</f>
        <v>26653.200000000001</v>
      </c>
    </row>
    <row r="17" spans="1:18" ht="30" customHeight="1" x14ac:dyDescent="0.25">
      <c r="A17" s="142" t="s">
        <v>62</v>
      </c>
      <c r="B17" s="143" t="s">
        <v>63</v>
      </c>
      <c r="C17" s="143" t="s">
        <v>64</v>
      </c>
      <c r="D17" s="144" t="s">
        <v>65</v>
      </c>
      <c r="E17" s="145">
        <v>6</v>
      </c>
      <c r="F17" s="145"/>
      <c r="G17" s="184"/>
      <c r="H17" s="184"/>
      <c r="I17" s="184"/>
      <c r="J17" s="184"/>
      <c r="K17" s="184"/>
      <c r="L17" s="184"/>
      <c r="M17" s="184"/>
      <c r="N17" s="184"/>
      <c r="O17" s="184"/>
      <c r="P17" s="184"/>
      <c r="Q17" s="184"/>
      <c r="R17" s="327">
        <f>SUM(Tabla26[[#This Row],[ENE]:[DIC]])</f>
        <v>0</v>
      </c>
    </row>
    <row r="18" spans="1:18" s="8" customFormat="1" ht="30" customHeight="1" x14ac:dyDescent="0.25">
      <c r="A18" t="s">
        <v>111</v>
      </c>
      <c r="B18"/>
      <c r="C18"/>
      <c r="D18"/>
      <c r="E18"/>
      <c r="F18" s="78">
        <f>SUBTOTAL(109,Tabla26[ENE])</f>
        <v>26550.6</v>
      </c>
      <c r="G18" s="78">
        <f>SUBTOTAL(109,Tabla26[FEB])</f>
        <v>24587.919999999998</v>
      </c>
      <c r="H18" s="78">
        <f>SUBTOTAL(109,Tabla26[MAR])</f>
        <v>23299</v>
      </c>
      <c r="I18" s="78">
        <f>SUBTOTAL(109,Tabla26[ABR])</f>
        <v>76605.399999999994</v>
      </c>
      <c r="J18" s="78">
        <f>SUBTOTAL(109,Tabla26[MAY])</f>
        <v>23299</v>
      </c>
      <c r="K18" s="78">
        <f>SUBTOTAL(109,Tabla26[JUN])</f>
        <v>23299</v>
      </c>
      <c r="L18" s="78">
        <f>SUBTOTAL(109,Tabla26[JUL])</f>
        <v>23299</v>
      </c>
      <c r="M18" s="78">
        <f>SUBTOTAL(109,Tabla26[AGO])</f>
        <v>23299</v>
      </c>
      <c r="N18" s="78">
        <f>SUBTOTAL(109,Tabla26[SEP])</f>
        <v>23299</v>
      </c>
      <c r="O18" s="78">
        <f>SUBTOTAL(109,Tabla26[OCT])</f>
        <v>23299</v>
      </c>
      <c r="P18" s="78">
        <f>SUBTOTAL(109,Tabla26[NOV])</f>
        <v>0</v>
      </c>
      <c r="Q18" s="78">
        <f>SUBTOTAL(109,Tabla26[DIC])</f>
        <v>0</v>
      </c>
      <c r="R18" s="78">
        <f>SUBTOTAL(109,Tabla26[Total])</f>
        <v>290836.92</v>
      </c>
    </row>
    <row r="19" spans="1:18" ht="30" customHeight="1" x14ac:dyDescent="0.25">
      <c r="A19" s="180" t="s">
        <v>325</v>
      </c>
      <c r="B19" s="180"/>
      <c r="C19" s="180"/>
      <c r="D19" s="180"/>
      <c r="E19" s="180"/>
      <c r="F19" s="180"/>
      <c r="G19" s="185"/>
      <c r="H19" s="185"/>
      <c r="I19" s="185"/>
      <c r="J19" s="185"/>
      <c r="K19" s="185"/>
      <c r="L19" s="185"/>
      <c r="M19" s="185"/>
      <c r="N19" s="185"/>
      <c r="O19" s="185"/>
      <c r="P19" s="185"/>
      <c r="Q19" s="185"/>
      <c r="R19" s="185"/>
    </row>
    <row r="20" spans="1:18" ht="30" customHeight="1" x14ac:dyDescent="0.2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</row>
    <row r="21" spans="1:18" ht="30" customHeight="1" x14ac:dyDescent="0.25"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</row>
    <row r="22" spans="1:18" ht="30" customHeight="1" x14ac:dyDescent="0.25">
      <c r="I22" s="176"/>
      <c r="J22" s="176"/>
      <c r="K22" s="186"/>
    </row>
    <row r="23" spans="1:18" ht="30" customHeight="1" x14ac:dyDescent="0.25"/>
    <row r="24" spans="1:18" ht="30" customHeight="1" x14ac:dyDescent="0.25"/>
    <row r="25" spans="1:18" ht="30" customHeight="1" x14ac:dyDescent="0.25"/>
    <row r="26" spans="1:18" ht="30" customHeight="1" x14ac:dyDescent="0.25"/>
    <row r="27" spans="1:18" ht="30" customHeight="1" x14ac:dyDescent="0.25"/>
    <row r="28" spans="1:18" ht="30" customHeight="1" x14ac:dyDescent="0.25"/>
    <row r="29" spans="1:18" ht="30" customHeight="1" x14ac:dyDescent="0.25"/>
    <row r="30" spans="1:18" ht="30" customHeight="1" x14ac:dyDescent="0.25"/>
    <row r="31" spans="1:18" ht="30" customHeight="1" x14ac:dyDescent="0.25"/>
    <row r="32" spans="1:18" ht="30" customHeight="1" x14ac:dyDescent="0.25"/>
    <row r="33" ht="30" customHeight="1" x14ac:dyDescent="0.25"/>
    <row r="34" ht="30" customHeight="1" x14ac:dyDescent="0.25"/>
  </sheetData>
  <mergeCells count="1">
    <mergeCell ref="A1:R1"/>
  </mergeCells>
  <phoneticPr fontId="31" type="noConversion"/>
  <pageMargins left="0.75" right="0.75" top="1" bottom="1" header="0.5" footer="0.5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34">
    <tabColor rgb="FFFFC000"/>
  </sheetPr>
  <dimension ref="A1:F89"/>
  <sheetViews>
    <sheetView topLeftCell="A15" zoomScale="80" zoomScaleNormal="80" workbookViewId="0">
      <selection activeCell="D32" sqref="D32"/>
    </sheetView>
  </sheetViews>
  <sheetFormatPr baseColWidth="10" defaultRowHeight="15.75" x14ac:dyDescent="0.25"/>
  <cols>
    <col min="1" max="1" width="12.75" style="77" customWidth="1"/>
    <col min="2" max="2" width="11" style="214"/>
    <col min="3" max="3" width="27" customWidth="1"/>
    <col min="4" max="4" width="11" style="173"/>
  </cols>
  <sheetData>
    <row r="1" spans="1:6" s="187" customFormat="1" ht="30" customHeight="1" x14ac:dyDescent="0.25">
      <c r="A1" s="212" t="s">
        <v>115</v>
      </c>
      <c r="B1" s="213" t="s">
        <v>555</v>
      </c>
      <c r="C1" s="187" t="s">
        <v>166</v>
      </c>
      <c r="D1" s="219" t="s">
        <v>232</v>
      </c>
      <c r="E1" s="187" t="s">
        <v>553</v>
      </c>
      <c r="F1" s="187" t="s">
        <v>554</v>
      </c>
    </row>
    <row r="2" spans="1:6" ht="20.100000000000001" customHeight="1" x14ac:dyDescent="0.25">
      <c r="A2" s="77">
        <v>44957</v>
      </c>
      <c r="B2" s="214">
        <v>44957</v>
      </c>
      <c r="C2" t="s">
        <v>79</v>
      </c>
      <c r="D2" s="173">
        <v>190125.37</v>
      </c>
      <c r="E2">
        <v>1</v>
      </c>
      <c r="F2">
        <v>2023</v>
      </c>
    </row>
    <row r="3" spans="1:6" ht="20.100000000000001" customHeight="1" x14ac:dyDescent="0.25">
      <c r="A3" s="77">
        <v>44957</v>
      </c>
      <c r="B3" s="214">
        <v>44957</v>
      </c>
      <c r="C3" t="s">
        <v>80</v>
      </c>
      <c r="D3" s="173">
        <v>185253</v>
      </c>
      <c r="E3">
        <v>1</v>
      </c>
      <c r="F3">
        <v>2023</v>
      </c>
    </row>
    <row r="4" spans="1:6" ht="20.100000000000001" customHeight="1" x14ac:dyDescent="0.25">
      <c r="A4" s="77">
        <v>44957</v>
      </c>
      <c r="B4" s="214">
        <v>44957</v>
      </c>
      <c r="C4" t="s">
        <v>81</v>
      </c>
      <c r="D4" s="173">
        <v>13290</v>
      </c>
      <c r="E4">
        <v>1</v>
      </c>
      <c r="F4">
        <v>2023</v>
      </c>
    </row>
    <row r="5" spans="1:6" ht="20.100000000000001" customHeight="1" x14ac:dyDescent="0.25">
      <c r="A5" s="77">
        <v>44985</v>
      </c>
      <c r="B5" s="214">
        <v>44985</v>
      </c>
      <c r="C5" t="s">
        <v>79</v>
      </c>
      <c r="D5" s="173">
        <v>326980.23</v>
      </c>
      <c r="E5">
        <v>2</v>
      </c>
      <c r="F5">
        <v>2023</v>
      </c>
    </row>
    <row r="6" spans="1:6" ht="20.100000000000001" customHeight="1" x14ac:dyDescent="0.25">
      <c r="A6" s="77">
        <v>44985</v>
      </c>
      <c r="B6" s="214">
        <v>44985</v>
      </c>
      <c r="C6" t="s">
        <v>80</v>
      </c>
      <c r="D6" s="173">
        <v>224825</v>
      </c>
      <c r="E6">
        <v>2</v>
      </c>
      <c r="F6">
        <v>2023</v>
      </c>
    </row>
    <row r="7" spans="1:6" ht="20.100000000000001" customHeight="1" x14ac:dyDescent="0.25">
      <c r="A7" s="77">
        <v>44985</v>
      </c>
      <c r="B7" s="214">
        <v>44985</v>
      </c>
      <c r="C7" t="s">
        <v>81</v>
      </c>
      <c r="D7" s="173">
        <v>92590</v>
      </c>
      <c r="E7">
        <v>2</v>
      </c>
      <c r="F7">
        <v>2023</v>
      </c>
    </row>
    <row r="8" spans="1:6" ht="20.100000000000001" customHeight="1" x14ac:dyDescent="0.25">
      <c r="A8" s="77">
        <v>45016</v>
      </c>
      <c r="B8" s="214">
        <v>45016</v>
      </c>
      <c r="C8" t="s">
        <v>79</v>
      </c>
      <c r="D8" s="173">
        <v>273650.73</v>
      </c>
      <c r="E8">
        <v>3</v>
      </c>
      <c r="F8">
        <v>2023</v>
      </c>
    </row>
    <row r="9" spans="1:6" ht="20.100000000000001" customHeight="1" x14ac:dyDescent="0.25">
      <c r="A9" s="77">
        <v>45016</v>
      </c>
      <c r="B9" s="214">
        <v>45016</v>
      </c>
      <c r="C9" t="s">
        <v>80</v>
      </c>
      <c r="D9" s="173">
        <v>425357</v>
      </c>
      <c r="E9">
        <v>3</v>
      </c>
      <c r="F9">
        <v>2023</v>
      </c>
    </row>
    <row r="10" spans="1:6" ht="20.100000000000001" customHeight="1" x14ac:dyDescent="0.25">
      <c r="A10" s="77">
        <v>45016</v>
      </c>
      <c r="B10" s="214">
        <v>45016</v>
      </c>
      <c r="C10" t="s">
        <v>81</v>
      </c>
      <c r="D10" s="173">
        <v>67450</v>
      </c>
      <c r="E10">
        <v>3</v>
      </c>
      <c r="F10">
        <v>2023</v>
      </c>
    </row>
    <row r="11" spans="1:6" ht="20.100000000000001" customHeight="1" x14ac:dyDescent="0.25">
      <c r="A11" s="77">
        <v>45046</v>
      </c>
      <c r="B11" s="214">
        <v>45046</v>
      </c>
      <c r="C11" t="s">
        <v>79</v>
      </c>
      <c r="D11" s="173">
        <v>373467.82</v>
      </c>
      <c r="E11">
        <v>4</v>
      </c>
      <c r="F11">
        <v>2023</v>
      </c>
    </row>
    <row r="12" spans="1:6" ht="20.100000000000001" customHeight="1" x14ac:dyDescent="0.25">
      <c r="A12" s="77">
        <v>45046</v>
      </c>
      <c r="B12" s="214">
        <v>45046</v>
      </c>
      <c r="C12" t="s">
        <v>80</v>
      </c>
      <c r="D12" s="173">
        <v>389653</v>
      </c>
      <c r="E12">
        <v>4</v>
      </c>
      <c r="F12">
        <v>2023</v>
      </c>
    </row>
    <row r="13" spans="1:6" ht="20.100000000000001" customHeight="1" x14ac:dyDescent="0.25">
      <c r="A13" s="77">
        <v>45046</v>
      </c>
      <c r="B13" s="214">
        <v>45046</v>
      </c>
      <c r="C13" t="s">
        <v>81</v>
      </c>
      <c r="D13" s="173">
        <v>186431</v>
      </c>
      <c r="E13">
        <v>4</v>
      </c>
      <c r="F13">
        <v>2023</v>
      </c>
    </row>
    <row r="14" spans="1:6" ht="20.100000000000001" customHeight="1" x14ac:dyDescent="0.25">
      <c r="A14" s="77">
        <v>45077</v>
      </c>
      <c r="B14" s="214">
        <v>45077</v>
      </c>
      <c r="C14" t="s">
        <v>79</v>
      </c>
      <c r="D14" s="173">
        <v>334542.46000000002</v>
      </c>
      <c r="E14">
        <v>5</v>
      </c>
      <c r="F14">
        <v>2023</v>
      </c>
    </row>
    <row r="15" spans="1:6" ht="20.100000000000001" customHeight="1" x14ac:dyDescent="0.25">
      <c r="A15" s="77">
        <v>45077</v>
      </c>
      <c r="B15" s="214">
        <v>45077</v>
      </c>
      <c r="C15" t="s">
        <v>80</v>
      </c>
      <c r="D15" s="173">
        <v>254740</v>
      </c>
      <c r="E15">
        <v>5</v>
      </c>
      <c r="F15">
        <v>2023</v>
      </c>
    </row>
    <row r="16" spans="1:6" ht="20.100000000000001" customHeight="1" x14ac:dyDescent="0.25">
      <c r="A16" s="77">
        <v>45077</v>
      </c>
      <c r="B16" s="214">
        <v>45077</v>
      </c>
      <c r="C16" t="s">
        <v>81</v>
      </c>
      <c r="D16" s="173">
        <v>26680</v>
      </c>
      <c r="E16">
        <v>5</v>
      </c>
      <c r="F16">
        <v>2023</v>
      </c>
    </row>
    <row r="17" spans="1:6" ht="20.100000000000001" customHeight="1" x14ac:dyDescent="0.25">
      <c r="A17" s="77">
        <v>45107</v>
      </c>
      <c r="B17" s="214">
        <v>45107</v>
      </c>
      <c r="C17" t="s">
        <v>79</v>
      </c>
      <c r="D17" s="173">
        <v>380922.33</v>
      </c>
      <c r="E17">
        <v>6</v>
      </c>
      <c r="F17">
        <v>2023</v>
      </c>
    </row>
    <row r="18" spans="1:6" ht="20.100000000000001" customHeight="1" x14ac:dyDescent="0.25">
      <c r="A18" s="77">
        <v>45107</v>
      </c>
      <c r="B18" s="214">
        <v>45107</v>
      </c>
      <c r="C18" t="s">
        <v>80</v>
      </c>
      <c r="D18" s="173">
        <v>207897</v>
      </c>
      <c r="E18">
        <v>6</v>
      </c>
      <c r="F18">
        <v>2023</v>
      </c>
    </row>
    <row r="19" spans="1:6" ht="20.100000000000001" customHeight="1" x14ac:dyDescent="0.25">
      <c r="A19" s="77">
        <v>45107</v>
      </c>
      <c r="B19" s="214">
        <v>45107</v>
      </c>
      <c r="C19" t="s">
        <v>81</v>
      </c>
      <c r="D19" s="173">
        <v>52050</v>
      </c>
      <c r="E19">
        <v>6</v>
      </c>
      <c r="F19">
        <v>2023</v>
      </c>
    </row>
    <row r="20" spans="1:6" ht="20.100000000000001" customHeight="1" x14ac:dyDescent="0.25">
      <c r="A20" s="77">
        <v>45138</v>
      </c>
      <c r="B20" s="214">
        <v>45138</v>
      </c>
      <c r="C20" t="s">
        <v>79</v>
      </c>
      <c r="D20" s="173">
        <v>588181.11</v>
      </c>
      <c r="E20">
        <v>7</v>
      </c>
      <c r="F20">
        <v>2023</v>
      </c>
    </row>
    <row r="21" spans="1:6" ht="20.100000000000001" customHeight="1" x14ac:dyDescent="0.25">
      <c r="A21" s="77">
        <v>45138</v>
      </c>
      <c r="B21" s="214">
        <v>45138</v>
      </c>
      <c r="C21" t="s">
        <v>80</v>
      </c>
      <c r="D21" s="173">
        <v>203878</v>
      </c>
      <c r="E21">
        <v>7</v>
      </c>
      <c r="F21">
        <v>2023</v>
      </c>
    </row>
    <row r="22" spans="1:6" ht="20.100000000000001" customHeight="1" x14ac:dyDescent="0.25">
      <c r="A22" s="77">
        <v>45138</v>
      </c>
      <c r="B22" s="214">
        <v>45138</v>
      </c>
      <c r="C22" t="s">
        <v>81</v>
      </c>
      <c r="D22" s="173">
        <v>11390</v>
      </c>
      <c r="E22">
        <v>7</v>
      </c>
      <c r="F22">
        <v>2023</v>
      </c>
    </row>
    <row r="23" spans="1:6" ht="20.100000000000001" customHeight="1" x14ac:dyDescent="0.25">
      <c r="A23" s="77">
        <v>45169</v>
      </c>
      <c r="B23" s="214">
        <v>45169</v>
      </c>
      <c r="C23" t="s">
        <v>79</v>
      </c>
      <c r="D23" s="173">
        <v>347618.19</v>
      </c>
      <c r="E23">
        <v>8</v>
      </c>
      <c r="F23">
        <v>2023</v>
      </c>
    </row>
    <row r="24" spans="1:6" ht="20.100000000000001" customHeight="1" x14ac:dyDescent="0.25">
      <c r="A24" s="77">
        <v>45169</v>
      </c>
      <c r="B24" s="214">
        <v>45169</v>
      </c>
      <c r="C24" t="s">
        <v>80</v>
      </c>
      <c r="D24" s="173">
        <v>331506.81</v>
      </c>
      <c r="E24">
        <v>8</v>
      </c>
      <c r="F24">
        <v>2023</v>
      </c>
    </row>
    <row r="25" spans="1:6" ht="20.100000000000001" customHeight="1" x14ac:dyDescent="0.25">
      <c r="A25" s="77">
        <v>45169</v>
      </c>
      <c r="B25" s="214">
        <v>45169</v>
      </c>
      <c r="C25" t="s">
        <v>81</v>
      </c>
      <c r="D25" s="173">
        <v>35660</v>
      </c>
      <c r="E25">
        <v>8</v>
      </c>
      <c r="F25">
        <v>2023</v>
      </c>
    </row>
    <row r="26" spans="1:6" ht="20.100000000000001" customHeight="1" x14ac:dyDescent="0.25">
      <c r="A26" s="77">
        <v>45199</v>
      </c>
      <c r="B26" s="214">
        <v>45199</v>
      </c>
      <c r="C26" t="s">
        <v>79</v>
      </c>
      <c r="D26" s="173">
        <v>405777.86000000004</v>
      </c>
      <c r="E26">
        <v>9</v>
      </c>
      <c r="F26">
        <v>2023</v>
      </c>
    </row>
    <row r="27" spans="1:6" ht="20.100000000000001" customHeight="1" x14ac:dyDescent="0.25">
      <c r="A27" s="77">
        <v>45199</v>
      </c>
      <c r="B27" s="214">
        <v>45199</v>
      </c>
      <c r="C27" t="s">
        <v>80</v>
      </c>
      <c r="D27" s="173">
        <v>461122.63</v>
      </c>
      <c r="E27">
        <v>9</v>
      </c>
      <c r="F27">
        <v>2023</v>
      </c>
    </row>
    <row r="28" spans="1:6" ht="20.100000000000001" customHeight="1" x14ac:dyDescent="0.25">
      <c r="A28" s="77">
        <v>45199</v>
      </c>
      <c r="B28" s="214">
        <v>45199</v>
      </c>
      <c r="C28" t="s">
        <v>81</v>
      </c>
      <c r="D28" s="173">
        <v>46230</v>
      </c>
      <c r="E28">
        <v>9</v>
      </c>
      <c r="F28">
        <v>2023</v>
      </c>
    </row>
    <row r="29" spans="1:6" ht="20.100000000000001" customHeight="1" x14ac:dyDescent="0.25">
      <c r="A29" s="77">
        <v>45230</v>
      </c>
      <c r="B29" s="214">
        <v>45230</v>
      </c>
      <c r="C29" t="s">
        <v>79</v>
      </c>
      <c r="D29" s="173">
        <v>381342.6</v>
      </c>
      <c r="E29">
        <v>10</v>
      </c>
      <c r="F29">
        <v>2023</v>
      </c>
    </row>
    <row r="30" spans="1:6" ht="20.100000000000001" customHeight="1" x14ac:dyDescent="0.25">
      <c r="A30" s="77">
        <v>45230</v>
      </c>
      <c r="B30" s="214">
        <v>45230</v>
      </c>
      <c r="C30" t="s">
        <v>80</v>
      </c>
      <c r="D30" s="173">
        <v>173700.18</v>
      </c>
      <c r="E30">
        <v>10</v>
      </c>
      <c r="F30">
        <v>2023</v>
      </c>
    </row>
    <row r="31" spans="1:6" ht="20.100000000000001" customHeight="1" x14ac:dyDescent="0.25">
      <c r="A31" s="77">
        <v>45230</v>
      </c>
      <c r="B31" s="214">
        <v>45230</v>
      </c>
      <c r="C31" t="s">
        <v>81</v>
      </c>
      <c r="D31" s="173">
        <v>418460</v>
      </c>
      <c r="E31">
        <v>10</v>
      </c>
      <c r="F31">
        <v>2023</v>
      </c>
    </row>
    <row r="32" spans="1:6" ht="20.100000000000001" customHeight="1" x14ac:dyDescent="0.25">
      <c r="A32" s="77">
        <v>45260</v>
      </c>
      <c r="B32" s="214">
        <v>45260</v>
      </c>
      <c r="C32" t="s">
        <v>79</v>
      </c>
      <c r="D32" s="173">
        <v>541128.09</v>
      </c>
      <c r="E32">
        <v>11</v>
      </c>
      <c r="F32">
        <v>2023</v>
      </c>
    </row>
    <row r="33" spans="1:6" ht="20.100000000000001" customHeight="1" x14ac:dyDescent="0.25">
      <c r="A33" s="77">
        <v>45260</v>
      </c>
      <c r="B33" s="214">
        <v>45260</v>
      </c>
      <c r="C33" t="s">
        <v>80</v>
      </c>
      <c r="D33" s="173">
        <v>297086.53000000003</v>
      </c>
      <c r="E33">
        <v>11</v>
      </c>
      <c r="F33">
        <v>2023</v>
      </c>
    </row>
    <row r="34" spans="1:6" ht="20.100000000000001" customHeight="1" x14ac:dyDescent="0.25">
      <c r="A34" s="77">
        <v>45260</v>
      </c>
      <c r="B34" s="214">
        <v>45260</v>
      </c>
      <c r="C34" t="s">
        <v>81</v>
      </c>
      <c r="D34" s="173">
        <v>27750</v>
      </c>
      <c r="E34">
        <v>11</v>
      </c>
      <c r="F34">
        <v>2023</v>
      </c>
    </row>
    <row r="35" spans="1:6" ht="20.100000000000001" customHeight="1" x14ac:dyDescent="0.25"/>
    <row r="36" spans="1:6" ht="20.100000000000001" customHeight="1" x14ac:dyDescent="0.25"/>
    <row r="37" spans="1:6" ht="20.100000000000001" customHeight="1" x14ac:dyDescent="0.25"/>
    <row r="38" spans="1:6" ht="20.100000000000001" customHeight="1" x14ac:dyDescent="0.25"/>
    <row r="39" spans="1:6" ht="20.100000000000001" customHeight="1" x14ac:dyDescent="0.25"/>
    <row r="40" spans="1:6" ht="20.100000000000001" customHeight="1" x14ac:dyDescent="0.25"/>
    <row r="41" spans="1:6" ht="20.100000000000001" customHeight="1" x14ac:dyDescent="0.25"/>
    <row r="42" spans="1:6" ht="20.100000000000001" customHeight="1" x14ac:dyDescent="0.25"/>
    <row r="43" spans="1:6" ht="20.100000000000001" customHeight="1" x14ac:dyDescent="0.25"/>
    <row r="44" spans="1:6" ht="20.100000000000001" customHeight="1" x14ac:dyDescent="0.25"/>
    <row r="45" spans="1:6" ht="20.100000000000001" customHeight="1" x14ac:dyDescent="0.25"/>
    <row r="46" spans="1:6" ht="20.100000000000001" customHeight="1" x14ac:dyDescent="0.25"/>
    <row r="47" spans="1:6" ht="20.100000000000001" customHeight="1" x14ac:dyDescent="0.25"/>
    <row r="48" spans="1:6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3">
    <tabColor rgb="FFFFC000"/>
  </sheetPr>
  <dimension ref="A1:M10"/>
  <sheetViews>
    <sheetView zoomScale="90" zoomScaleNormal="90" workbookViewId="0">
      <selection activeCell="L8" sqref="L8"/>
    </sheetView>
  </sheetViews>
  <sheetFormatPr baseColWidth="10" defaultRowHeight="15.75" x14ac:dyDescent="0.25"/>
  <cols>
    <col min="1" max="1" width="19.375" bestFit="1" customWidth="1"/>
    <col min="2" max="12" width="10.625" bestFit="1" customWidth="1"/>
    <col min="13" max="13" width="12.125" bestFit="1" customWidth="1"/>
  </cols>
  <sheetData>
    <row r="1" spans="1:13" x14ac:dyDescent="0.25">
      <c r="A1" s="357" t="s">
        <v>581</v>
      </c>
      <c r="B1" s="357"/>
      <c r="C1" s="357"/>
      <c r="D1" s="357"/>
      <c r="E1" s="357"/>
      <c r="F1" s="357"/>
      <c r="G1" s="357"/>
      <c r="H1" s="357"/>
      <c r="I1" s="357"/>
      <c r="J1" s="357"/>
    </row>
    <row r="2" spans="1:13" x14ac:dyDescent="0.25">
      <c r="A2" s="357"/>
      <c r="B2" s="357"/>
      <c r="C2" s="357"/>
      <c r="D2" s="357"/>
      <c r="E2" s="357"/>
      <c r="F2" s="357"/>
      <c r="G2" s="357"/>
      <c r="H2" s="357"/>
      <c r="I2" s="357"/>
      <c r="J2" s="357"/>
    </row>
    <row r="3" spans="1:13" x14ac:dyDescent="0.25">
      <c r="A3" s="229" t="s">
        <v>556</v>
      </c>
      <c r="B3" s="229" t="s">
        <v>115</v>
      </c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29"/>
    </row>
    <row r="4" spans="1:13" ht="39.950000000000003" customHeight="1" x14ac:dyDescent="0.25">
      <c r="A4" s="225" t="s">
        <v>166</v>
      </c>
      <c r="B4" s="226">
        <v>44957</v>
      </c>
      <c r="C4" s="226">
        <v>44985</v>
      </c>
      <c r="D4" s="226">
        <v>45016</v>
      </c>
      <c r="E4" s="226">
        <v>45046</v>
      </c>
      <c r="F4" s="226">
        <v>45077</v>
      </c>
      <c r="G4" s="226">
        <v>45107</v>
      </c>
      <c r="H4" s="226">
        <v>45138</v>
      </c>
      <c r="I4" s="226">
        <v>45169</v>
      </c>
      <c r="J4" s="226">
        <v>45199</v>
      </c>
      <c r="K4" s="226">
        <v>45230</v>
      </c>
      <c r="L4" s="227">
        <v>45260</v>
      </c>
      <c r="M4" s="228" t="s">
        <v>557</v>
      </c>
    </row>
    <row r="5" spans="1:13" ht="30" customHeight="1" x14ac:dyDescent="0.25">
      <c r="A5" s="230" t="s">
        <v>80</v>
      </c>
      <c r="B5" s="231">
        <v>185253</v>
      </c>
      <c r="C5" s="231">
        <v>224825</v>
      </c>
      <c r="D5" s="231">
        <v>425357</v>
      </c>
      <c r="E5" s="231">
        <v>389653</v>
      </c>
      <c r="F5" s="231">
        <v>254740</v>
      </c>
      <c r="G5" s="231">
        <v>207897</v>
      </c>
      <c r="H5" s="231">
        <v>203878</v>
      </c>
      <c r="I5" s="231">
        <v>331506.81</v>
      </c>
      <c r="J5" s="231">
        <v>461122.63</v>
      </c>
      <c r="K5" s="231">
        <v>173700.18</v>
      </c>
      <c r="L5" s="231">
        <v>297086.53000000003</v>
      </c>
      <c r="M5" s="231">
        <v>3155019.1500000004</v>
      </c>
    </row>
    <row r="6" spans="1:13" ht="30" customHeight="1" x14ac:dyDescent="0.25">
      <c r="A6" s="232" t="s">
        <v>79</v>
      </c>
      <c r="B6" s="233">
        <v>190125.37</v>
      </c>
      <c r="C6" s="233">
        <v>326980.23</v>
      </c>
      <c r="D6" s="233">
        <v>273650.73</v>
      </c>
      <c r="E6" s="233">
        <v>373467.82</v>
      </c>
      <c r="F6" s="233">
        <v>334542.46000000002</v>
      </c>
      <c r="G6" s="233">
        <v>380922.33</v>
      </c>
      <c r="H6" s="233">
        <v>588181.11</v>
      </c>
      <c r="I6" s="233">
        <v>347618.19</v>
      </c>
      <c r="J6" s="233">
        <v>405777.86000000004</v>
      </c>
      <c r="K6" s="233">
        <v>381342.6</v>
      </c>
      <c r="L6" s="233">
        <v>541128.09</v>
      </c>
      <c r="M6" s="233">
        <v>4143736.7899999996</v>
      </c>
    </row>
    <row r="7" spans="1:13" ht="30" customHeight="1" x14ac:dyDescent="0.25">
      <c r="A7" s="230" t="s">
        <v>81</v>
      </c>
      <c r="B7" s="231">
        <v>13290</v>
      </c>
      <c r="C7" s="231">
        <v>92590</v>
      </c>
      <c r="D7" s="231">
        <v>67450</v>
      </c>
      <c r="E7" s="231">
        <v>186431</v>
      </c>
      <c r="F7" s="231">
        <v>26680</v>
      </c>
      <c r="G7" s="231">
        <v>52050</v>
      </c>
      <c r="H7" s="231">
        <v>11390</v>
      </c>
      <c r="I7" s="231">
        <v>35660</v>
      </c>
      <c r="J7" s="231">
        <v>46230</v>
      </c>
      <c r="K7" s="231">
        <v>418460</v>
      </c>
      <c r="L7" s="231">
        <v>27750</v>
      </c>
      <c r="M7" s="231">
        <v>977981</v>
      </c>
    </row>
    <row r="8" spans="1:13" ht="39.950000000000003" customHeight="1" x14ac:dyDescent="0.25">
      <c r="A8" s="191" t="s">
        <v>557</v>
      </c>
      <c r="B8" s="234">
        <v>388668.37</v>
      </c>
      <c r="C8" s="234">
        <v>644395.23</v>
      </c>
      <c r="D8" s="234">
        <v>766457.73</v>
      </c>
      <c r="E8" s="234">
        <v>949551.82000000007</v>
      </c>
      <c r="F8" s="234">
        <v>615962.46</v>
      </c>
      <c r="G8" s="234">
        <v>640869.33000000007</v>
      </c>
      <c r="H8" s="234">
        <v>803449.11</v>
      </c>
      <c r="I8" s="234">
        <v>714785</v>
      </c>
      <c r="J8" s="234">
        <v>913130.49</v>
      </c>
      <c r="K8" s="234">
        <v>973502.78</v>
      </c>
      <c r="L8" s="234">
        <v>865964.62</v>
      </c>
      <c r="M8" s="234">
        <v>8276736.9399999995</v>
      </c>
    </row>
    <row r="9" spans="1:13" ht="30" customHeight="1" x14ac:dyDescent="0.25"/>
    <row r="10" spans="1:13" ht="30" customHeight="1" x14ac:dyDescent="0.25"/>
  </sheetData>
  <mergeCells count="1">
    <mergeCell ref="A1:J2"/>
  </mergeCells>
  <pageMargins left="0.7" right="0.7" top="0.75" bottom="0.75" header="0.3" footer="0.3"/>
  <pageSetup paperSize="9" orientation="landscape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35">
    <tabColor theme="3" tint="0.39997558519241921"/>
  </sheetPr>
  <dimension ref="A1:F45"/>
  <sheetViews>
    <sheetView topLeftCell="A27" zoomScale="90" zoomScaleNormal="90" workbookViewId="0">
      <selection activeCell="D44" sqref="D44"/>
    </sheetView>
  </sheetViews>
  <sheetFormatPr baseColWidth="10" defaultRowHeight="15.75" x14ac:dyDescent="0.25"/>
  <cols>
    <col min="1" max="1" width="11" style="77"/>
    <col min="2" max="2" width="11" style="214"/>
    <col min="3" max="3" width="21.375" customWidth="1"/>
    <col min="4" max="4" width="11" style="173"/>
  </cols>
  <sheetData>
    <row r="1" spans="1:6" ht="16.5" thickBot="1" x14ac:dyDescent="0.3">
      <c r="A1" s="215" t="s">
        <v>115</v>
      </c>
      <c r="B1" s="216" t="s">
        <v>555</v>
      </c>
      <c r="C1" s="217" t="s">
        <v>166</v>
      </c>
      <c r="D1" s="220" t="s">
        <v>232</v>
      </c>
      <c r="E1" s="217" t="s">
        <v>553</v>
      </c>
      <c r="F1" s="218" t="s">
        <v>554</v>
      </c>
    </row>
    <row r="2" spans="1:6" ht="16.5" thickTop="1" x14ac:dyDescent="0.25">
      <c r="A2" s="77">
        <v>44957</v>
      </c>
      <c r="B2" s="214">
        <v>44957</v>
      </c>
      <c r="C2" t="s">
        <v>83</v>
      </c>
      <c r="D2" s="173">
        <v>157806</v>
      </c>
      <c r="E2">
        <v>1</v>
      </c>
      <c r="F2">
        <v>2023</v>
      </c>
    </row>
    <row r="3" spans="1:6" x14ac:dyDescent="0.25">
      <c r="A3" s="77">
        <v>44957</v>
      </c>
      <c r="B3" s="214">
        <v>44957</v>
      </c>
      <c r="C3" t="s">
        <v>84</v>
      </c>
      <c r="D3" s="173">
        <v>197390</v>
      </c>
      <c r="E3">
        <v>1</v>
      </c>
      <c r="F3">
        <v>2023</v>
      </c>
    </row>
    <row r="4" spans="1:6" x14ac:dyDescent="0.25">
      <c r="A4" s="77">
        <v>44957</v>
      </c>
      <c r="B4" s="214">
        <v>44957</v>
      </c>
      <c r="C4" t="s">
        <v>85</v>
      </c>
      <c r="D4" s="173">
        <v>374646</v>
      </c>
      <c r="E4">
        <v>1</v>
      </c>
      <c r="F4">
        <v>2023</v>
      </c>
    </row>
    <row r="5" spans="1:6" x14ac:dyDescent="0.25">
      <c r="A5" s="77">
        <v>44957</v>
      </c>
      <c r="B5" s="214">
        <v>44957</v>
      </c>
      <c r="C5" t="s">
        <v>86</v>
      </c>
      <c r="D5" s="173">
        <v>14022</v>
      </c>
      <c r="E5">
        <v>1</v>
      </c>
      <c r="F5">
        <v>2023</v>
      </c>
    </row>
    <row r="6" spans="1:6" x14ac:dyDescent="0.25">
      <c r="A6" s="77">
        <v>44985</v>
      </c>
      <c r="B6" s="214">
        <v>44985</v>
      </c>
      <c r="C6" t="s">
        <v>83</v>
      </c>
      <c r="D6" s="173">
        <v>458328</v>
      </c>
      <c r="E6">
        <v>2</v>
      </c>
      <c r="F6">
        <v>2023</v>
      </c>
    </row>
    <row r="7" spans="1:6" x14ac:dyDescent="0.25">
      <c r="A7" s="77">
        <v>44985</v>
      </c>
      <c r="B7" s="214">
        <v>44985</v>
      </c>
      <c r="C7" t="s">
        <v>84</v>
      </c>
      <c r="D7" s="173">
        <v>72846</v>
      </c>
      <c r="E7">
        <v>2</v>
      </c>
      <c r="F7">
        <v>2023</v>
      </c>
    </row>
    <row r="8" spans="1:6" x14ac:dyDescent="0.25">
      <c r="A8" s="77">
        <v>44985</v>
      </c>
      <c r="B8" s="214">
        <v>44985</v>
      </c>
      <c r="C8" t="s">
        <v>85</v>
      </c>
      <c r="D8" s="173">
        <v>634126</v>
      </c>
      <c r="E8">
        <v>2</v>
      </c>
      <c r="F8">
        <v>2023</v>
      </c>
    </row>
    <row r="9" spans="1:6" x14ac:dyDescent="0.25">
      <c r="A9" s="77">
        <v>44985</v>
      </c>
      <c r="B9" s="214">
        <v>44985</v>
      </c>
      <c r="C9" t="s">
        <v>86</v>
      </c>
      <c r="D9" s="173">
        <v>30580</v>
      </c>
      <c r="E9">
        <v>2</v>
      </c>
      <c r="F9">
        <v>2023</v>
      </c>
    </row>
    <row r="10" spans="1:6" x14ac:dyDescent="0.25">
      <c r="A10" s="77">
        <v>45016</v>
      </c>
      <c r="B10" s="214">
        <v>45016</v>
      </c>
      <c r="C10" t="s">
        <v>83</v>
      </c>
      <c r="D10" s="173">
        <v>1869455</v>
      </c>
      <c r="E10">
        <v>3</v>
      </c>
      <c r="F10">
        <v>2023</v>
      </c>
    </row>
    <row r="11" spans="1:6" x14ac:dyDescent="0.25">
      <c r="A11" s="77">
        <v>45016</v>
      </c>
      <c r="B11" s="214">
        <v>45016</v>
      </c>
      <c r="C11" t="s">
        <v>84</v>
      </c>
      <c r="D11" s="173">
        <v>269884</v>
      </c>
      <c r="E11">
        <v>3</v>
      </c>
      <c r="F11">
        <v>2023</v>
      </c>
    </row>
    <row r="12" spans="1:6" x14ac:dyDescent="0.25">
      <c r="A12" s="77">
        <v>45016</v>
      </c>
      <c r="B12" s="214">
        <v>45016</v>
      </c>
      <c r="C12" t="s">
        <v>85</v>
      </c>
      <c r="D12" s="173">
        <v>745899</v>
      </c>
      <c r="E12">
        <v>3</v>
      </c>
      <c r="F12">
        <v>2023</v>
      </c>
    </row>
    <row r="13" spans="1:6" x14ac:dyDescent="0.25">
      <c r="A13" s="77">
        <v>45016</v>
      </c>
      <c r="B13" s="214">
        <v>45016</v>
      </c>
      <c r="C13" t="s">
        <v>86</v>
      </c>
      <c r="D13" s="173">
        <v>20559</v>
      </c>
      <c r="E13">
        <v>3</v>
      </c>
      <c r="F13">
        <v>2023</v>
      </c>
    </row>
    <row r="14" spans="1:6" x14ac:dyDescent="0.25">
      <c r="A14" s="77">
        <v>45046</v>
      </c>
      <c r="B14" s="214">
        <v>45046</v>
      </c>
      <c r="C14" t="s">
        <v>83</v>
      </c>
      <c r="D14" s="173">
        <v>401703</v>
      </c>
      <c r="E14">
        <v>4</v>
      </c>
      <c r="F14">
        <v>2023</v>
      </c>
    </row>
    <row r="15" spans="1:6" x14ac:dyDescent="0.25">
      <c r="A15" s="77">
        <v>45046</v>
      </c>
      <c r="B15" s="214">
        <v>45046</v>
      </c>
      <c r="C15" t="s">
        <v>84</v>
      </c>
      <c r="D15" s="173">
        <v>73414</v>
      </c>
      <c r="E15">
        <v>4</v>
      </c>
      <c r="F15">
        <v>2023</v>
      </c>
    </row>
    <row r="16" spans="1:6" x14ac:dyDescent="0.25">
      <c r="A16" s="77">
        <v>45046</v>
      </c>
      <c r="B16" s="214">
        <v>45046</v>
      </c>
      <c r="C16" t="s">
        <v>85</v>
      </c>
      <c r="D16" s="173">
        <v>926523</v>
      </c>
      <c r="E16">
        <v>4</v>
      </c>
      <c r="F16">
        <v>2023</v>
      </c>
    </row>
    <row r="17" spans="1:6" x14ac:dyDescent="0.25">
      <c r="A17" s="77">
        <v>45046</v>
      </c>
      <c r="B17" s="214">
        <v>45046</v>
      </c>
      <c r="C17" t="s">
        <v>86</v>
      </c>
      <c r="D17" s="173">
        <v>23299</v>
      </c>
      <c r="E17">
        <v>4</v>
      </c>
      <c r="F17">
        <v>2023</v>
      </c>
    </row>
    <row r="18" spans="1:6" x14ac:dyDescent="0.25">
      <c r="A18" s="77">
        <v>45077</v>
      </c>
      <c r="B18" s="214">
        <v>45077</v>
      </c>
      <c r="C18" t="s">
        <v>83</v>
      </c>
      <c r="D18" s="173">
        <v>499330</v>
      </c>
      <c r="E18">
        <v>5</v>
      </c>
      <c r="F18">
        <v>2023</v>
      </c>
    </row>
    <row r="19" spans="1:6" x14ac:dyDescent="0.25">
      <c r="A19" s="77">
        <v>45077</v>
      </c>
      <c r="B19" s="214">
        <v>45077</v>
      </c>
      <c r="C19" t="s">
        <v>84</v>
      </c>
      <c r="D19" s="173">
        <v>159049</v>
      </c>
      <c r="E19">
        <v>5</v>
      </c>
      <c r="F19">
        <v>2023</v>
      </c>
    </row>
    <row r="20" spans="1:6" x14ac:dyDescent="0.25">
      <c r="A20" s="77">
        <v>45077</v>
      </c>
      <c r="B20" s="214">
        <v>45077</v>
      </c>
      <c r="C20" t="s">
        <v>85</v>
      </c>
      <c r="D20" s="173">
        <v>592663</v>
      </c>
      <c r="E20">
        <v>5</v>
      </c>
      <c r="F20">
        <v>2023</v>
      </c>
    </row>
    <row r="21" spans="1:6" x14ac:dyDescent="0.25">
      <c r="A21" s="77">
        <v>45077</v>
      </c>
      <c r="B21" s="214">
        <v>45077</v>
      </c>
      <c r="C21" t="s">
        <v>86</v>
      </c>
      <c r="D21" s="173">
        <v>76605</v>
      </c>
      <c r="E21">
        <v>5</v>
      </c>
      <c r="F21">
        <v>2023</v>
      </c>
    </row>
    <row r="22" spans="1:6" x14ac:dyDescent="0.25">
      <c r="A22" s="77">
        <v>45107</v>
      </c>
      <c r="B22" s="214">
        <v>45107</v>
      </c>
      <c r="C22" t="s">
        <v>83</v>
      </c>
      <c r="D22" s="173">
        <v>418996</v>
      </c>
      <c r="E22">
        <v>6</v>
      </c>
      <c r="F22">
        <v>2023</v>
      </c>
    </row>
    <row r="23" spans="1:6" x14ac:dyDescent="0.25">
      <c r="A23" s="77">
        <v>45107</v>
      </c>
      <c r="B23" s="214">
        <v>45107</v>
      </c>
      <c r="C23" t="s">
        <v>84</v>
      </c>
      <c r="D23" s="173">
        <v>4697</v>
      </c>
      <c r="E23">
        <v>6</v>
      </c>
      <c r="F23">
        <v>2023</v>
      </c>
    </row>
    <row r="24" spans="1:6" x14ac:dyDescent="0.25">
      <c r="A24" s="77">
        <v>45107</v>
      </c>
      <c r="B24" s="214">
        <v>45107</v>
      </c>
      <c r="C24" t="s">
        <v>85</v>
      </c>
      <c r="D24" s="173">
        <v>617571</v>
      </c>
      <c r="E24">
        <v>6</v>
      </c>
      <c r="F24">
        <v>2023</v>
      </c>
    </row>
    <row r="25" spans="1:6" x14ac:dyDescent="0.25">
      <c r="A25" s="77">
        <v>45107</v>
      </c>
      <c r="B25" s="214">
        <v>45107</v>
      </c>
      <c r="C25" t="s">
        <v>86</v>
      </c>
      <c r="D25" s="173">
        <v>23299</v>
      </c>
      <c r="E25">
        <v>6</v>
      </c>
      <c r="F25">
        <v>2023</v>
      </c>
    </row>
    <row r="26" spans="1:6" x14ac:dyDescent="0.25">
      <c r="A26" s="77">
        <v>45138</v>
      </c>
      <c r="B26" s="214">
        <v>45138</v>
      </c>
      <c r="C26" t="s">
        <v>83</v>
      </c>
      <c r="D26" s="173">
        <v>1005967</v>
      </c>
      <c r="E26">
        <v>7</v>
      </c>
      <c r="F26">
        <v>2023</v>
      </c>
    </row>
    <row r="27" spans="1:6" x14ac:dyDescent="0.25">
      <c r="A27" s="77">
        <v>45138</v>
      </c>
      <c r="B27" s="214">
        <v>45138</v>
      </c>
      <c r="C27" t="s">
        <v>84</v>
      </c>
      <c r="D27" s="173">
        <v>62186</v>
      </c>
      <c r="E27">
        <v>7</v>
      </c>
      <c r="F27">
        <v>2023</v>
      </c>
    </row>
    <row r="28" spans="1:6" x14ac:dyDescent="0.25">
      <c r="A28" s="77">
        <v>45138</v>
      </c>
      <c r="B28" s="214">
        <v>45138</v>
      </c>
      <c r="C28" t="s">
        <v>85</v>
      </c>
      <c r="D28" s="173">
        <v>780150</v>
      </c>
      <c r="E28">
        <v>7</v>
      </c>
      <c r="F28">
        <v>2023</v>
      </c>
    </row>
    <row r="29" spans="1:6" x14ac:dyDescent="0.25">
      <c r="A29" s="77">
        <v>45138</v>
      </c>
      <c r="B29" s="214">
        <v>45138</v>
      </c>
      <c r="C29" t="s">
        <v>86</v>
      </c>
      <c r="D29" s="173">
        <v>23299</v>
      </c>
      <c r="E29">
        <v>7</v>
      </c>
      <c r="F29">
        <v>2023</v>
      </c>
    </row>
    <row r="30" spans="1:6" x14ac:dyDescent="0.25">
      <c r="A30" s="77">
        <v>45169</v>
      </c>
      <c r="B30" s="214">
        <v>45169</v>
      </c>
      <c r="C30" t="s">
        <v>83</v>
      </c>
      <c r="D30" s="173">
        <v>537282.75</v>
      </c>
      <c r="E30">
        <v>8</v>
      </c>
      <c r="F30">
        <v>2023</v>
      </c>
    </row>
    <row r="31" spans="1:6" x14ac:dyDescent="0.25">
      <c r="A31" s="77">
        <v>45169</v>
      </c>
      <c r="B31" s="214">
        <v>45169</v>
      </c>
      <c r="C31" t="s">
        <v>84</v>
      </c>
      <c r="D31" s="173">
        <v>182612.6</v>
      </c>
      <c r="E31">
        <v>8</v>
      </c>
      <c r="F31">
        <v>2023</v>
      </c>
    </row>
    <row r="32" spans="1:6" x14ac:dyDescent="0.25">
      <c r="A32" s="77">
        <v>45169</v>
      </c>
      <c r="B32" s="214">
        <v>45169</v>
      </c>
      <c r="C32" t="s">
        <v>85</v>
      </c>
      <c r="D32" s="173">
        <v>691486</v>
      </c>
      <c r="E32">
        <v>8</v>
      </c>
      <c r="F32">
        <v>2023</v>
      </c>
    </row>
    <row r="33" spans="1:6" x14ac:dyDescent="0.25">
      <c r="A33" s="77">
        <v>45169</v>
      </c>
      <c r="B33" s="214">
        <v>45169</v>
      </c>
      <c r="C33" t="s">
        <v>86</v>
      </c>
      <c r="D33" s="173">
        <v>23299</v>
      </c>
      <c r="E33">
        <v>8</v>
      </c>
      <c r="F33">
        <v>2023</v>
      </c>
    </row>
    <row r="34" spans="1:6" x14ac:dyDescent="0.25">
      <c r="A34" s="77">
        <v>45199</v>
      </c>
      <c r="B34" s="214">
        <v>45199</v>
      </c>
      <c r="C34" t="s">
        <v>83</v>
      </c>
      <c r="D34" s="173">
        <v>715441.66</v>
      </c>
      <c r="E34">
        <v>9</v>
      </c>
      <c r="F34">
        <v>2023</v>
      </c>
    </row>
    <row r="35" spans="1:6" x14ac:dyDescent="0.25">
      <c r="A35" s="77">
        <v>45199</v>
      </c>
      <c r="B35" s="214">
        <v>45199</v>
      </c>
      <c r="C35" t="s">
        <v>84</v>
      </c>
      <c r="D35" s="173">
        <v>209071.65000000002</v>
      </c>
      <c r="E35">
        <v>9</v>
      </c>
      <c r="F35">
        <v>2023</v>
      </c>
    </row>
    <row r="36" spans="1:6" x14ac:dyDescent="0.25">
      <c r="A36" s="77">
        <v>45199</v>
      </c>
      <c r="B36" s="214">
        <v>45199</v>
      </c>
      <c r="C36" t="s">
        <v>85</v>
      </c>
      <c r="D36" s="173">
        <v>889831.49</v>
      </c>
      <c r="E36">
        <v>9</v>
      </c>
      <c r="F36">
        <v>2023</v>
      </c>
    </row>
    <row r="37" spans="1:6" x14ac:dyDescent="0.25">
      <c r="A37" s="77">
        <v>45199</v>
      </c>
      <c r="B37" s="214">
        <v>45199</v>
      </c>
      <c r="C37" t="s">
        <v>86</v>
      </c>
      <c r="D37" s="173">
        <v>23299</v>
      </c>
      <c r="E37">
        <v>9</v>
      </c>
      <c r="F37">
        <v>2023</v>
      </c>
    </row>
    <row r="38" spans="1:6" x14ac:dyDescent="0.25">
      <c r="A38" s="77">
        <v>45230</v>
      </c>
      <c r="B38" s="214">
        <v>45230</v>
      </c>
      <c r="C38" t="s">
        <v>83</v>
      </c>
      <c r="D38" s="173">
        <v>572691.44999999995</v>
      </c>
      <c r="E38">
        <v>10</v>
      </c>
      <c r="F38">
        <v>2023</v>
      </c>
    </row>
    <row r="39" spans="1:6" x14ac:dyDescent="0.25">
      <c r="A39" s="77">
        <v>45230</v>
      </c>
      <c r="B39" s="214">
        <v>45230</v>
      </c>
      <c r="C39" t="s">
        <v>84</v>
      </c>
      <c r="D39" s="173">
        <v>58290.100000000006</v>
      </c>
      <c r="E39">
        <v>10</v>
      </c>
      <c r="F39">
        <v>2023</v>
      </c>
    </row>
    <row r="40" spans="1:6" x14ac:dyDescent="0.25">
      <c r="A40" s="77">
        <v>45230</v>
      </c>
      <c r="B40" s="214">
        <v>45230</v>
      </c>
      <c r="C40" t="s">
        <v>85</v>
      </c>
      <c r="D40" s="173">
        <v>950203.78</v>
      </c>
      <c r="E40">
        <v>10</v>
      </c>
      <c r="F40">
        <v>2023</v>
      </c>
    </row>
    <row r="41" spans="1:6" x14ac:dyDescent="0.25">
      <c r="A41" s="77">
        <v>45230</v>
      </c>
      <c r="B41" s="214">
        <v>45230</v>
      </c>
      <c r="C41" t="s">
        <v>86</v>
      </c>
      <c r="D41" s="173">
        <v>23299</v>
      </c>
      <c r="E41">
        <v>10</v>
      </c>
      <c r="F41">
        <v>2023</v>
      </c>
    </row>
    <row r="42" spans="1:6" x14ac:dyDescent="0.25">
      <c r="A42" s="77">
        <v>45260</v>
      </c>
      <c r="B42" s="214">
        <v>45260</v>
      </c>
      <c r="C42" t="s">
        <v>83</v>
      </c>
      <c r="D42" s="173">
        <v>831308.7</v>
      </c>
      <c r="E42">
        <v>11</v>
      </c>
      <c r="F42">
        <v>2023</v>
      </c>
    </row>
    <row r="43" spans="1:6" x14ac:dyDescent="0.25">
      <c r="A43" s="77">
        <v>45260</v>
      </c>
      <c r="B43" s="214">
        <v>45260</v>
      </c>
      <c r="C43" t="s">
        <v>84</v>
      </c>
      <c r="D43" s="173">
        <v>42689.64</v>
      </c>
      <c r="E43">
        <v>11</v>
      </c>
      <c r="F43">
        <v>2023</v>
      </c>
    </row>
    <row r="44" spans="1:6" x14ac:dyDescent="0.25">
      <c r="A44" s="77">
        <v>45260</v>
      </c>
      <c r="B44" s="214">
        <v>45260</v>
      </c>
      <c r="C44" t="s">
        <v>85</v>
      </c>
      <c r="D44" s="173">
        <v>842665.62</v>
      </c>
      <c r="E44">
        <v>11</v>
      </c>
      <c r="F44">
        <v>2023</v>
      </c>
    </row>
    <row r="45" spans="1:6" x14ac:dyDescent="0.25">
      <c r="A45" s="77">
        <v>45260</v>
      </c>
      <c r="B45" s="214">
        <v>45260</v>
      </c>
      <c r="C45" t="s">
        <v>86</v>
      </c>
      <c r="D45" s="173">
        <v>23299</v>
      </c>
      <c r="E45">
        <v>11</v>
      </c>
      <c r="F45">
        <v>2023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4">
    <tabColor theme="4"/>
    <pageSetUpPr fitToPage="1"/>
  </sheetPr>
  <dimension ref="A1:N13"/>
  <sheetViews>
    <sheetView tabSelected="1" topLeftCell="A2" zoomScale="90" zoomScaleNormal="90" workbookViewId="0">
      <selection activeCell="I16" sqref="I16"/>
    </sheetView>
  </sheetViews>
  <sheetFormatPr baseColWidth="10" defaultRowHeight="15.75" x14ac:dyDescent="0.25"/>
  <cols>
    <col min="1" max="1" width="18.625" bestFit="1" customWidth="1"/>
    <col min="2" max="2" width="21.5" bestFit="1" customWidth="1"/>
    <col min="3" max="12" width="10.625" customWidth="1"/>
    <col min="13" max="13" width="9.375" bestFit="1" customWidth="1"/>
    <col min="14" max="14" width="11.125" bestFit="1" customWidth="1"/>
    <col min="15" max="15" width="14" bestFit="1" customWidth="1"/>
    <col min="16" max="16" width="11.125" bestFit="1" customWidth="1"/>
    <col min="17" max="17" width="14" bestFit="1" customWidth="1"/>
    <col min="18" max="18" width="11.875" bestFit="1" customWidth="1"/>
    <col min="19" max="19" width="9.375" bestFit="1" customWidth="1"/>
    <col min="20" max="20" width="10.125" bestFit="1" customWidth="1"/>
    <col min="21" max="21" width="7.5" bestFit="1" customWidth="1"/>
    <col min="22" max="22" width="9.375" bestFit="1" customWidth="1"/>
    <col min="23" max="23" width="11.125" bestFit="1" customWidth="1"/>
    <col min="24" max="24" width="8.5" bestFit="1" customWidth="1"/>
    <col min="25" max="25" width="11.625" bestFit="1" customWidth="1"/>
  </cols>
  <sheetData>
    <row r="1" spans="1:14" ht="33" customHeight="1" thickBot="1" x14ac:dyDescent="0.3"/>
    <row r="2" spans="1:14" ht="28.5" customHeight="1" thickBot="1" x14ac:dyDescent="0.3">
      <c r="A2" s="358" t="s">
        <v>231</v>
      </c>
      <c r="B2" s="359"/>
      <c r="C2" s="359"/>
      <c r="D2" s="359"/>
      <c r="E2" s="359"/>
      <c r="F2" s="359"/>
      <c r="G2" s="359"/>
      <c r="H2" s="359"/>
      <c r="I2" s="359"/>
      <c r="J2" s="360"/>
      <c r="K2" s="235"/>
      <c r="L2" s="235"/>
      <c r="M2" s="235"/>
      <c r="N2" s="235"/>
    </row>
    <row r="3" spans="1:14" ht="15" customHeight="1" x14ac:dyDescent="0.25">
      <c r="A3" s="287" t="s">
        <v>556</v>
      </c>
      <c r="B3" s="336" t="s">
        <v>558</v>
      </c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288"/>
    </row>
    <row r="4" spans="1:14" s="187" customFormat="1" ht="30" customHeight="1" x14ac:dyDescent="0.25">
      <c r="A4" s="326" t="s">
        <v>567</v>
      </c>
      <c r="B4" s="337" t="s">
        <v>559</v>
      </c>
      <c r="C4" s="337" t="s">
        <v>560</v>
      </c>
      <c r="D4" s="337" t="s">
        <v>561</v>
      </c>
      <c r="E4" s="337" t="s">
        <v>562</v>
      </c>
      <c r="F4" s="337" t="s">
        <v>563</v>
      </c>
      <c r="G4" s="337" t="s">
        <v>564</v>
      </c>
      <c r="H4" s="337" t="s">
        <v>565</v>
      </c>
      <c r="I4" s="337" t="s">
        <v>566</v>
      </c>
      <c r="J4" s="191" t="s">
        <v>708</v>
      </c>
      <c r="K4" s="2" t="s">
        <v>783</v>
      </c>
      <c r="L4" s="335" t="s">
        <v>841</v>
      </c>
      <c r="M4" s="289" t="s">
        <v>111</v>
      </c>
    </row>
    <row r="5" spans="1:14" ht="30" customHeight="1" x14ac:dyDescent="0.25">
      <c r="A5" s="290" t="s">
        <v>84</v>
      </c>
      <c r="B5" s="439">
        <v>197390</v>
      </c>
      <c r="C5" s="439">
        <v>72846</v>
      </c>
      <c r="D5" s="439">
        <v>269884</v>
      </c>
      <c r="E5" s="439">
        <v>73414</v>
      </c>
      <c r="F5" s="439">
        <v>159049</v>
      </c>
      <c r="G5" s="439">
        <v>4697</v>
      </c>
      <c r="H5" s="439">
        <v>62186</v>
      </c>
      <c r="I5" s="439">
        <v>182612.6</v>
      </c>
      <c r="J5" s="439">
        <v>209071.65000000002</v>
      </c>
      <c r="K5" s="439">
        <v>58290.100000000006</v>
      </c>
      <c r="L5" s="439">
        <v>42689.64</v>
      </c>
      <c r="M5" s="440">
        <v>1332129.99</v>
      </c>
    </row>
    <row r="6" spans="1:14" ht="30" customHeight="1" x14ac:dyDescent="0.25">
      <c r="A6" s="290" t="s">
        <v>83</v>
      </c>
      <c r="B6" s="439">
        <v>157806</v>
      </c>
      <c r="C6" s="439">
        <v>458328</v>
      </c>
      <c r="D6" s="439">
        <v>1869455</v>
      </c>
      <c r="E6" s="439">
        <v>401703</v>
      </c>
      <c r="F6" s="439">
        <v>499330</v>
      </c>
      <c r="G6" s="439">
        <v>418996</v>
      </c>
      <c r="H6" s="439">
        <v>1005967</v>
      </c>
      <c r="I6" s="439">
        <v>537282.75</v>
      </c>
      <c r="J6" s="439">
        <v>715441.66</v>
      </c>
      <c r="K6" s="439">
        <v>572691.44999999995</v>
      </c>
      <c r="L6" s="439">
        <v>831308.7</v>
      </c>
      <c r="M6" s="440">
        <v>7468309.5600000005</v>
      </c>
    </row>
    <row r="7" spans="1:14" ht="30" customHeight="1" thickBot="1" x14ac:dyDescent="0.3">
      <c r="A7" s="291" t="s">
        <v>111</v>
      </c>
      <c r="B7" s="441">
        <v>355196</v>
      </c>
      <c r="C7" s="441">
        <v>531174</v>
      </c>
      <c r="D7" s="441">
        <v>2139339</v>
      </c>
      <c r="E7" s="441">
        <v>475117</v>
      </c>
      <c r="F7" s="441">
        <v>658379</v>
      </c>
      <c r="G7" s="441">
        <v>423693</v>
      </c>
      <c r="H7" s="441">
        <v>1068153</v>
      </c>
      <c r="I7" s="441">
        <v>719895.35</v>
      </c>
      <c r="J7" s="441">
        <v>924513.31</v>
      </c>
      <c r="K7" s="441">
        <v>630981.54999999993</v>
      </c>
      <c r="L7" s="441">
        <v>873998.34</v>
      </c>
      <c r="M7" s="442">
        <v>8800439.5500000007</v>
      </c>
    </row>
    <row r="8" spans="1:14" ht="15" customHeight="1" thickBot="1" x14ac:dyDescent="0.3">
      <c r="A8" s="295" t="s">
        <v>556</v>
      </c>
      <c r="B8" s="443" t="s">
        <v>558</v>
      </c>
      <c r="C8" s="444"/>
      <c r="D8" s="445"/>
      <c r="E8" s="445"/>
      <c r="F8" s="445"/>
      <c r="G8" s="445"/>
      <c r="H8" s="445"/>
      <c r="I8" s="445"/>
      <c r="J8" s="445"/>
      <c r="K8" s="445"/>
      <c r="L8" s="445"/>
      <c r="M8" s="446"/>
    </row>
    <row r="9" spans="1:14" s="187" customFormat="1" ht="30" customHeight="1" thickBot="1" x14ac:dyDescent="0.3">
      <c r="A9" s="296" t="s">
        <v>567</v>
      </c>
      <c r="B9" s="447" t="s">
        <v>559</v>
      </c>
      <c r="C9" s="448" t="s">
        <v>560</v>
      </c>
      <c r="D9" s="448" t="s">
        <v>561</v>
      </c>
      <c r="E9" s="448" t="s">
        <v>562</v>
      </c>
      <c r="F9" s="448" t="s">
        <v>563</v>
      </c>
      <c r="G9" s="448" t="s">
        <v>564</v>
      </c>
      <c r="H9" s="448" t="s">
        <v>565</v>
      </c>
      <c r="I9" s="449" t="s">
        <v>566</v>
      </c>
      <c r="J9" s="450" t="s">
        <v>708</v>
      </c>
      <c r="K9" s="451" t="s">
        <v>783</v>
      </c>
      <c r="L9" s="452" t="s">
        <v>841</v>
      </c>
      <c r="M9" s="453" t="s">
        <v>111</v>
      </c>
    </row>
    <row r="10" spans="1:14" ht="30" customHeight="1" x14ac:dyDescent="0.25">
      <c r="A10" s="292" t="s">
        <v>85</v>
      </c>
      <c r="B10" s="454">
        <v>374646</v>
      </c>
      <c r="C10" s="439">
        <v>634126</v>
      </c>
      <c r="D10" s="439">
        <v>745899</v>
      </c>
      <c r="E10" s="439">
        <v>926523</v>
      </c>
      <c r="F10" s="439">
        <v>592663</v>
      </c>
      <c r="G10" s="439">
        <v>617571</v>
      </c>
      <c r="H10" s="439">
        <v>780150</v>
      </c>
      <c r="I10" s="439">
        <v>691486</v>
      </c>
      <c r="J10" s="439">
        <v>889831.49</v>
      </c>
      <c r="K10" s="439">
        <v>950203.78</v>
      </c>
      <c r="L10" s="439">
        <v>842665.62</v>
      </c>
      <c r="M10" s="440">
        <v>8045764.8900000006</v>
      </c>
    </row>
    <row r="11" spans="1:14" ht="30" customHeight="1" thickBot="1" x14ac:dyDescent="0.3">
      <c r="A11" s="293" t="s">
        <v>86</v>
      </c>
      <c r="B11" s="454">
        <v>14022</v>
      </c>
      <c r="C11" s="439">
        <v>30580</v>
      </c>
      <c r="D11" s="439">
        <v>20559</v>
      </c>
      <c r="E11" s="439">
        <v>23299</v>
      </c>
      <c r="F11" s="439">
        <v>76605</v>
      </c>
      <c r="G11" s="439">
        <v>23299</v>
      </c>
      <c r="H11" s="439">
        <v>23299</v>
      </c>
      <c r="I11" s="439">
        <v>23299</v>
      </c>
      <c r="J11" s="439">
        <v>23299</v>
      </c>
      <c r="K11" s="439">
        <v>23299</v>
      </c>
      <c r="L11" s="439">
        <v>23299</v>
      </c>
      <c r="M11" s="440">
        <v>304859</v>
      </c>
    </row>
    <row r="12" spans="1:14" ht="30" customHeight="1" thickBot="1" x14ac:dyDescent="0.3">
      <c r="A12" s="294" t="s">
        <v>111</v>
      </c>
      <c r="B12" s="455">
        <v>388668</v>
      </c>
      <c r="C12" s="441">
        <v>664706</v>
      </c>
      <c r="D12" s="441">
        <v>766458</v>
      </c>
      <c r="E12" s="441">
        <v>949822</v>
      </c>
      <c r="F12" s="441">
        <v>669268</v>
      </c>
      <c r="G12" s="441">
        <v>640870</v>
      </c>
      <c r="H12" s="441">
        <v>803449</v>
      </c>
      <c r="I12" s="441">
        <v>714785</v>
      </c>
      <c r="J12" s="441">
        <v>913130.49</v>
      </c>
      <c r="K12" s="441">
        <v>973502.78</v>
      </c>
      <c r="L12" s="441">
        <v>865964.62</v>
      </c>
      <c r="M12" s="442">
        <v>8350623.8900000006</v>
      </c>
    </row>
    <row r="13" spans="1:14" s="187" customFormat="1" ht="30" customHeight="1" thickBot="1" x14ac:dyDescent="0.3">
      <c r="A13" s="224" t="s">
        <v>87</v>
      </c>
      <c r="B13" s="456">
        <f>GETPIVOTDATA("Monto",$A$3,"Meses (Fecha)",1)-GETPIVOTDATA("Monto",$A$8,"Meses (Fecha)",1)</f>
        <v>-33472</v>
      </c>
      <c r="C13" s="456">
        <f>GETPIVOTDATA("Monto",$A$3,"Meses (Fecha)",2)-GETPIVOTDATA("Monto",$A$8,"Meses (Fecha)",2)</f>
        <v>-133532</v>
      </c>
      <c r="D13" s="456">
        <f>GETPIVOTDATA("Monto",$A$3,"Meses (Fecha)",3)-GETPIVOTDATA("Monto",$A$8,"Meses (Fecha)",3)</f>
        <v>1372881</v>
      </c>
      <c r="E13" s="456">
        <f>GETPIVOTDATA("Monto",$A$3,"Meses (Fecha)",4)-GETPIVOTDATA("Monto",$A$8,"Meses (Fecha)",4)</f>
        <v>-474705</v>
      </c>
      <c r="F13" s="456">
        <f>GETPIVOTDATA("Monto",$A$3,"Meses (Fecha)",5)-GETPIVOTDATA("Monto",$A$8,"Meses (Fecha)",5)</f>
        <v>-10889</v>
      </c>
      <c r="G13" s="456">
        <f>GETPIVOTDATA("Monto",$A$3,"Meses (Fecha)",6)-GETPIVOTDATA("Monto",$A$8,"Meses (Fecha)",6)</f>
        <v>-217177</v>
      </c>
      <c r="H13" s="456">
        <f>GETPIVOTDATA("Monto",$A$3,"Meses (Fecha)",7)-GETPIVOTDATA("Monto",$A$8,"Meses (Fecha)",7)</f>
        <v>264704</v>
      </c>
      <c r="I13" s="456">
        <f>GETPIVOTDATA("Monto",$A$3,"Meses (Fecha)",8)-GETPIVOTDATA("Monto",$A$8,"Meses (Fecha)",8)</f>
        <v>5110.3499999999767</v>
      </c>
      <c r="J13" s="457">
        <f>GETPIVOTDATA("Monto",$A$3,"Meses (Fecha)",9)-GETPIVOTDATA("Monto",$A$8,"Meses (Fecha)",9)</f>
        <v>11382.820000000065</v>
      </c>
      <c r="K13" s="458">
        <f>GETPIVOTDATA("Monto",$A$3,"Meses (Fecha)",10)-GETPIVOTDATA("Monto",$A$8,"Meses (Fecha)",10)</f>
        <v>-342521.2300000001</v>
      </c>
      <c r="L13" s="459">
        <f>GETPIVOTDATA("Monto",$A$3,"Meses (Fecha)",11)-GETPIVOTDATA("Monto",$A$8,"Meses (Fecha)",11)</f>
        <v>8033.7199999999721</v>
      </c>
      <c r="M13" s="459"/>
    </row>
  </sheetData>
  <mergeCells count="1">
    <mergeCell ref="A2:J2"/>
  </mergeCells>
  <printOptions horizontalCentered="1" verticalCentered="1"/>
  <pageMargins left="0" right="0" top="0.74803149606299213" bottom="0.74803149606299213" header="0.31496062992125984" footer="0.31496062992125984"/>
  <pageSetup paperSize="9" orientation="landscape"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5">
    <tabColor theme="9" tint="0.59999389629810485"/>
  </sheetPr>
  <dimension ref="B1:Y20"/>
  <sheetViews>
    <sheetView topLeftCell="A6" workbookViewId="0">
      <selection activeCell="J17" sqref="J17"/>
    </sheetView>
  </sheetViews>
  <sheetFormatPr baseColWidth="10" defaultColWidth="8" defaultRowHeight="12.75" x14ac:dyDescent="0.2"/>
  <cols>
    <col min="1" max="1" width="3.25" style="12" customWidth="1"/>
    <col min="2" max="2" width="26.875" style="10" customWidth="1"/>
    <col min="3" max="5" width="9.375" style="11" customWidth="1"/>
    <col min="6" max="14" width="9.375" style="12" customWidth="1"/>
    <col min="15" max="15" width="13.75" style="12" customWidth="1"/>
    <col min="16" max="16384" width="8" style="12"/>
  </cols>
  <sheetData>
    <row r="1" spans="2:25" ht="27.75" customHeight="1" thickBot="1" x14ac:dyDescent="0.25">
      <c r="F1" s="363" t="s">
        <v>88</v>
      </c>
      <c r="G1" s="364"/>
      <c r="H1" s="364"/>
      <c r="I1" s="364"/>
      <c r="J1" s="365"/>
    </row>
    <row r="2" spans="2:25" ht="22.5" customHeight="1" thickBot="1" x14ac:dyDescent="0.25">
      <c r="B2" s="366" t="s">
        <v>89</v>
      </c>
      <c r="C2" s="367"/>
      <c r="D2" s="368" t="s">
        <v>90</v>
      </c>
      <c r="E2" s="369"/>
      <c r="F2" s="369"/>
      <c r="G2" s="369"/>
      <c r="H2" s="369"/>
      <c r="I2" s="369"/>
      <c r="J2" s="369"/>
      <c r="K2" s="369"/>
      <c r="L2" s="369"/>
      <c r="M2" s="369"/>
      <c r="N2" s="369"/>
      <c r="O2" s="369"/>
    </row>
    <row r="3" spans="2:25" ht="17.100000000000001" customHeight="1" thickBot="1" x14ac:dyDescent="0.25">
      <c r="E3" s="13"/>
    </row>
    <row r="4" spans="2:25" ht="30" customHeight="1" thickBot="1" x14ac:dyDescent="0.25">
      <c r="B4" s="14">
        <v>2023</v>
      </c>
      <c r="C4" s="15" t="s">
        <v>91</v>
      </c>
      <c r="D4" s="16" t="s">
        <v>92</v>
      </c>
      <c r="E4" s="17" t="s">
        <v>93</v>
      </c>
      <c r="F4" s="16" t="s">
        <v>94</v>
      </c>
      <c r="G4" s="17" t="s">
        <v>95</v>
      </c>
      <c r="H4" s="16" t="s">
        <v>96</v>
      </c>
      <c r="I4" s="17" t="s">
        <v>97</v>
      </c>
      <c r="J4" s="16" t="s">
        <v>98</v>
      </c>
      <c r="K4" s="17" t="s">
        <v>99</v>
      </c>
      <c r="L4" s="16" t="s">
        <v>100</v>
      </c>
      <c r="M4" s="17" t="s">
        <v>101</v>
      </c>
      <c r="N4" s="16" t="s">
        <v>102</v>
      </c>
      <c r="O4" s="18" t="s">
        <v>78</v>
      </c>
    </row>
    <row r="5" spans="2:25" ht="30" customHeight="1" thickBot="1" x14ac:dyDescent="0.25">
      <c r="B5" s="19" t="s">
        <v>103</v>
      </c>
      <c r="C5" s="20"/>
      <c r="D5" s="21"/>
      <c r="E5" s="22"/>
      <c r="F5" s="22"/>
      <c r="G5" s="21"/>
      <c r="H5" s="22"/>
      <c r="I5" s="22"/>
      <c r="J5" s="22"/>
      <c r="K5" s="22"/>
      <c r="L5" s="22"/>
      <c r="M5" s="22"/>
      <c r="N5" s="23"/>
      <c r="O5" s="24">
        <f t="shared" ref="O5:O10" si="0">SUM(C5:N5)</f>
        <v>0</v>
      </c>
    </row>
    <row r="6" spans="2:25" ht="30" customHeight="1" thickBot="1" x14ac:dyDescent="0.25">
      <c r="B6" s="25" t="s">
        <v>104</v>
      </c>
      <c r="C6" s="26"/>
      <c r="D6" s="27"/>
      <c r="E6" s="28"/>
      <c r="F6" s="28"/>
      <c r="G6" s="27"/>
      <c r="H6" s="28"/>
      <c r="I6" s="28"/>
      <c r="J6" s="28"/>
      <c r="K6" s="28"/>
      <c r="L6" s="28"/>
      <c r="M6" s="28"/>
      <c r="N6" s="29"/>
      <c r="O6" s="30">
        <f t="shared" si="0"/>
        <v>0</v>
      </c>
      <c r="P6" s="370"/>
      <c r="Q6" s="371"/>
      <c r="R6" s="371"/>
      <c r="S6" s="371"/>
      <c r="T6" s="371"/>
      <c r="U6" s="371"/>
      <c r="V6" s="371"/>
      <c r="W6" s="371"/>
      <c r="X6" s="371"/>
      <c r="Y6" s="371"/>
    </row>
    <row r="7" spans="2:25" ht="30" customHeight="1" thickBot="1" x14ac:dyDescent="0.25">
      <c r="B7" s="31"/>
      <c r="C7" s="32"/>
      <c r="D7" s="33"/>
      <c r="E7" s="34"/>
      <c r="F7" s="34"/>
      <c r="G7" s="33"/>
      <c r="H7" s="34"/>
      <c r="I7" s="34"/>
      <c r="J7" s="34"/>
      <c r="K7" s="34"/>
      <c r="L7" s="34"/>
      <c r="M7" s="34"/>
      <c r="N7" s="35"/>
      <c r="O7" s="36">
        <f t="shared" si="0"/>
        <v>0</v>
      </c>
      <c r="P7" s="372"/>
      <c r="Q7" s="373"/>
      <c r="R7" s="373"/>
      <c r="S7" s="373"/>
      <c r="T7" s="373"/>
      <c r="U7" s="373"/>
      <c r="V7" s="373"/>
    </row>
    <row r="8" spans="2:25" ht="30" customHeight="1" thickBot="1" x14ac:dyDescent="0.25">
      <c r="B8" s="37"/>
      <c r="C8" s="38"/>
      <c r="D8" s="39"/>
      <c r="E8" s="40"/>
      <c r="F8" s="40"/>
      <c r="G8" s="39"/>
      <c r="H8" s="40"/>
      <c r="I8" s="40"/>
      <c r="J8" s="40"/>
      <c r="K8" s="40"/>
      <c r="L8" s="40"/>
      <c r="M8" s="40"/>
      <c r="N8" s="41"/>
      <c r="O8" s="42">
        <f t="shared" si="0"/>
        <v>0</v>
      </c>
      <c r="P8" s="361"/>
      <c r="Q8" s="362"/>
      <c r="R8" s="362"/>
      <c r="S8" s="362"/>
      <c r="T8" s="362"/>
      <c r="U8" s="362"/>
      <c r="V8" s="362"/>
    </row>
    <row r="9" spans="2:25" ht="30" customHeight="1" thickBot="1" x14ac:dyDescent="0.25">
      <c r="B9" s="43"/>
      <c r="C9" s="38"/>
      <c r="D9" s="39"/>
      <c r="E9" s="40"/>
      <c r="F9" s="40"/>
      <c r="G9" s="39"/>
      <c r="H9" s="40"/>
      <c r="I9" s="40"/>
      <c r="J9" s="40"/>
      <c r="K9" s="40"/>
      <c r="L9" s="40"/>
      <c r="M9" s="40"/>
      <c r="N9" s="41"/>
      <c r="O9" s="42">
        <f t="shared" si="0"/>
        <v>0</v>
      </c>
      <c r="P9" s="361"/>
      <c r="Q9" s="362"/>
      <c r="R9" s="362"/>
      <c r="S9" s="362"/>
      <c r="T9" s="362"/>
      <c r="U9" s="362"/>
      <c r="V9" s="362"/>
    </row>
    <row r="10" spans="2:25" ht="30" customHeight="1" thickBot="1" x14ac:dyDescent="0.25">
      <c r="B10" s="44" t="s">
        <v>105</v>
      </c>
      <c r="C10" s="45">
        <f>SUM(C5:C9)</f>
        <v>0</v>
      </c>
      <c r="D10" s="46">
        <f t="shared" ref="D10:N10" si="1">SUM(D5:D9)</f>
        <v>0</v>
      </c>
      <c r="E10" s="45">
        <f t="shared" si="1"/>
        <v>0</v>
      </c>
      <c r="F10" s="45">
        <f t="shared" si="1"/>
        <v>0</v>
      </c>
      <c r="G10" s="46">
        <f t="shared" si="1"/>
        <v>0</v>
      </c>
      <c r="H10" s="45">
        <f t="shared" si="1"/>
        <v>0</v>
      </c>
      <c r="I10" s="45">
        <f t="shared" si="1"/>
        <v>0</v>
      </c>
      <c r="J10" s="45">
        <f t="shared" si="1"/>
        <v>0</v>
      </c>
      <c r="K10" s="45">
        <f t="shared" si="1"/>
        <v>0</v>
      </c>
      <c r="L10" s="45">
        <f t="shared" si="1"/>
        <v>0</v>
      </c>
      <c r="M10" s="45">
        <f t="shared" si="1"/>
        <v>0</v>
      </c>
      <c r="N10" s="45">
        <f t="shared" si="1"/>
        <v>0</v>
      </c>
      <c r="O10" s="47">
        <f t="shared" si="0"/>
        <v>0</v>
      </c>
      <c r="P10" s="370"/>
      <c r="Q10" s="371"/>
      <c r="R10" s="371"/>
      <c r="S10" s="371"/>
      <c r="T10" s="371"/>
      <c r="U10" s="371"/>
      <c r="V10" s="371"/>
    </row>
    <row r="11" spans="2:25" ht="20.100000000000001" customHeight="1" x14ac:dyDescent="0.2"/>
    <row r="12" spans="2:25" ht="20.100000000000001" customHeight="1" x14ac:dyDescent="0.2">
      <c r="B12" s="375" t="s">
        <v>106</v>
      </c>
      <c r="C12" s="375"/>
      <c r="D12" s="375"/>
      <c r="E12" s="375"/>
      <c r="F12" s="375"/>
      <c r="G12" s="375"/>
      <c r="H12" s="375"/>
      <c r="I12" s="375"/>
      <c r="J12" s="375"/>
      <c r="K12" s="375"/>
      <c r="L12" s="375"/>
      <c r="M12" s="375"/>
      <c r="N12" s="375"/>
      <c r="O12" s="375"/>
    </row>
    <row r="13" spans="2:25" ht="20.100000000000001" customHeight="1" x14ac:dyDescent="0.2">
      <c r="B13" s="375"/>
      <c r="C13" s="375"/>
      <c r="D13" s="375"/>
      <c r="E13" s="375"/>
      <c r="F13" s="375"/>
      <c r="G13" s="375"/>
      <c r="H13" s="375"/>
      <c r="I13" s="375"/>
      <c r="J13" s="375"/>
      <c r="K13" s="375"/>
      <c r="L13" s="375"/>
      <c r="M13" s="375"/>
      <c r="N13" s="375"/>
      <c r="O13" s="375"/>
    </row>
    <row r="14" spans="2:25" ht="20.100000000000001" customHeight="1" x14ac:dyDescent="0.2"/>
    <row r="15" spans="2:25" ht="20.100000000000001" customHeight="1" x14ac:dyDescent="0.2">
      <c r="B15" s="375" t="s">
        <v>107</v>
      </c>
      <c r="C15" s="375"/>
      <c r="D15" s="375"/>
      <c r="E15" s="375"/>
      <c r="F15" s="375"/>
      <c r="G15" s="375"/>
      <c r="H15" s="375"/>
      <c r="I15" s="375"/>
      <c r="J15" s="375"/>
      <c r="K15" s="375"/>
      <c r="L15" s="375"/>
      <c r="M15" s="375"/>
      <c r="N15" s="375"/>
      <c r="O15" s="375"/>
    </row>
    <row r="16" spans="2:25" ht="20.100000000000001" customHeight="1" x14ac:dyDescent="0.2"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</row>
    <row r="17" spans="2:15" ht="20.100000000000001" customHeight="1" x14ac:dyDescent="0.2"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</row>
    <row r="18" spans="2:15" ht="20.100000000000001" customHeight="1" x14ac:dyDescent="0.2">
      <c r="B18" s="370" t="s">
        <v>108</v>
      </c>
      <c r="C18" s="371"/>
      <c r="D18" s="371"/>
      <c r="E18" s="371"/>
      <c r="F18" s="371"/>
      <c r="G18" s="371"/>
      <c r="H18" s="371"/>
      <c r="I18" s="371"/>
      <c r="J18" s="371"/>
    </row>
    <row r="19" spans="2:15" ht="24.75" customHeight="1" x14ac:dyDescent="0.2">
      <c r="B19" s="376" t="s">
        <v>109</v>
      </c>
      <c r="C19" s="376"/>
      <c r="D19" s="376"/>
      <c r="E19" s="376"/>
      <c r="F19" s="376"/>
      <c r="G19" s="376"/>
      <c r="H19" s="376"/>
      <c r="I19" s="376"/>
      <c r="J19" s="376"/>
      <c r="K19" s="376"/>
      <c r="L19" s="376"/>
      <c r="M19" s="376"/>
      <c r="N19" s="376"/>
      <c r="O19" s="376"/>
    </row>
    <row r="20" spans="2:15" ht="36" customHeight="1" x14ac:dyDescent="0.2">
      <c r="B20" s="374" t="s">
        <v>110</v>
      </c>
      <c r="C20" s="374"/>
      <c r="D20" s="374"/>
      <c r="E20" s="374"/>
      <c r="F20" s="374"/>
      <c r="G20" s="374"/>
      <c r="H20" s="374"/>
      <c r="I20" s="374"/>
      <c r="J20" s="374"/>
      <c r="K20" s="374"/>
      <c r="L20" s="374"/>
      <c r="M20" s="374"/>
      <c r="N20" s="374"/>
      <c r="O20" s="374"/>
    </row>
  </sheetData>
  <mergeCells count="13">
    <mergeCell ref="B20:O20"/>
    <mergeCell ref="P9:V9"/>
    <mergeCell ref="P10:V10"/>
    <mergeCell ref="B12:O13"/>
    <mergeCell ref="B15:O15"/>
    <mergeCell ref="B18:J18"/>
    <mergeCell ref="B19:O19"/>
    <mergeCell ref="P8:V8"/>
    <mergeCell ref="F1:J1"/>
    <mergeCell ref="B2:C2"/>
    <mergeCell ref="D2:O2"/>
    <mergeCell ref="P6:Y6"/>
    <mergeCell ref="P7:V7"/>
  </mergeCells>
  <dataValidations count="1">
    <dataValidation type="decimal" allowBlank="1" showDropDown="1" sqref="C10:N10" xr:uid="{00000000-0002-0000-0E00-000000000000}">
      <formula1>-1000000</formula1>
      <formula2>1000000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8">
    <tabColor rgb="FF92D050"/>
  </sheetPr>
  <dimension ref="A1:F19"/>
  <sheetViews>
    <sheetView zoomScale="90" zoomScaleNormal="90" workbookViewId="0">
      <selection activeCell="F20" sqref="F20"/>
    </sheetView>
  </sheetViews>
  <sheetFormatPr baseColWidth="10" defaultColWidth="8" defaultRowHeight="15" x14ac:dyDescent="0.25"/>
  <cols>
    <col min="1" max="1" width="13.125" style="85" customWidth="1"/>
    <col min="2" max="2" width="13.125" style="92" customWidth="1"/>
    <col min="3" max="4" width="13.125" style="95" customWidth="1"/>
    <col min="5" max="5" width="13.125" style="176" customWidth="1"/>
    <col min="6" max="6" width="105" style="86" customWidth="1"/>
    <col min="7" max="16384" width="8" style="3"/>
  </cols>
  <sheetData>
    <row r="1" spans="1:6" ht="30" customHeight="1" x14ac:dyDescent="0.25">
      <c r="A1" s="87" t="s">
        <v>115</v>
      </c>
      <c r="B1" s="90" t="s">
        <v>116</v>
      </c>
      <c r="C1" s="93" t="s">
        <v>117</v>
      </c>
      <c r="D1" s="93" t="s">
        <v>118</v>
      </c>
      <c r="E1" s="330" t="s">
        <v>119</v>
      </c>
      <c r="F1" s="96" t="s">
        <v>113</v>
      </c>
    </row>
    <row r="2" spans="1:6" ht="20.100000000000001" customHeight="1" x14ac:dyDescent="0.25">
      <c r="A2" s="88">
        <v>42005</v>
      </c>
      <c r="B2" s="4" t="s">
        <v>120</v>
      </c>
      <c r="C2" s="80">
        <v>60000</v>
      </c>
      <c r="D2" s="80">
        <v>0</v>
      </c>
      <c r="E2" s="331">
        <v>60000</v>
      </c>
      <c r="F2" s="97" t="s">
        <v>123</v>
      </c>
    </row>
    <row r="3" spans="1:6" ht="20.100000000000001" customHeight="1" x14ac:dyDescent="0.25">
      <c r="A3" s="88">
        <v>42754</v>
      </c>
      <c r="B3" s="4" t="s">
        <v>120</v>
      </c>
      <c r="C3" s="80">
        <v>1650</v>
      </c>
      <c r="D3" s="80">
        <v>0</v>
      </c>
      <c r="E3" s="331">
        <v>61650</v>
      </c>
      <c r="F3" s="97"/>
    </row>
    <row r="4" spans="1:6" ht="20.100000000000001" customHeight="1" x14ac:dyDescent="0.25">
      <c r="A4" s="88">
        <v>43045</v>
      </c>
      <c r="B4" s="4" t="s">
        <v>120</v>
      </c>
      <c r="C4" s="80">
        <v>1000</v>
      </c>
      <c r="D4" s="80">
        <v>0</v>
      </c>
      <c r="E4" s="331">
        <v>62650</v>
      </c>
      <c r="F4" s="97" t="s">
        <v>124</v>
      </c>
    </row>
    <row r="5" spans="1:6" ht="20.100000000000001" customHeight="1" x14ac:dyDescent="0.25">
      <c r="A5" s="88">
        <v>43242</v>
      </c>
      <c r="B5" s="4" t="s">
        <v>120</v>
      </c>
      <c r="C5" s="80">
        <v>10000</v>
      </c>
      <c r="D5" s="80">
        <v>0</v>
      </c>
      <c r="E5" s="331">
        <v>72650</v>
      </c>
      <c r="F5" s="97" t="s">
        <v>125</v>
      </c>
    </row>
    <row r="6" spans="1:6" ht="20.100000000000001" customHeight="1" x14ac:dyDescent="0.25">
      <c r="A6" s="88">
        <v>43433</v>
      </c>
      <c r="B6" s="4" t="s">
        <v>121</v>
      </c>
      <c r="C6" s="80">
        <v>0</v>
      </c>
      <c r="D6" s="80">
        <v>-5200</v>
      </c>
      <c r="E6" s="331">
        <v>67450</v>
      </c>
      <c r="F6" s="97" t="s">
        <v>126</v>
      </c>
    </row>
    <row r="7" spans="1:6" ht="20.100000000000001" customHeight="1" x14ac:dyDescent="0.25">
      <c r="A7" s="88">
        <v>43711</v>
      </c>
      <c r="B7" s="4" t="s">
        <v>120</v>
      </c>
      <c r="C7" s="80">
        <v>7500</v>
      </c>
      <c r="D7" s="80">
        <v>0</v>
      </c>
      <c r="E7" s="331">
        <v>74950</v>
      </c>
      <c r="F7" s="97" t="s">
        <v>127</v>
      </c>
    </row>
    <row r="8" spans="1:6" ht="20.100000000000001" customHeight="1" x14ac:dyDescent="0.25">
      <c r="A8" s="88">
        <v>43817</v>
      </c>
      <c r="B8" s="4" t="s">
        <v>120</v>
      </c>
      <c r="C8" s="80">
        <v>400</v>
      </c>
      <c r="D8" s="80">
        <v>0</v>
      </c>
      <c r="E8" s="331">
        <v>75350</v>
      </c>
      <c r="F8" s="97" t="s">
        <v>128</v>
      </c>
    </row>
    <row r="9" spans="1:6" ht="20.100000000000001" customHeight="1" x14ac:dyDescent="0.25">
      <c r="A9" s="88">
        <v>43819</v>
      </c>
      <c r="B9" s="4" t="s">
        <v>120</v>
      </c>
      <c r="C9" s="80">
        <v>400</v>
      </c>
      <c r="D9" s="80">
        <v>0</v>
      </c>
      <c r="E9" s="331">
        <v>75750</v>
      </c>
      <c r="F9" s="97" t="s">
        <v>129</v>
      </c>
    </row>
    <row r="10" spans="1:6" ht="20.100000000000001" customHeight="1" x14ac:dyDescent="0.25">
      <c r="A10" s="88">
        <v>43819</v>
      </c>
      <c r="B10" s="4" t="s">
        <v>120</v>
      </c>
      <c r="C10" s="80">
        <v>22000</v>
      </c>
      <c r="D10" s="80">
        <v>0</v>
      </c>
      <c r="E10" s="331">
        <v>97750</v>
      </c>
      <c r="F10" s="97" t="s">
        <v>130</v>
      </c>
    </row>
    <row r="11" spans="1:6" ht="20.100000000000001" customHeight="1" x14ac:dyDescent="0.25">
      <c r="A11" s="88">
        <v>44188</v>
      </c>
      <c r="B11" s="4" t="s">
        <v>120</v>
      </c>
      <c r="C11" s="80">
        <v>0</v>
      </c>
      <c r="D11" s="80">
        <v>-1500</v>
      </c>
      <c r="E11" s="331">
        <v>96250</v>
      </c>
      <c r="F11" s="97" t="s">
        <v>131</v>
      </c>
    </row>
    <row r="12" spans="1:6" ht="20.100000000000001" customHeight="1" x14ac:dyDescent="0.25">
      <c r="A12" s="89">
        <v>44308</v>
      </c>
      <c r="B12" s="91" t="s">
        <v>120</v>
      </c>
      <c r="C12" s="94">
        <v>4500</v>
      </c>
      <c r="D12" s="94">
        <v>0</v>
      </c>
      <c r="E12" s="332">
        <v>100750</v>
      </c>
      <c r="F12" s="98" t="s">
        <v>132</v>
      </c>
    </row>
    <row r="13" spans="1:6" ht="30" customHeight="1" x14ac:dyDescent="0.25">
      <c r="A13" s="121">
        <v>44901</v>
      </c>
      <c r="B13" s="122" t="s">
        <v>122</v>
      </c>
      <c r="C13" s="123">
        <v>0</v>
      </c>
      <c r="D13" s="123">
        <v>-85000</v>
      </c>
      <c r="E13" s="333">
        <f>E12+Tabla17[[#This Row],[Debito]]</f>
        <v>15750</v>
      </c>
      <c r="F13" s="124" t="s">
        <v>223</v>
      </c>
    </row>
    <row r="14" spans="1:6" ht="30" customHeight="1" x14ac:dyDescent="0.25">
      <c r="A14" s="121">
        <v>44901</v>
      </c>
      <c r="B14" s="122" t="s">
        <v>122</v>
      </c>
      <c r="C14" s="123">
        <v>0</v>
      </c>
      <c r="D14" s="123">
        <v>-2550</v>
      </c>
      <c r="E14" s="333">
        <f>E13+Tabla17[[#This Row],[Debito]]</f>
        <v>13200</v>
      </c>
      <c r="F14" s="127" t="s">
        <v>227</v>
      </c>
    </row>
    <row r="15" spans="1:6" ht="30" customHeight="1" x14ac:dyDescent="0.25">
      <c r="A15" s="89">
        <v>44901</v>
      </c>
      <c r="B15" s="126" t="s">
        <v>120</v>
      </c>
      <c r="C15" s="94">
        <v>7500</v>
      </c>
      <c r="D15" s="94">
        <v>0</v>
      </c>
      <c r="E15" s="332">
        <f>E14+Tabla17[[#This Row],[Credito]]</f>
        <v>20700</v>
      </c>
      <c r="F15" s="128" t="s">
        <v>228</v>
      </c>
    </row>
    <row r="16" spans="1:6" ht="30" customHeight="1" x14ac:dyDescent="0.25">
      <c r="A16" s="89">
        <v>45049</v>
      </c>
      <c r="B16" s="174" t="s">
        <v>120</v>
      </c>
      <c r="C16" s="94">
        <v>2000</v>
      </c>
      <c r="D16" s="94">
        <v>0</v>
      </c>
      <c r="E16" s="332">
        <v>22700</v>
      </c>
      <c r="F16" s="175" t="s">
        <v>320</v>
      </c>
    </row>
    <row r="17" spans="1:6" ht="30" customHeight="1" x14ac:dyDescent="0.25">
      <c r="A17" s="89">
        <v>45058</v>
      </c>
      <c r="B17" s="178" t="s">
        <v>120</v>
      </c>
      <c r="C17" s="94">
        <v>300</v>
      </c>
      <c r="D17" s="94">
        <v>0</v>
      </c>
      <c r="E17" s="332">
        <v>23000</v>
      </c>
      <c r="F17" s="179" t="s">
        <v>407</v>
      </c>
    </row>
    <row r="18" spans="1:6" ht="30" customHeight="1" x14ac:dyDescent="0.25">
      <c r="A18" s="89">
        <v>45211</v>
      </c>
      <c r="B18" s="329" t="s">
        <v>120</v>
      </c>
      <c r="C18" s="94">
        <v>500</v>
      </c>
      <c r="D18" s="94">
        <v>0</v>
      </c>
      <c r="E18" s="332">
        <v>23500</v>
      </c>
      <c r="F18" s="342" t="s">
        <v>842</v>
      </c>
    </row>
    <row r="19" spans="1:6" ht="30" customHeight="1" x14ac:dyDescent="0.25">
      <c r="A19" s="89">
        <v>45267</v>
      </c>
      <c r="B19" s="340" t="s">
        <v>120</v>
      </c>
      <c r="C19" s="94">
        <v>1000</v>
      </c>
      <c r="D19" s="94">
        <v>0</v>
      </c>
      <c r="E19" s="332">
        <f>E18+Tabla17[[#This Row],[Credito]]</f>
        <v>24500</v>
      </c>
      <c r="F19" s="341" t="s">
        <v>843</v>
      </c>
    </row>
  </sheetData>
  <pageMargins left="0.75" right="0.75" top="1" bottom="1" header="0.5" footer="0.5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9">
    <tabColor theme="8" tint="-0.249977111117893"/>
  </sheetPr>
  <dimension ref="B1:Q59"/>
  <sheetViews>
    <sheetView topLeftCell="A12" zoomScale="80" zoomScaleNormal="80" workbookViewId="0">
      <selection activeCell="L17" sqref="L17"/>
    </sheetView>
  </sheetViews>
  <sheetFormatPr baseColWidth="10" defaultColWidth="10" defaultRowHeight="12.75" x14ac:dyDescent="0.2"/>
  <cols>
    <col min="1" max="1" width="2.75" style="12" customWidth="1"/>
    <col min="2" max="2" width="31.25" style="12" customWidth="1"/>
    <col min="3" max="5" width="11.125" style="12" customWidth="1"/>
    <col min="6" max="6" width="11.125" style="11" customWidth="1"/>
    <col min="7" max="14" width="11.125" style="12" customWidth="1"/>
    <col min="15" max="15" width="18.125" style="12" customWidth="1"/>
    <col min="16" max="16" width="34" style="12" customWidth="1"/>
    <col min="17" max="17" width="18.125" style="12" customWidth="1"/>
    <col min="18" max="18" width="10" style="12"/>
    <col min="19" max="19" width="23.25" style="12" customWidth="1"/>
    <col min="20" max="16384" width="10" style="12"/>
  </cols>
  <sheetData>
    <row r="1" spans="2:16" ht="13.5" thickBot="1" x14ac:dyDescent="0.25"/>
    <row r="2" spans="2:16" ht="12.75" customHeight="1" x14ac:dyDescent="0.2">
      <c r="B2" s="381" t="s">
        <v>133</v>
      </c>
      <c r="C2" s="382"/>
      <c r="D2" s="382"/>
      <c r="E2" s="382"/>
      <c r="F2" s="382"/>
      <c r="G2" s="382"/>
      <c r="H2" s="382"/>
      <c r="I2" s="383"/>
      <c r="K2" s="390">
        <v>2023</v>
      </c>
      <c r="L2" s="391"/>
    </row>
    <row r="3" spans="2:16" ht="12.75" customHeight="1" x14ac:dyDescent="0.2">
      <c r="B3" s="384"/>
      <c r="C3" s="385"/>
      <c r="D3" s="385"/>
      <c r="E3" s="385"/>
      <c r="F3" s="385"/>
      <c r="G3" s="385"/>
      <c r="H3" s="385"/>
      <c r="I3" s="386"/>
      <c r="K3" s="392"/>
      <c r="L3" s="393"/>
    </row>
    <row r="4" spans="2:16" ht="12.75" customHeight="1" x14ac:dyDescent="0.2">
      <c r="B4" s="384"/>
      <c r="C4" s="385"/>
      <c r="D4" s="385"/>
      <c r="E4" s="385"/>
      <c r="F4" s="385"/>
      <c r="G4" s="385"/>
      <c r="H4" s="385"/>
      <c r="I4" s="386"/>
      <c r="K4" s="392"/>
      <c r="L4" s="393"/>
    </row>
    <row r="5" spans="2:16" ht="12.75" customHeight="1" x14ac:dyDescent="0.2">
      <c r="B5" s="384"/>
      <c r="C5" s="385"/>
      <c r="D5" s="385"/>
      <c r="E5" s="385"/>
      <c r="F5" s="385"/>
      <c r="G5" s="385"/>
      <c r="H5" s="385"/>
      <c r="I5" s="386"/>
      <c r="K5" s="392"/>
      <c r="L5" s="393"/>
    </row>
    <row r="6" spans="2:16" ht="12.75" customHeight="1" thickBot="1" x14ac:dyDescent="0.25">
      <c r="B6" s="387"/>
      <c r="C6" s="388"/>
      <c r="D6" s="388"/>
      <c r="E6" s="388"/>
      <c r="F6" s="388"/>
      <c r="G6" s="388"/>
      <c r="H6" s="388"/>
      <c r="I6" s="389"/>
      <c r="K6" s="394"/>
      <c r="L6" s="395"/>
    </row>
    <row r="7" spans="2:16" ht="12.75" customHeight="1" x14ac:dyDescent="0.2">
      <c r="B7" s="50"/>
      <c r="C7" s="50"/>
      <c r="D7" s="50"/>
      <c r="E7" s="50"/>
      <c r="F7" s="50"/>
      <c r="G7" s="50"/>
      <c r="H7" s="50"/>
      <c r="I7" s="50"/>
      <c r="K7" s="125"/>
      <c r="L7" s="51"/>
    </row>
    <row r="8" spans="2:16" ht="30" customHeight="1" x14ac:dyDescent="0.2">
      <c r="B8" s="396" t="s">
        <v>134</v>
      </c>
      <c r="C8" s="397"/>
      <c r="D8" s="397"/>
      <c r="E8" s="397"/>
      <c r="F8" s="397"/>
      <c r="G8" s="397"/>
      <c r="H8" s="397"/>
      <c r="I8" s="397"/>
      <c r="J8" s="397"/>
      <c r="K8" s="397"/>
      <c r="L8" s="398"/>
    </row>
    <row r="9" spans="2:16" ht="12.75" customHeight="1" thickBot="1" x14ac:dyDescent="0.25">
      <c r="B9" s="50"/>
      <c r="C9" s="50"/>
      <c r="D9" s="50"/>
      <c r="E9" s="50"/>
      <c r="F9" s="50"/>
      <c r="G9" s="50"/>
      <c r="H9" s="50"/>
      <c r="I9" s="50"/>
      <c r="K9" s="52"/>
      <c r="L9" s="52"/>
    </row>
    <row r="10" spans="2:16" ht="23.25" customHeight="1" thickBot="1" x14ac:dyDescent="0.25">
      <c r="B10" s="407" t="s">
        <v>709</v>
      </c>
      <c r="C10" s="408"/>
      <c r="D10" s="408"/>
      <c r="E10" s="408"/>
      <c r="F10" s="408"/>
      <c r="G10" s="408"/>
      <c r="H10" s="408"/>
      <c r="I10" s="408"/>
      <c r="J10" s="408"/>
      <c r="K10" s="408"/>
      <c r="L10" s="408"/>
      <c r="M10" s="408"/>
      <c r="N10" s="408"/>
      <c r="O10" s="409"/>
    </row>
    <row r="11" spans="2:16" ht="12.75" customHeight="1" thickBot="1" x14ac:dyDescent="0.25">
      <c r="B11" s="50"/>
      <c r="C11" s="50"/>
      <c r="D11" s="50"/>
      <c r="E11" s="50"/>
      <c r="F11" s="50"/>
      <c r="G11" s="50"/>
      <c r="H11" s="50"/>
      <c r="I11" s="50"/>
      <c r="K11" s="52"/>
      <c r="L11" s="52"/>
    </row>
    <row r="12" spans="2:16" ht="39.950000000000003" customHeight="1" thickBot="1" x14ac:dyDescent="0.25">
      <c r="B12" s="53" t="s">
        <v>82</v>
      </c>
      <c r="C12" s="9" t="s">
        <v>66</v>
      </c>
      <c r="D12" s="9" t="s">
        <v>67</v>
      </c>
      <c r="E12" s="9" t="s">
        <v>68</v>
      </c>
      <c r="F12" s="9" t="s">
        <v>69</v>
      </c>
      <c r="G12" s="9" t="s">
        <v>70</v>
      </c>
      <c r="H12" s="9" t="s">
        <v>71</v>
      </c>
      <c r="I12" s="9" t="s">
        <v>72</v>
      </c>
      <c r="J12" s="9" t="s">
        <v>73</v>
      </c>
      <c r="K12" s="9" t="s">
        <v>74</v>
      </c>
      <c r="L12" s="9" t="s">
        <v>75</v>
      </c>
      <c r="M12" s="9" t="s">
        <v>76</v>
      </c>
      <c r="N12" s="9" t="s">
        <v>77</v>
      </c>
      <c r="O12" s="54" t="s">
        <v>135</v>
      </c>
    </row>
    <row r="13" spans="2:16" ht="30" customHeight="1" x14ac:dyDescent="0.2">
      <c r="B13" s="55" t="s">
        <v>136</v>
      </c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56"/>
    </row>
    <row r="14" spans="2:16" ht="30" customHeight="1" x14ac:dyDescent="0.2">
      <c r="B14" s="57" t="s">
        <v>137</v>
      </c>
      <c r="C14" s="167">
        <v>738317.53</v>
      </c>
      <c r="D14" s="167">
        <v>64687.15</v>
      </c>
      <c r="E14" s="167">
        <v>848917</v>
      </c>
      <c r="F14" s="167">
        <v>546362.62</v>
      </c>
      <c r="G14" s="167">
        <v>485385.75</v>
      </c>
      <c r="H14" s="167">
        <v>155628.41</v>
      </c>
      <c r="I14" s="167">
        <v>261297.98</v>
      </c>
      <c r="J14" s="167">
        <v>361576.87</v>
      </c>
      <c r="K14" s="167">
        <v>130765.92</v>
      </c>
      <c r="L14" s="167">
        <v>10735.38</v>
      </c>
      <c r="M14" s="167">
        <v>34519.1</v>
      </c>
      <c r="N14" s="167"/>
      <c r="O14" s="102" t="s">
        <v>138</v>
      </c>
    </row>
    <row r="15" spans="2:16" ht="30" customHeight="1" x14ac:dyDescent="0.2">
      <c r="B15" s="100" t="s">
        <v>141</v>
      </c>
      <c r="C15" s="168">
        <v>1305.07</v>
      </c>
      <c r="D15" s="168">
        <v>1305.17</v>
      </c>
      <c r="E15" s="168">
        <v>305</v>
      </c>
      <c r="F15" s="168">
        <v>305.26</v>
      </c>
      <c r="G15" s="168">
        <v>205.28</v>
      </c>
      <c r="H15" s="168">
        <v>405.31</v>
      </c>
      <c r="I15" s="168">
        <v>605</v>
      </c>
      <c r="J15" s="168">
        <v>805.41</v>
      </c>
      <c r="K15" s="168">
        <v>1055.49</v>
      </c>
      <c r="L15" s="168">
        <v>1505.49</v>
      </c>
      <c r="M15" s="168">
        <v>2005.62</v>
      </c>
      <c r="N15" s="168"/>
      <c r="O15" s="317" t="s">
        <v>647</v>
      </c>
    </row>
    <row r="16" spans="2:16" ht="30" customHeight="1" x14ac:dyDescent="0.2">
      <c r="B16" s="100" t="s">
        <v>142</v>
      </c>
      <c r="C16" s="168">
        <v>20700</v>
      </c>
      <c r="D16" s="168">
        <v>20700</v>
      </c>
      <c r="E16" s="168">
        <v>20700</v>
      </c>
      <c r="F16" s="168">
        <v>22700</v>
      </c>
      <c r="G16" s="168">
        <v>23000</v>
      </c>
      <c r="H16" s="168">
        <v>23000</v>
      </c>
      <c r="I16" s="168">
        <v>23000</v>
      </c>
      <c r="J16" s="168">
        <v>23000</v>
      </c>
      <c r="K16" s="168">
        <v>23000</v>
      </c>
      <c r="L16" s="168">
        <v>23500</v>
      </c>
      <c r="M16" s="168">
        <v>23500</v>
      </c>
      <c r="N16" s="168"/>
      <c r="O16" s="103"/>
      <c r="P16" s="58"/>
    </row>
    <row r="17" spans="2:17" ht="30" customHeight="1" thickBot="1" x14ac:dyDescent="0.25">
      <c r="B17" s="117" t="s">
        <v>714</v>
      </c>
      <c r="C17" s="169"/>
      <c r="D17" s="169">
        <v>500000</v>
      </c>
      <c r="E17" s="169">
        <v>1000000</v>
      </c>
      <c r="F17" s="169"/>
      <c r="G17" s="169"/>
      <c r="H17" s="169"/>
      <c r="I17" s="169"/>
      <c r="J17" s="169"/>
      <c r="K17" s="169"/>
      <c r="L17" s="169"/>
      <c r="M17" s="169"/>
      <c r="N17" s="169"/>
      <c r="O17" s="118"/>
    </row>
    <row r="18" spans="2:17" ht="30" customHeight="1" x14ac:dyDescent="0.2">
      <c r="B18" s="119" t="s">
        <v>143</v>
      </c>
      <c r="C18" s="170">
        <v>645</v>
      </c>
      <c r="D18" s="170">
        <v>645</v>
      </c>
      <c r="E18" s="170">
        <v>645</v>
      </c>
      <c r="F18" s="170">
        <v>0</v>
      </c>
      <c r="G18" s="170">
        <v>0</v>
      </c>
      <c r="H18" s="170">
        <v>0</v>
      </c>
      <c r="I18" s="170">
        <v>0</v>
      </c>
      <c r="J18" s="170">
        <v>0</v>
      </c>
      <c r="K18" s="170">
        <v>0</v>
      </c>
      <c r="L18" s="170">
        <v>0</v>
      </c>
      <c r="M18" s="170">
        <v>0</v>
      </c>
      <c r="N18" s="170">
        <v>0</v>
      </c>
      <c r="O18" s="120"/>
    </row>
    <row r="19" spans="2:17" ht="30" customHeight="1" thickBot="1" x14ac:dyDescent="0.25">
      <c r="B19" s="59" t="s">
        <v>144</v>
      </c>
      <c r="C19" s="171">
        <v>50</v>
      </c>
      <c r="D19" s="171">
        <v>50</v>
      </c>
      <c r="E19" s="171">
        <v>50</v>
      </c>
      <c r="F19" s="171">
        <v>50</v>
      </c>
      <c r="G19" s="171">
        <v>50</v>
      </c>
      <c r="H19" s="171">
        <v>50</v>
      </c>
      <c r="I19" s="171">
        <v>50</v>
      </c>
      <c r="J19" s="171">
        <v>50</v>
      </c>
      <c r="K19" s="171">
        <v>50</v>
      </c>
      <c r="L19" s="334" t="s">
        <v>715</v>
      </c>
      <c r="M19" s="172"/>
      <c r="N19" s="172"/>
      <c r="O19" s="104"/>
      <c r="P19" s="60"/>
      <c r="Q19" s="60"/>
    </row>
    <row r="20" spans="2:17" ht="30" customHeight="1" thickBot="1" x14ac:dyDescent="0.25">
      <c r="B20" s="61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3"/>
      <c r="N20" s="63"/>
      <c r="O20" s="64"/>
      <c r="P20" s="60"/>
      <c r="Q20" s="60"/>
    </row>
    <row r="21" spans="2:17" ht="30" customHeight="1" thickBot="1" x14ac:dyDescent="0.25">
      <c r="B21" s="65" t="s">
        <v>145</v>
      </c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7"/>
      <c r="N21" s="67"/>
      <c r="O21" s="68"/>
      <c r="P21" s="60"/>
      <c r="Q21" s="60"/>
    </row>
    <row r="22" spans="2:17" ht="30" customHeight="1" x14ac:dyDescent="0.2">
      <c r="B22" s="105" t="s">
        <v>139</v>
      </c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99" t="s">
        <v>140</v>
      </c>
      <c r="P22" s="60"/>
      <c r="Q22" s="60"/>
    </row>
    <row r="23" spans="2:17" ht="23.25" customHeight="1" thickBot="1" x14ac:dyDescent="0.25"/>
    <row r="24" spans="2:17" ht="23.25" customHeight="1" thickBot="1" x14ac:dyDescent="0.25">
      <c r="B24" s="410" t="s">
        <v>710</v>
      </c>
      <c r="C24" s="411"/>
      <c r="D24" s="411"/>
      <c r="E24" s="411"/>
      <c r="F24" s="411"/>
      <c r="G24" s="411"/>
      <c r="H24" s="411"/>
      <c r="I24" s="411"/>
      <c r="J24" s="411"/>
      <c r="K24" s="411"/>
      <c r="L24" s="411"/>
      <c r="M24" s="411"/>
      <c r="N24" s="411"/>
      <c r="O24" s="412"/>
    </row>
    <row r="25" spans="2:17" ht="23.25" customHeight="1" thickBot="1" x14ac:dyDescent="0.25"/>
    <row r="26" spans="2:17" ht="30" customHeight="1" thickBot="1" x14ac:dyDescent="0.25">
      <c r="B26" s="402" t="s">
        <v>146</v>
      </c>
      <c r="C26" s="403"/>
      <c r="D26" s="403"/>
      <c r="E26" s="403"/>
      <c r="F26" s="403"/>
      <c r="G26" s="403"/>
      <c r="H26" s="403"/>
      <c r="I26" s="403"/>
      <c r="J26" s="403"/>
      <c r="K26" s="403"/>
      <c r="L26" s="403"/>
      <c r="M26" s="403"/>
      <c r="N26" s="403"/>
      <c r="O26" s="404"/>
    </row>
    <row r="27" spans="2:17" ht="24.95" customHeight="1" x14ac:dyDescent="0.2">
      <c r="B27" s="399" t="s">
        <v>147</v>
      </c>
      <c r="C27" s="400"/>
      <c r="D27" s="400"/>
      <c r="E27" s="400"/>
      <c r="F27" s="400"/>
      <c r="G27" s="401" t="s">
        <v>711</v>
      </c>
      <c r="H27" s="401"/>
      <c r="I27" s="401"/>
      <c r="J27" s="405" t="s">
        <v>148</v>
      </c>
      <c r="K27" s="405"/>
      <c r="L27" s="405"/>
      <c r="M27" s="405"/>
      <c r="N27" s="405"/>
      <c r="O27" s="406"/>
      <c r="P27" s="70"/>
      <c r="Q27" s="70"/>
    </row>
    <row r="28" spans="2:17" ht="24.95" customHeight="1" x14ac:dyDescent="0.2">
      <c r="B28" s="417" t="s">
        <v>149</v>
      </c>
      <c r="C28" s="418"/>
      <c r="D28" s="418"/>
      <c r="E28" s="418"/>
      <c r="F28" s="418"/>
      <c r="G28" s="425" t="s">
        <v>712</v>
      </c>
      <c r="H28" s="425"/>
      <c r="I28" s="425"/>
      <c r="J28" s="429" t="s">
        <v>148</v>
      </c>
      <c r="K28" s="429"/>
      <c r="L28" s="429"/>
      <c r="M28" s="429"/>
      <c r="N28" s="429"/>
      <c r="O28" s="430"/>
      <c r="P28" s="70"/>
      <c r="Q28" s="70"/>
    </row>
    <row r="29" spans="2:17" ht="36" customHeight="1" thickBot="1" x14ac:dyDescent="0.25">
      <c r="B29" s="426" t="s">
        <v>150</v>
      </c>
      <c r="C29" s="427"/>
      <c r="D29" s="427"/>
      <c r="E29" s="427"/>
      <c r="F29" s="427"/>
      <c r="G29" s="428" t="s">
        <v>151</v>
      </c>
      <c r="H29" s="428"/>
      <c r="I29" s="428"/>
      <c r="J29" s="431" t="s">
        <v>713</v>
      </c>
      <c r="K29" s="431"/>
      <c r="L29" s="431"/>
      <c r="M29" s="431"/>
      <c r="N29" s="431"/>
      <c r="O29" s="432"/>
      <c r="P29" s="83"/>
    </row>
    <row r="30" spans="2:17" ht="36" customHeight="1" thickBot="1" x14ac:dyDescent="0.25">
      <c r="B30" s="426" t="s">
        <v>224</v>
      </c>
      <c r="C30" s="427"/>
      <c r="D30" s="427"/>
      <c r="E30" s="427"/>
      <c r="F30" s="427"/>
      <c r="G30" s="428" t="s">
        <v>225</v>
      </c>
      <c r="H30" s="428"/>
      <c r="I30" s="428"/>
      <c r="J30" s="431" t="s">
        <v>226</v>
      </c>
      <c r="K30" s="431"/>
      <c r="L30" s="431"/>
      <c r="M30" s="431"/>
      <c r="N30" s="431"/>
      <c r="O30" s="432"/>
      <c r="P30" s="83"/>
    </row>
    <row r="31" spans="2:17" ht="24.95" customHeight="1" x14ac:dyDescent="0.2">
      <c r="B31" s="106"/>
      <c r="C31" s="106"/>
      <c r="D31" s="106"/>
      <c r="E31" s="106"/>
      <c r="F31" s="106"/>
      <c r="G31" s="107"/>
      <c r="H31" s="107"/>
      <c r="I31" s="107"/>
      <c r="K31" s="70"/>
      <c r="L31" s="70"/>
      <c r="M31" s="70"/>
      <c r="N31" s="70"/>
      <c r="O31" s="11"/>
    </row>
    <row r="32" spans="2:17" ht="24.95" customHeight="1" thickBot="1" x14ac:dyDescent="0.25">
      <c r="E32" s="71"/>
      <c r="K32" s="70"/>
      <c r="L32" s="70"/>
      <c r="M32" s="70"/>
      <c r="N32" s="70"/>
      <c r="O32" s="58"/>
    </row>
    <row r="33" spans="2:16" ht="30" customHeight="1" thickBot="1" x14ac:dyDescent="0.25">
      <c r="B33" s="419" t="s">
        <v>152</v>
      </c>
      <c r="C33" s="420"/>
      <c r="D33" s="420"/>
      <c r="E33" s="420"/>
      <c r="F33" s="420"/>
      <c r="G33" s="420"/>
      <c r="H33" s="420"/>
      <c r="I33" s="420"/>
      <c r="J33" s="420"/>
      <c r="K33" s="420"/>
      <c r="L33" s="420"/>
      <c r="M33" s="420"/>
      <c r="N33" s="420"/>
      <c r="O33" s="421"/>
    </row>
    <row r="34" spans="2:16" ht="30" customHeight="1" x14ac:dyDescent="0.2">
      <c r="B34" s="433" t="s">
        <v>153</v>
      </c>
      <c r="C34" s="422"/>
      <c r="D34" s="422"/>
      <c r="E34" s="109" t="s">
        <v>154</v>
      </c>
      <c r="F34" s="110" t="s">
        <v>155</v>
      </c>
      <c r="G34" s="422" t="s">
        <v>156</v>
      </c>
      <c r="H34" s="422"/>
      <c r="I34" s="422"/>
      <c r="J34" s="422"/>
      <c r="K34" s="422"/>
      <c r="L34" s="422"/>
      <c r="M34" s="422"/>
      <c r="N34" s="422"/>
      <c r="O34" s="423"/>
      <c r="P34" s="72"/>
    </row>
    <row r="35" spans="2:16" ht="24.95" customHeight="1" x14ac:dyDescent="0.2">
      <c r="B35" s="377" t="s">
        <v>157</v>
      </c>
      <c r="C35" s="378"/>
      <c r="D35" s="378"/>
      <c r="E35" s="111" t="s">
        <v>158</v>
      </c>
      <c r="F35" s="112">
        <v>40360</v>
      </c>
      <c r="G35" s="380" t="s">
        <v>159</v>
      </c>
      <c r="H35" s="380"/>
      <c r="I35" s="380"/>
      <c r="J35" s="380"/>
      <c r="K35" s="380"/>
      <c r="L35" s="380"/>
      <c r="M35" s="380"/>
      <c r="N35" s="380"/>
      <c r="O35" s="424"/>
    </row>
    <row r="36" spans="2:16" ht="24.95" customHeight="1" x14ac:dyDescent="0.2">
      <c r="B36" s="379" t="s">
        <v>160</v>
      </c>
      <c r="C36" s="380"/>
      <c r="D36" s="380"/>
      <c r="E36" s="113" t="s">
        <v>161</v>
      </c>
      <c r="F36" s="114">
        <v>378000</v>
      </c>
      <c r="G36" s="380" t="s">
        <v>162</v>
      </c>
      <c r="H36" s="380"/>
      <c r="I36" s="380"/>
      <c r="J36" s="380"/>
      <c r="K36" s="380"/>
      <c r="L36" s="380"/>
      <c r="M36" s="380"/>
      <c r="N36" s="380"/>
      <c r="O36" s="424"/>
    </row>
    <row r="37" spans="2:16" ht="24.95" customHeight="1" thickBot="1" x14ac:dyDescent="0.25">
      <c r="B37" s="415" t="s">
        <v>163</v>
      </c>
      <c r="C37" s="416"/>
      <c r="D37" s="416"/>
      <c r="E37" s="115" t="s">
        <v>164</v>
      </c>
      <c r="F37" s="116">
        <v>300000</v>
      </c>
      <c r="G37" s="413" t="s">
        <v>165</v>
      </c>
      <c r="H37" s="413"/>
      <c r="I37" s="413"/>
      <c r="J37" s="413"/>
      <c r="K37" s="413"/>
      <c r="L37" s="413"/>
      <c r="M37" s="413"/>
      <c r="N37" s="413"/>
      <c r="O37" s="414"/>
    </row>
    <row r="38" spans="2:16" ht="24.95" customHeight="1" x14ac:dyDescent="0.2">
      <c r="B38" s="73"/>
      <c r="C38" s="69"/>
      <c r="D38" s="69"/>
      <c r="K38" s="70"/>
      <c r="L38" s="70"/>
      <c r="M38" s="70"/>
      <c r="N38" s="74"/>
      <c r="O38" s="75"/>
    </row>
    <row r="39" spans="2:16" ht="24.95" customHeight="1" x14ac:dyDescent="0.2">
      <c r="B39" s="73"/>
      <c r="C39" s="69"/>
      <c r="D39" s="69"/>
      <c r="K39" s="70"/>
      <c r="L39" s="70"/>
      <c r="M39" s="70"/>
      <c r="N39" s="70"/>
      <c r="O39" s="11"/>
    </row>
    <row r="40" spans="2:16" ht="24.95" customHeight="1" x14ac:dyDescent="0.2">
      <c r="B40" s="73"/>
      <c r="C40" s="69"/>
      <c r="D40" s="69"/>
      <c r="G40" s="76"/>
    </row>
    <row r="41" spans="2:16" ht="24.95" customHeight="1" x14ac:dyDescent="0.2">
      <c r="B41" s="328"/>
      <c r="C41" s="328"/>
      <c r="D41" s="328"/>
      <c r="G41" s="76"/>
    </row>
    <row r="42" spans="2:16" ht="24.95" customHeight="1" x14ac:dyDescent="0.2">
      <c r="B42" s="328"/>
      <c r="C42" s="328"/>
      <c r="D42" s="328"/>
      <c r="G42" s="76"/>
    </row>
    <row r="43" spans="2:16" ht="24.95" customHeight="1" x14ac:dyDescent="0.2">
      <c r="G43" s="76"/>
    </row>
    <row r="44" spans="2:16" ht="24.95" customHeight="1" x14ac:dyDescent="0.2"/>
    <row r="45" spans="2:16" ht="24.95" customHeight="1" x14ac:dyDescent="0.2"/>
    <row r="46" spans="2:16" ht="24.95" customHeight="1" x14ac:dyDescent="0.2"/>
    <row r="47" spans="2:16" ht="24.95" customHeight="1" x14ac:dyDescent="0.2"/>
    <row r="48" spans="2:16" ht="24.95" customHeight="1" x14ac:dyDescent="0.2"/>
    <row r="49" ht="24.95" customHeight="1" x14ac:dyDescent="0.2"/>
    <row r="50" ht="24.95" customHeight="1" x14ac:dyDescent="0.2"/>
    <row r="51" ht="24.95" customHeight="1" x14ac:dyDescent="0.2"/>
    <row r="52" ht="24.95" customHeight="1" x14ac:dyDescent="0.2"/>
    <row r="53" ht="24.95" customHeight="1" x14ac:dyDescent="0.2"/>
    <row r="54" ht="24.95" customHeight="1" x14ac:dyDescent="0.2"/>
    <row r="55" ht="24.95" customHeight="1" x14ac:dyDescent="0.2"/>
    <row r="56" ht="24.95" customHeight="1" x14ac:dyDescent="0.2"/>
    <row r="57" ht="24.95" customHeight="1" x14ac:dyDescent="0.2"/>
    <row r="58" ht="24.95" customHeight="1" x14ac:dyDescent="0.2"/>
    <row r="59" ht="24.95" customHeight="1" x14ac:dyDescent="0.2"/>
  </sheetData>
  <mergeCells count="27">
    <mergeCell ref="G37:O37"/>
    <mergeCell ref="B37:D37"/>
    <mergeCell ref="B28:F28"/>
    <mergeCell ref="B33:O33"/>
    <mergeCell ref="G34:O34"/>
    <mergeCell ref="G35:O35"/>
    <mergeCell ref="G36:O36"/>
    <mergeCell ref="G28:I28"/>
    <mergeCell ref="B29:F29"/>
    <mergeCell ref="G29:I29"/>
    <mergeCell ref="J28:O28"/>
    <mergeCell ref="J29:O29"/>
    <mergeCell ref="B30:F30"/>
    <mergeCell ref="G30:I30"/>
    <mergeCell ref="J30:O30"/>
    <mergeCell ref="B34:D34"/>
    <mergeCell ref="B35:D35"/>
    <mergeCell ref="B36:D36"/>
    <mergeCell ref="B2:I6"/>
    <mergeCell ref="K2:L6"/>
    <mergeCell ref="B8:L8"/>
    <mergeCell ref="B27:F27"/>
    <mergeCell ref="G27:I27"/>
    <mergeCell ref="B26:O26"/>
    <mergeCell ref="J27:O27"/>
    <mergeCell ref="B10:O10"/>
    <mergeCell ref="B24:O24"/>
  </mergeCell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2:L21"/>
  <sheetViews>
    <sheetView workbookViewId="0">
      <selection activeCell="A16" sqref="A16:L16"/>
    </sheetView>
  </sheetViews>
  <sheetFormatPr baseColWidth="10" defaultRowHeight="15.75" x14ac:dyDescent="0.25"/>
  <sheetData>
    <row r="2" spans="1:12" x14ac:dyDescent="0.25">
      <c r="A2" s="438" t="s">
        <v>203</v>
      </c>
      <c r="B2" s="438"/>
      <c r="C2" s="438"/>
      <c r="D2" s="438"/>
      <c r="E2" s="438"/>
      <c r="F2" s="438"/>
      <c r="G2" s="438"/>
      <c r="H2" s="438"/>
      <c r="I2" s="438"/>
    </row>
    <row r="3" spans="1:12" x14ac:dyDescent="0.25">
      <c r="A3" s="221"/>
      <c r="B3" s="221"/>
      <c r="C3" s="221"/>
      <c r="D3" s="221"/>
      <c r="E3" s="221"/>
      <c r="F3" s="221"/>
      <c r="G3" s="221"/>
      <c r="H3" s="221"/>
      <c r="I3" s="221"/>
    </row>
    <row r="4" spans="1:12" x14ac:dyDescent="0.25">
      <c r="A4" s="435" t="s">
        <v>568</v>
      </c>
      <c r="B4" s="435"/>
      <c r="C4" s="435"/>
      <c r="D4" s="435"/>
      <c r="E4" s="435"/>
      <c r="F4" s="435"/>
      <c r="G4" s="435"/>
      <c r="H4" s="435"/>
      <c r="I4" s="435"/>
      <c r="J4" s="435"/>
      <c r="K4" s="435"/>
      <c r="L4" s="435"/>
    </row>
    <row r="5" spans="1:12" x14ac:dyDescent="0.25">
      <c r="A5" s="221"/>
      <c r="B5" s="221"/>
      <c r="C5" s="221"/>
      <c r="D5" s="221"/>
      <c r="E5" s="221"/>
      <c r="F5" s="221"/>
      <c r="G5" s="221"/>
      <c r="H5" s="221"/>
      <c r="I5" s="221"/>
    </row>
    <row r="6" spans="1:12" x14ac:dyDescent="0.25">
      <c r="A6" s="221"/>
      <c r="B6" s="221"/>
      <c r="C6" s="221"/>
      <c r="D6" s="221"/>
      <c r="E6" s="221"/>
      <c r="F6" s="221"/>
      <c r="G6" s="221"/>
      <c r="H6" s="221"/>
      <c r="I6" s="221"/>
    </row>
    <row r="7" spans="1:12" ht="15.75" customHeight="1" x14ac:dyDescent="0.25">
      <c r="A7" s="437" t="s">
        <v>644</v>
      </c>
      <c r="B7" s="437"/>
      <c r="C7" s="437"/>
      <c r="D7" s="437"/>
      <c r="E7" s="437"/>
      <c r="F7" s="437"/>
      <c r="G7" s="437"/>
      <c r="H7" s="437"/>
      <c r="I7" s="437"/>
      <c r="J7" s="437"/>
      <c r="K7" s="437"/>
      <c r="L7" s="437"/>
    </row>
    <row r="8" spans="1:12" ht="15.75" customHeight="1" x14ac:dyDescent="0.25">
      <c r="A8" s="222"/>
      <c r="B8" s="222"/>
      <c r="C8" s="222"/>
      <c r="D8" s="222"/>
      <c r="E8" s="222"/>
      <c r="F8" s="222"/>
      <c r="G8" s="222"/>
      <c r="H8" s="222"/>
      <c r="I8" s="222"/>
      <c r="J8" s="222"/>
      <c r="K8" s="222"/>
      <c r="L8" s="222"/>
    </row>
    <row r="9" spans="1:12" ht="15.75" customHeight="1" x14ac:dyDescent="0.25">
      <c r="A9" s="437" t="s">
        <v>645</v>
      </c>
      <c r="B9" s="437"/>
      <c r="C9" s="437"/>
      <c r="D9" s="437"/>
      <c r="E9" s="437"/>
      <c r="F9" s="437"/>
      <c r="G9" s="437"/>
      <c r="H9" s="437"/>
      <c r="I9" s="437"/>
      <c r="J9" s="437"/>
      <c r="K9" s="437"/>
      <c r="L9" s="437"/>
    </row>
    <row r="10" spans="1:12" ht="15.75" customHeight="1" x14ac:dyDescent="0.25"/>
    <row r="11" spans="1:12" ht="15.75" customHeight="1" x14ac:dyDescent="0.25">
      <c r="A11" s="437" t="s">
        <v>646</v>
      </c>
      <c r="B11" s="437"/>
      <c r="C11" s="437"/>
      <c r="D11" s="437"/>
      <c r="E11" s="437"/>
      <c r="F11" s="437"/>
      <c r="G11" s="437"/>
      <c r="H11" s="437"/>
      <c r="I11" s="437"/>
      <c r="J11" s="437"/>
      <c r="K11" s="437"/>
      <c r="L11" s="437"/>
    </row>
    <row r="13" spans="1:12" x14ac:dyDescent="0.25">
      <c r="A13" s="222"/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</row>
    <row r="14" spans="1:12" x14ac:dyDescent="0.25">
      <c r="A14" s="434"/>
      <c r="B14" s="434"/>
      <c r="C14" s="434"/>
      <c r="D14" s="434"/>
      <c r="E14" s="434"/>
      <c r="F14" s="434"/>
      <c r="G14" s="434"/>
      <c r="H14" s="434"/>
      <c r="I14" s="434"/>
      <c r="J14" s="434"/>
      <c r="K14" s="434"/>
      <c r="L14" s="434"/>
    </row>
    <row r="15" spans="1:12" x14ac:dyDescent="0.25">
      <c r="A15" s="222"/>
      <c r="B15" s="222"/>
      <c r="C15" s="222"/>
      <c r="D15" s="222"/>
      <c r="E15" s="222"/>
      <c r="F15" s="222"/>
      <c r="G15" s="222"/>
      <c r="H15" s="222"/>
      <c r="I15" s="222"/>
      <c r="J15" s="222"/>
      <c r="K15" s="222"/>
      <c r="L15" s="222"/>
    </row>
    <row r="16" spans="1:12" x14ac:dyDescent="0.25">
      <c r="A16" s="436"/>
      <c r="B16" s="436"/>
      <c r="C16" s="436"/>
      <c r="D16" s="436"/>
      <c r="E16" s="436"/>
      <c r="F16" s="436"/>
      <c r="G16" s="436"/>
      <c r="H16" s="436"/>
      <c r="I16" s="436"/>
      <c r="J16" s="436"/>
      <c r="K16" s="436"/>
      <c r="L16" s="436"/>
    </row>
    <row r="17" spans="1:12" x14ac:dyDescent="0.25">
      <c r="A17" s="434"/>
      <c r="B17" s="434"/>
      <c r="C17" s="434"/>
      <c r="D17" s="434"/>
      <c r="E17" s="434"/>
      <c r="F17" s="434"/>
      <c r="G17" s="434"/>
      <c r="H17" s="434"/>
      <c r="I17" s="434"/>
      <c r="J17" s="434"/>
      <c r="K17" s="434"/>
      <c r="L17" s="434"/>
    </row>
    <row r="18" spans="1:12" x14ac:dyDescent="0.25">
      <c r="A18" s="223"/>
      <c r="B18" s="223"/>
      <c r="C18" s="223"/>
      <c r="D18" s="223"/>
      <c r="E18" s="223"/>
      <c r="F18" s="223"/>
      <c r="G18" s="223"/>
      <c r="H18" s="223"/>
      <c r="I18" s="223"/>
      <c r="J18" s="223"/>
      <c r="K18" s="223"/>
      <c r="L18" s="223"/>
    </row>
    <row r="19" spans="1:12" x14ac:dyDescent="0.25">
      <c r="A19" s="223"/>
      <c r="B19" s="223"/>
      <c r="C19" s="223"/>
      <c r="D19" s="223"/>
      <c r="E19" s="223"/>
      <c r="F19" s="223"/>
      <c r="G19" s="223"/>
      <c r="H19" s="223"/>
      <c r="I19" s="223"/>
      <c r="J19" s="223"/>
      <c r="K19" s="223"/>
      <c r="L19" s="223"/>
    </row>
    <row r="20" spans="1:12" x14ac:dyDescent="0.25">
      <c r="A20" s="223"/>
      <c r="B20" s="223"/>
      <c r="C20" s="223"/>
      <c r="D20" s="223"/>
      <c r="E20" s="223"/>
      <c r="F20" s="223"/>
      <c r="G20" s="223"/>
      <c r="H20" s="223"/>
      <c r="I20" s="223"/>
      <c r="J20" s="223"/>
      <c r="K20" s="223"/>
      <c r="L20" s="223"/>
    </row>
    <row r="21" spans="1:12" x14ac:dyDescent="0.25">
      <c r="A21" s="223"/>
      <c r="B21" s="223"/>
      <c r="C21" s="223"/>
      <c r="D21" s="223"/>
      <c r="E21" s="223"/>
      <c r="F21" s="223"/>
      <c r="G21" s="223"/>
      <c r="H21" s="223"/>
      <c r="I21" s="223"/>
      <c r="J21" s="223"/>
      <c r="K21" s="223"/>
      <c r="L21" s="223"/>
    </row>
  </sheetData>
  <mergeCells count="8">
    <mergeCell ref="A17:L17"/>
    <mergeCell ref="A4:L4"/>
    <mergeCell ref="A16:L16"/>
    <mergeCell ref="A9:L9"/>
    <mergeCell ref="A2:I2"/>
    <mergeCell ref="A7:L7"/>
    <mergeCell ref="A14:L14"/>
    <mergeCell ref="A11:L11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"/>
  <dimension ref="A1:B17"/>
  <sheetViews>
    <sheetView workbookViewId="0"/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D691AF-51C8-4F14-ADEB-FF9EAAA39CA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2</vt:i4>
      </vt:variant>
    </vt:vector>
  </HeadingPairs>
  <TitlesOfParts>
    <vt:vector size="21" baseType="lpstr">
      <vt:lpstr>Menu</vt:lpstr>
      <vt:lpstr>Meses</vt:lpstr>
      <vt:lpstr>Debitos</vt:lpstr>
      <vt:lpstr>Creditos</vt:lpstr>
      <vt:lpstr>Naranja</vt:lpstr>
      <vt:lpstr>Registro_web</vt:lpstr>
      <vt:lpstr>Impuestos_2022</vt:lpstr>
      <vt:lpstr>Impuestos</vt:lpstr>
      <vt:lpstr>Impuestos_inmueble</vt:lpstr>
      <vt:lpstr>Impuestos_2023</vt:lpstr>
      <vt:lpstr>Gastos_pbi</vt:lpstr>
      <vt:lpstr>Gastos</vt:lpstr>
      <vt:lpstr>Saldos_pbi</vt:lpstr>
      <vt:lpstr>Saldos</vt:lpstr>
      <vt:lpstr>Prestamos</vt:lpstr>
      <vt:lpstr>CSeg Dolares</vt:lpstr>
      <vt:lpstr>Patrimonio</vt:lpstr>
      <vt:lpstr>Mensajes</vt:lpstr>
      <vt:lpstr>_xlwings.conf</vt:lpstr>
      <vt:lpstr>Gastos!Print_Area</vt:lpstr>
      <vt:lpstr>Saldos!Print_Area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Daniel Busso</cp:lastModifiedBy>
  <cp:lastPrinted>2023-09-13T15:49:12Z</cp:lastPrinted>
  <dcterms:created xsi:type="dcterms:W3CDTF">2015-01-25T11:31:25Z</dcterms:created>
  <dcterms:modified xsi:type="dcterms:W3CDTF">2023-12-11T16:33:35Z</dcterms:modified>
</cp:coreProperties>
</file>