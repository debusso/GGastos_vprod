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bus\GGastos_vprod\"/>
    </mc:Choice>
  </mc:AlternateContent>
  <xr:revisionPtr revIDLastSave="0" documentId="13_ncr:1_{F6EC34B0-E851-481C-ADE0-BE5AD658220E}" xr6:coauthVersionLast="47" xr6:coauthVersionMax="47" xr10:uidLastSave="{00000000-0000-0000-0000-000000000000}"/>
  <bookViews>
    <workbookView xWindow="20370" yWindow="-120" windowWidth="29040" windowHeight="15720" tabRatio="737" xr2:uid="{00000000-000D-0000-FFFF-FFFF00000000}"/>
  </bookViews>
  <sheets>
    <sheet name="Menu" sheetId="3" r:id="rId1"/>
    <sheet name="Ene" sheetId="79" state="hidden" r:id="rId2"/>
    <sheet name="Ene_Debitos" sheetId="80" state="hidden" r:id="rId3"/>
    <sheet name="Ene_Creditos" sheetId="81" state="hidden" r:id="rId4"/>
    <sheet name="Ene_Efectivo" sheetId="82" state="hidden" r:id="rId5"/>
    <sheet name="Feb" sheetId="83" state="hidden" r:id="rId6"/>
    <sheet name="Feb_Debitos" sheetId="84" state="hidden" r:id="rId7"/>
    <sheet name="Feb_Creditos" sheetId="85" state="hidden" r:id="rId8"/>
    <sheet name="Feb_Efectivo" sheetId="86" state="hidden" r:id="rId9"/>
    <sheet name="Mar" sheetId="87" state="hidden" r:id="rId10"/>
    <sheet name="Mar_Debitos" sheetId="88" state="hidden" r:id="rId11"/>
    <sheet name="Mar_Creditos" sheetId="89" state="hidden" r:id="rId12"/>
    <sheet name="Mar_Efectivo" sheetId="90" state="hidden" r:id="rId13"/>
    <sheet name="Abr" sheetId="91" r:id="rId14"/>
    <sheet name="Abr_Debitos" sheetId="92" r:id="rId15"/>
    <sheet name="Abr_Creditos" sheetId="93" r:id="rId16"/>
    <sheet name="Abr_Efectivo" sheetId="94" r:id="rId17"/>
    <sheet name="Dic_Efectivo" sheetId="77" state="hidden" r:id="rId18"/>
    <sheet name="Dic_Debitos" sheetId="76" state="hidden" r:id="rId19"/>
    <sheet name="Dic_Creditos" sheetId="74" state="hidden" r:id="rId20"/>
    <sheet name="Impuestos 2022" sheetId="4" r:id="rId21"/>
    <sheet name="Impuestos 2023" sheetId="78" r:id="rId22"/>
    <sheet name="Gastos" sheetId="5" r:id="rId23"/>
    <sheet name="Saldo Mensual" sheetId="6" r:id="rId24"/>
    <sheet name="Prestamos" sheetId="7" r:id="rId25"/>
    <sheet name="Plazo Fijo" sheetId="8" r:id="rId26"/>
    <sheet name="CA Dolares" sheetId="9" r:id="rId27"/>
    <sheet name="CSeg Dolares" sheetId="10" r:id="rId28"/>
    <sheet name="Patrimonio" sheetId="11" r:id="rId29"/>
    <sheet name="Mensajes" sheetId="39" r:id="rId30"/>
    <sheet name="_xlwings.conf" sheetId="2" state="hidden" r:id="rId31"/>
  </sheet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9" i="93" l="1"/>
  <c r="F56" i="92"/>
  <c r="G56" i="92"/>
  <c r="H56" i="92"/>
  <c r="I56" i="92"/>
  <c r="E56" i="92"/>
  <c r="F19" i="93"/>
  <c r="G19" i="93"/>
  <c r="E19" i="93"/>
  <c r="G18" i="93"/>
  <c r="E3" i="94"/>
  <c r="F3" i="94"/>
  <c r="G3" i="94"/>
  <c r="H3" i="94"/>
  <c r="D3" i="94"/>
  <c r="I3" i="94"/>
  <c r="E46" i="9"/>
  <c r="F14" i="89"/>
  <c r="G14" i="89"/>
  <c r="H14" i="89"/>
  <c r="F74" i="88"/>
  <c r="G13" i="89"/>
  <c r="E14" i="89"/>
  <c r="G74" i="88"/>
  <c r="H74" i="88"/>
  <c r="I74" i="88"/>
  <c r="E74" i="88"/>
  <c r="J74" i="88"/>
  <c r="E3" i="90"/>
  <c r="F3" i="90"/>
  <c r="G3" i="90"/>
  <c r="H3" i="90"/>
  <c r="D3" i="90"/>
  <c r="I3" i="90"/>
  <c r="E23" i="8"/>
  <c r="F68" i="84"/>
  <c r="G68" i="84"/>
  <c r="H68" i="84"/>
  <c r="I68" i="84"/>
  <c r="E68" i="84"/>
  <c r="J68" i="84"/>
  <c r="F12" i="85"/>
  <c r="E12" i="85"/>
  <c r="G12" i="85"/>
  <c r="E5" i="86"/>
  <c r="F5" i="86"/>
  <c r="G5" i="86"/>
  <c r="H5" i="86"/>
  <c r="D5" i="86"/>
  <c r="I5" i="86"/>
  <c r="F17" i="81"/>
  <c r="F18" i="81"/>
  <c r="F60" i="80"/>
  <c r="G60" i="80"/>
  <c r="H60" i="80"/>
  <c r="I60" i="80"/>
  <c r="E60" i="80"/>
  <c r="J60" i="80"/>
  <c r="F12" i="81"/>
  <c r="E12" i="81"/>
  <c r="G11" i="81"/>
  <c r="G12" i="81"/>
  <c r="E3" i="82"/>
  <c r="F3" i="82"/>
  <c r="G3" i="82"/>
  <c r="H3" i="82"/>
  <c r="D3" i="82"/>
  <c r="I3" i="82"/>
  <c r="Q17" i="78"/>
  <c r="P17" i="78"/>
  <c r="O17" i="78"/>
  <c r="N17" i="78"/>
  <c r="M17" i="78"/>
  <c r="L17" i="78"/>
  <c r="K17" i="78"/>
  <c r="J17" i="78"/>
  <c r="I17" i="78"/>
  <c r="H17" i="78"/>
  <c r="G17" i="78"/>
  <c r="F17" i="78"/>
  <c r="E13" i="10"/>
  <c r="E14" i="10"/>
  <c r="E15" i="10"/>
  <c r="H3" i="77"/>
  <c r="G3" i="77"/>
  <c r="F3" i="77"/>
  <c r="E3" i="77"/>
  <c r="D3" i="77"/>
  <c r="J79" i="76"/>
  <c r="I79" i="76"/>
  <c r="H79" i="76"/>
  <c r="G79" i="76"/>
  <c r="F79" i="76"/>
  <c r="E79" i="76"/>
  <c r="H11" i="74"/>
  <c r="E22" i="8"/>
  <c r="F8" i="74"/>
  <c r="G7" i="74"/>
  <c r="G8" i="74"/>
  <c r="E8" i="74"/>
  <c r="E21" i="8"/>
  <c r="E20" i="8"/>
  <c r="E36" i="9"/>
  <c r="E37" i="9"/>
  <c r="E38" i="9"/>
  <c r="E39" i="9"/>
  <c r="E40" i="9"/>
  <c r="E41" i="9"/>
  <c r="E42" i="9"/>
  <c r="E43" i="9"/>
  <c r="E44" i="9"/>
  <c r="G17" i="4"/>
  <c r="H17" i="4"/>
  <c r="I17" i="4"/>
  <c r="J17" i="4"/>
  <c r="K17" i="4"/>
  <c r="L17" i="4"/>
  <c r="M17" i="4"/>
  <c r="N17" i="4"/>
  <c r="O17" i="4"/>
  <c r="P17" i="4"/>
  <c r="Q17" i="4"/>
  <c r="F10" i="4"/>
  <c r="F11" i="4"/>
  <c r="F12" i="4"/>
  <c r="F17" i="4"/>
  <c r="D7" i="5"/>
  <c r="E7" i="5"/>
  <c r="F7" i="5"/>
  <c r="G7" i="5"/>
  <c r="H7" i="5"/>
  <c r="I7" i="5"/>
  <c r="J7" i="5"/>
  <c r="K7" i="5"/>
  <c r="L7" i="5"/>
  <c r="M7" i="5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<sst xmlns="http://schemas.openxmlformats.org/spreadsheetml/2006/main" count="2139" uniqueCount="453">
  <si>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</si>
  <si>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</si>
  <si>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</si>
  <si>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</si>
  <si>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</si>
  <si>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</si>
  <si>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</si>
  <si>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</si>
  <si>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</si>
  <si>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</si>
  <si>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</si>
  <si>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</si>
  <si>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</si>
  <si>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</si>
  <si>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</si>
  <si>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</si>
  <si>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</si>
  <si>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</si>
  <si>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</si>
  <si>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</si>
  <si>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</si>
  <si>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</si>
  <si>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</si>
  <si>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</si>
  <si>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</si>
  <si>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</si>
  <si>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</si>
  <si>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</si>
  <si>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</si>
  <si>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</si>
  <si>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</si>
  <si>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</si>
  <si>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</si>
  <si>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</si>
  <si>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</si>
  <si>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</si>
  <si>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</si>
  <si>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</si>
  <si>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</si>
  <si>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</si>
  <si>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</si>
  <si>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</si>
  <si>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</si>
  <si>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</si>
  <si>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</si>
  <si>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</si>
  <si>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</si>
  <si>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</si>
  <si>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</si>
  <si>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</si>
  <si>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</si>
  <si>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</si>
  <si>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</si>
  <si>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</si>
  <si>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</si>
  <si>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</si>
  <si>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</si>
  <si>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</si>
  <si>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</si>
  <si>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</si>
  <si>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</si>
  <si>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</si>
  <si>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</si>
  <si>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</si>
  <si>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</si>
  <si>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</si>
  <si>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</si>
  <si>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</si>
  <si>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</si>
  <si>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</si>
  <si>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</si>
  <si>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</si>
  <si>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</si>
  <si>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</si>
  <si>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</si>
  <si>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</si>
  <si>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</si>
  <si>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</si>
  <si>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</si>
  <si>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</si>
  <si>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</si>
  <si>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</si>
  <si>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</si>
  <si>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</si>
  <si>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</si>
  <si>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</si>
  <si>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</si>
  <si>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</si>
  <si>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</si>
  <si>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</si>
  <si>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</si>
  <si>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</si>
  <si>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</si>
  <si>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</si>
  <si>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</si>
  <si>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</si>
  <si>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</si>
  <si>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</si>
  <si>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</si>
  <si>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</si>
  <si>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</si>
  <si>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</si>
  <si>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</si>
  <si>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</si>
  <si>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</si>
  <si>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</si>
  <si>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</si>
  <si>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</si>
  <si>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</si>
  <si>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</si>
  <si>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</si>
  <si>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</si>
  <si>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</si>
  <si>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</si>
  <si>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</si>
  <si>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</si>
  <si>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</si>
  <si>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</si>
  <si>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</si>
  <si>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</si>
  <si>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</si>
  <si>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</si>
  <si>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</si>
  <si>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</si>
  <si>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</si>
  <si>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</si>
  <si>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</si>
  <si>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</si>
  <si>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</si>
  <si>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</si>
  <si>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</si>
  <si>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</si>
  <si>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</si>
  <si>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</si>
  <si>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</si>
  <si>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</si>
  <si>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</si>
  <si>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</si>
  <si>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</si>
  <si>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</si>
  <si>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</si>
  <si>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</si>
  <si>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</si>
  <si>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</si>
  <si>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</si>
  <si>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</si>
  <si>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</si>
  <si>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</si>
  <si>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</si>
  <si>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</si>
  <si>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</si>
  <si>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</si>
  <si>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</si>
  <si>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</si>
  <si>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</si>
  <si>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</si>
  <si>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</si>
  <si>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</si>
  <si>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</si>
  <si>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</si>
  <si>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</si>
  <si>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</si>
  <si>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</si>
  <si>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</si>
  <si>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</si>
  <si>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</si>
  <si>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</si>
  <si>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</si>
  <si>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</si>
  <si>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</si>
  <si>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</si>
  <si>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</si>
  <si>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</si>
  <si>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</si>
  <si>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</si>
  <si>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</si>
  <si>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</si>
  <si>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</si>
  <si>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</si>
  <si>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</si>
  <si>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</si>
  <si>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</si>
  <si>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</si>
  <si>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</si>
  <si>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</si>
  <si>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</si>
  <si>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</si>
  <si>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</si>
  <si>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</si>
  <si>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</si>
  <si>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</si>
  <si>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</si>
  <si>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</si>
  <si>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</si>
  <si>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</si>
  <si>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</si>
  <si>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</si>
  <si>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</si>
  <si>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</si>
  <si>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</si>
  <si>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</si>
  <si>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</si>
  <si>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</si>
  <si>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</si>
  <si>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</si>
  <si>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</si>
  <si>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</si>
  <si>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</si>
  <si>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</si>
  <si>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</si>
  <si>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</si>
  <si>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Compras Maestro POSNet</t>
  </si>
  <si>
    <t>CLEMENTE FULL SHOP</t>
  </si>
  <si>
    <t>DELICIUS</t>
  </si>
  <si>
    <t>Mantenimiento mundo Bancor</t>
  </si>
  <si>
    <t>IVA sobre comisión</t>
  </si>
  <si>
    <t>CARNES URCA SAS</t>
  </si>
  <si>
    <t>TRANSF.HB.EXENTO</t>
  </si>
  <si>
    <t>PAGO PEI- EXENTO</t>
  </si>
  <si>
    <t>ELECTROALEM</t>
  </si>
  <si>
    <t>DE PLANO REPUESTOS</t>
  </si>
  <si>
    <t>Crédito Transferencia Cajero / HomeBanking</t>
  </si>
  <si>
    <t>Débito automatico recibido Camara</t>
  </si>
  <si>
    <t>TARJNARANJA2</t>
  </si>
  <si>
    <t>Pago de resumen desde Cajero / HomeBanking</t>
  </si>
  <si>
    <t>VISA EN PESOS-************7541</t>
  </si>
  <si>
    <t>Acreditación de Haberes TA</t>
  </si>
  <si>
    <t>EPEC - HABERES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</si>
  <si>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</si>
  <si>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</si>
  <si>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</si>
  <si>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</si>
  <si>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</si>
  <si>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</si>
  <si>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</si>
  <si>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</si>
  <si>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</si>
  <si>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</si>
  <si>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</si>
  <si>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</si>
  <si>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</si>
  <si>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23208706454-NAVAS, MARIA GABRIELA-VAR</t>
  </si>
  <si>
    <t>PANIFICADORA PUGLIESE</t>
  </si>
  <si>
    <t>Credito por pago de plazo fijo</t>
  </si>
  <si>
    <t>DEBIN</t>
  </si>
  <si>
    <t>LA GRUTA</t>
  </si>
  <si>
    <t>CERROPLAST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</si>
  <si>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</si>
  <si>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</si>
  <si>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</si>
  <si>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</si>
  <si>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TAREAS</t>
  </si>
  <si>
    <t>20268790099-AQUINO, JUAN MANUEL JORGE-VAR</t>
  </si>
  <si>
    <t>Descontar Impuestos del monto de Tarjetas</t>
  </si>
  <si>
    <t>Total :</t>
  </si>
  <si>
    <t>01/04/2022</t>
  </si>
  <si>
    <t>Extracción en efectivo propia Sucursal</t>
  </si>
  <si>
    <t>27396891781-BUSSO/MARIA FLORENCIA-VAR</t>
  </si>
  <si>
    <t>Débito por plazo fijo LINK</t>
  </si>
  <si>
    <t xml:space="preserve">Arreglar Menu segun video de youtube.  </t>
  </si>
  <si>
    <t>Subir el resumen tarjeta naranja.</t>
  </si>
  <si>
    <t xml:space="preserve">Sumar automaticamente los impuestos Naranja. </t>
  </si>
  <si>
    <t>Subir el resumen tarjeta VISA ???</t>
  </si>
  <si>
    <t>Subir Movimientos CA dolares BANCOR</t>
  </si>
  <si>
    <t>404591</t>
  </si>
  <si>
    <t>Intrans. Precancelable UVA Com A 6871</t>
  </si>
  <si>
    <t>Compre 100 dolares a Florencia</t>
  </si>
  <si>
    <t>Compre 100 dolares para mi</t>
  </si>
  <si>
    <t>MERCADOPAGO *NATYVOS</t>
  </si>
  <si>
    <t>ALEJANDRO EL GRANDE</t>
  </si>
  <si>
    <t>PANADERIA Y CONFITERIA</t>
  </si>
  <si>
    <t>27396891781-BUSSO MARIA FLORENCIA-VAR</t>
  </si>
  <si>
    <t>Compre 100 dolares para Constanza</t>
  </si>
  <si>
    <t>U$S 200.000</t>
  </si>
  <si>
    <t>TODO REPUESTOS</t>
  </si>
  <si>
    <t>TOTAL:</t>
  </si>
  <si>
    <t>Compre 200 dolares ahorro</t>
  </si>
  <si>
    <t>MERCADOPAGO *HIDROBOS</t>
  </si>
  <si>
    <t xml:space="preserve"> RAPIPAGO  / PCT 000000000945</t>
  </si>
  <si>
    <t>434013</t>
  </si>
  <si>
    <t>MUNDOPOLLO</t>
  </si>
  <si>
    <t>20406840043-Francisco David Busso-VAR</t>
  </si>
  <si>
    <t>Impuestos debitados en la Tarjeta Naranja</t>
  </si>
  <si>
    <t>CLAUDE</t>
  </si>
  <si>
    <t>20256108586-GARCIA, ALEJANDRO JAVIER-HON</t>
  </si>
  <si>
    <t>Suma de Gastos</t>
  </si>
  <si>
    <t>6900447410</t>
  </si>
  <si>
    <t>DPTO MARISA EMILIO LAMARCA 4316</t>
  </si>
  <si>
    <t>DE PLANO</t>
  </si>
  <si>
    <t>PLAYA TUCUMAN</t>
  </si>
  <si>
    <t>TRADICIONAL CASA ARAB</t>
  </si>
  <si>
    <t>SAN PABLO</t>
  </si>
  <si>
    <t>EL VERGEL</t>
  </si>
  <si>
    <t>LUCIA VILLAMORO</t>
  </si>
  <si>
    <t>MERCADOPAGO *KIOSCOKR</t>
  </si>
  <si>
    <t>VISUALIZAR</t>
  </si>
  <si>
    <t>MERCADOPAGO *ZONAOEST</t>
  </si>
  <si>
    <t>PIZZA ALLA PALA</t>
  </si>
  <si>
    <t>GRIDO URCA</t>
  </si>
  <si>
    <t>MERPAGO*VETPLANET</t>
  </si>
  <si>
    <t>MERPAGO*VERDELIMON</t>
  </si>
  <si>
    <t>20242813503-CENTENO/FERNANDO JOSE-ALQvarios</t>
  </si>
  <si>
    <t>27421070356-MILAGROS,MAUBECIN MOLINA-VAR</t>
  </si>
  <si>
    <t>RODRIGUEZ DEL BUSTO 4086 FINANDINO CIA FIN     AL</t>
  </si>
  <si>
    <t>23276551159-LASTRA AGUSTIN-VAR</t>
  </si>
  <si>
    <t>27135959974-NICOLAS MARIA CLAUDIA-VAR</t>
  </si>
  <si>
    <t>30543740876-ASOCIACION CIVIL UCSE-HON</t>
  </si>
  <si>
    <t>27413489879-SOSA MOLINA CECILIA ANTONELLA-VAR</t>
  </si>
  <si>
    <t>20261781108-PEROTTI JUAN CARLOS-VAR</t>
  </si>
  <si>
    <t>30582623798-COLEGIO UNIVERSITARIO DE PERIODISMO-HON</t>
  </si>
  <si>
    <t>23276551159-LASTRA AGUSTIN-FAC</t>
  </si>
  <si>
    <t>Alquiler Chalet Walden</t>
  </si>
  <si>
    <t>6900452624</t>
  </si>
  <si>
    <t>Compra Departamento en Emilio Lamarca 4316</t>
  </si>
  <si>
    <t>Departamento Emilio Lamarca 4316</t>
  </si>
  <si>
    <t>U$S 85.000</t>
  </si>
  <si>
    <t>Valor de compra del Departamento escriturado con Escribano Alejandro Tucci Garcia 6/12/2022</t>
  </si>
  <si>
    <t xml:space="preserve">Regalo Niño Dios </t>
  </si>
  <si>
    <t>Sueldo Aniversario</t>
  </si>
  <si>
    <t>GASTOS   2023</t>
  </si>
  <si>
    <t xml:space="preserve">Comision Mirco Hermida 3 % de 85000. </t>
  </si>
  <si>
    <t>EL Saldo en Caja de Seguridad al 6/12/22 es 20700 dolares.</t>
  </si>
  <si>
    <t>Periodo  a contabilizar :</t>
  </si>
  <si>
    <t>IMPUESTOS  2023 ( Esta Planilla es en realidad una Planilla de seguimiento)</t>
  </si>
  <si>
    <t>INGRESOS VS CONSUMOS 2023</t>
  </si>
  <si>
    <t>Monto</t>
  </si>
  <si>
    <t>NroComprobante</t>
  </si>
  <si>
    <t>CREDIN - TRANSFERENCIA GRAVADO SIRCREB</t>
  </si>
  <si>
    <t>20352910857-Ivan Maximiliano Lezcano-VAR</t>
  </si>
  <si>
    <t>Compra Cash Back PosNet en Comercio</t>
  </si>
  <si>
    <t>LIBERTAD SA</t>
  </si>
  <si>
    <t>MERPAGO*ELCATA</t>
  </si>
  <si>
    <t>MERPAGO*MIGRANJITA</t>
  </si>
  <si>
    <t>CONSTRULUZ</t>
  </si>
  <si>
    <t>MERPAGO*EAC</t>
  </si>
  <si>
    <t>RISSEN</t>
  </si>
  <si>
    <t>MERPAGO*KRATOS</t>
  </si>
  <si>
    <t>FARMACIA DE LA CLINICA</t>
  </si>
  <si>
    <t>MERPAGO*FERRETERAJUST</t>
  </si>
  <si>
    <t>PANADERIA JOANA</t>
  </si>
  <si>
    <t>GRIDO</t>
  </si>
  <si>
    <t>MERPAGO*CONTRUCCION</t>
  </si>
  <si>
    <t>MERPAGO*FERRE2M</t>
  </si>
  <si>
    <t>FERRELAS</t>
  </si>
  <si>
    <t>COOP DE LUZ Y FZA LTDA</t>
  </si>
  <si>
    <t>ACUARAMA</t>
  </si>
  <si>
    <t>MERPAGO*LAPATAESMIA</t>
  </si>
  <si>
    <t>FERRETERIA CERRO</t>
  </si>
  <si>
    <t>MERPAGO*QUELOMITOVGB</t>
  </si>
  <si>
    <t>GETNET *JOANA</t>
  </si>
  <si>
    <t>MERCADOPAGO*ELCATA</t>
  </si>
  <si>
    <t>CONFITERIA EL CIERVO R</t>
  </si>
  <si>
    <t>DSA FCIA CRISTAL</t>
  </si>
  <si>
    <t>COMUN. VA. CIUDAD PARQ</t>
  </si>
  <si>
    <t>MIL SABORES</t>
  </si>
  <si>
    <t>MERPAGO*LOSFIORETTI</t>
  </si>
  <si>
    <t>MERPAGO*FERRETERIAROQ</t>
  </si>
  <si>
    <t>LUGONES REPUESTOS</t>
  </si>
  <si>
    <t>20242813503-CENTENO/FERNANDO JOSE-VARvarios</t>
  </si>
  <si>
    <t>27364047520-ROCIO/MARIEL CATANIA-VAR</t>
  </si>
  <si>
    <t>TRANSF.  CREDITO HB -EXENTO</t>
  </si>
  <si>
    <t>27035534771-ANTHONIOZ, YOLANDA ELO-VAR</t>
  </si>
  <si>
    <t>TRANSF.CRED. IB PLAN INTER./PLUS PAGO PROVEED.</t>
  </si>
  <si>
    <t>30711367434 FRAGUEIRO Y NOVI</t>
  </si>
  <si>
    <t>27423847218-BUSSO, CONSTANZA CAROLINA-VAR</t>
  </si>
  <si>
    <t>23129889209-KRELL JORGE LEONARDO-VAR</t>
  </si>
  <si>
    <t>051701600600000/6</t>
  </si>
  <si>
    <t>051704000700001/6</t>
  </si>
  <si>
    <t>SHELL ALCANO</t>
  </si>
  <si>
    <t>ELECTRONICA ARGENTINA</t>
  </si>
  <si>
    <t>MERPAGO*KOSTURITAS</t>
  </si>
  <si>
    <t>MERPAGO*DEOLINDA</t>
  </si>
  <si>
    <t>MERPAGO*HIDROBOSS</t>
  </si>
  <si>
    <t>PINTURERIA CERRO</t>
  </si>
  <si>
    <t>CASA DE PEDRO</t>
  </si>
  <si>
    <t>ESSO SERV MEDIAR</t>
  </si>
  <si>
    <t>POSITANO RESTOBAR</t>
  </si>
  <si>
    <t>27396891781-BUSSO/MARIA FLORENCIA-VARAporte casa</t>
  </si>
  <si>
    <t>Extracción ATM propio banco</t>
  </si>
  <si>
    <t>AV. RAFAEL NUNEZ 3706 BCO. PROV. DE CORDOBA C.D.L</t>
  </si>
  <si>
    <t>AV. CARDENOSA 3250 BCO. PROV. DE CORDOBA CORDOBA</t>
  </si>
  <si>
    <t>AV. MITRE 353 BCO. PROV. DE CORDOBA CORDOBA</t>
  </si>
  <si>
    <t>33628302729-FUERZA AEREA ARGENTINA-CUO</t>
  </si>
  <si>
    <t>20223739432-EHLERS, CLAUDIO ALEJANDRO-FAC</t>
  </si>
  <si>
    <t>20119485194-REY CARLOS OMAR-VAR</t>
  </si>
  <si>
    <t>23376271099-PEDRAZA IGNACIO BERNABE-VAR</t>
  </si>
  <si>
    <t>Suma de todos los gastos</t>
  </si>
  <si>
    <t>Dpto. Emilio Lamarca 4316</t>
  </si>
  <si>
    <t>Impuesto Muni Inmobiliario</t>
  </si>
  <si>
    <t xml:space="preserve">Impuesto Rentas Cuota 1 </t>
  </si>
  <si>
    <t>6900470297</t>
  </si>
  <si>
    <t>MERPAGO*FERRETADAMOLI</t>
  </si>
  <si>
    <t>MERPAGO*FERRETERIAFEB</t>
  </si>
  <si>
    <t>LUBRICANTES Y SERVICIO</t>
  </si>
  <si>
    <t>MERPAGO*CITYPARK</t>
  </si>
  <si>
    <t>MERPAGO*MOSCATEL</t>
  </si>
  <si>
    <t>SYS DISTRIBUIDORA</t>
  </si>
  <si>
    <t>LA MERCERIA</t>
  </si>
  <si>
    <t>LA CELESTE</t>
  </si>
  <si>
    <t>MERPAGO*LATRADICION</t>
  </si>
  <si>
    <t>MERPAGO*NATYVOS</t>
  </si>
  <si>
    <t>PINTURERIAS REX</t>
  </si>
  <si>
    <t>SERVICIOS SAN NICOLAS</t>
  </si>
  <si>
    <t>LA FABRICA</t>
  </si>
  <si>
    <t>PLAYA PALERMO</t>
  </si>
  <si>
    <t>BAZZAR</t>
  </si>
  <si>
    <t>BOCATTO</t>
  </si>
  <si>
    <t>20227745607-PEIROTTI/CARLOS FER-VARpago nic</t>
  </si>
  <si>
    <t>20144012764-antonio jose lucantis-VAR</t>
  </si>
  <si>
    <t>AV. RAFAEL NUNEZ 3918 BCO. PROV. DE CORDOBA CORDO</t>
  </si>
  <si>
    <t>BARTOLOMÉ MITRE 353 BCO. PROV. DE CORDOBA CORDOBA</t>
  </si>
  <si>
    <t>Extracción en efectivo InterSucursal</t>
  </si>
  <si>
    <t>33582498739-DAYPLAS SA-VAR</t>
  </si>
  <si>
    <t>27271723402-ESQUENAZI CLAUDIA-CUO</t>
  </si>
  <si>
    <t>20111929530-CEBALLOS MARIO AUGUSTO-HON</t>
  </si>
  <si>
    <t>27396222235-AZAR MOIRA CAROLINA-VAR</t>
  </si>
  <si>
    <t>Transferencia Crédito OPJ mismo Banco</t>
  </si>
  <si>
    <t>NRO.EXP. 0653637000</t>
  </si>
  <si>
    <t>Columna2</t>
  </si>
  <si>
    <t>6900484180</t>
  </si>
  <si>
    <t>042023</t>
  </si>
  <si>
    <t>NATYVOSBIOALMACEN</t>
  </si>
  <si>
    <t>De a Deveras</t>
  </si>
  <si>
    <t>ABASTO SOLUCIONES</t>
  </si>
  <si>
    <t>MERPAGO*LACHURRERIA</t>
  </si>
  <si>
    <t>BASICOS DECORACION</t>
  </si>
  <si>
    <t>MV HERRAJES</t>
  </si>
  <si>
    <t>PINTE CORD</t>
  </si>
  <si>
    <t>PINTURERIA SZUMIK</t>
  </si>
  <si>
    <t>ALMACEN FERRETERO</t>
  </si>
  <si>
    <t>ANDREA FRANCESCHINI</t>
  </si>
  <si>
    <t>Débito DEBIN</t>
  </si>
  <si>
    <t>30703088534-MERCADOLIBRE SRL-VAR</t>
  </si>
  <si>
    <t>REINTEGRO CARNICERIAS MINORISTAS</t>
  </si>
  <si>
    <t>Compra -Carniceria- por -          2.630,00</t>
  </si>
  <si>
    <t>Compra -Carniceria- por -            350,00</t>
  </si>
  <si>
    <t>Compra -Carniceria- por -            900,00</t>
  </si>
  <si>
    <t>Compra -Carniceria- por -            940,00</t>
  </si>
  <si>
    <t>Compra -Carniceria- por -          5.320,00</t>
  </si>
  <si>
    <t>Compra -Carniceria- por -          3.539,00</t>
  </si>
  <si>
    <t>Compra -Carniceria- por -          3.263,90</t>
  </si>
  <si>
    <t>Compra -Carniceria- por -          3.044,25</t>
  </si>
  <si>
    <t>Compra -Carniceria- por -          2.926,00</t>
  </si>
  <si>
    <t>Compra -Carniceria- por -            950,00</t>
  </si>
  <si>
    <t>Compra -Carniceria- por -          1.850,00</t>
  </si>
  <si>
    <t>Compra -Carniceria- por -          2.040,00</t>
  </si>
  <si>
    <t>27275406606-PUSSETTO  VANESA-HON</t>
  </si>
  <si>
    <t>20179097622-VOTA, GUSTAVO JAVIER-VAR</t>
  </si>
  <si>
    <t>30646951239-ASOC DEL PERSONAL SUPERIOR DE EPEC(APSE)-VAR</t>
  </si>
  <si>
    <t>20207854760-OYOLA, PABLO DANTE-VAR</t>
  </si>
  <si>
    <t>30707692711-SOCIEDAD DE MISIONEROS DIOCESANOS SAN JU-CUO</t>
  </si>
  <si>
    <t>20111929530-CEBALLOS MARIO AUGUSTO-VAR</t>
  </si>
  <si>
    <t>Compramos 1500 dolares a 475 pesos = 712500 pesos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</si>
</sst>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color theme="1"/>
      <name val="Arial"/>
      <family val="2"/>
    </font>
    <font>
      <b/>
      <sz val="10"/>
      <color rgb="FF000000"/>
      <name val="Poppins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8" fillId="0" borderId="0"/>
    <xf numFmtId="0" fontId="25" fillId="0" borderId="0"/>
    <xf numFmtId="0" fontId="34" fillId="0" borderId="0"/>
  </cellStyleXfs>
  <cellXfs count="377">
    <xf numFmtId="0" fontId="0" fillId="0" borderId="0" xfId="0"/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49" fontId="19" fillId="2" borderId="0" xfId="0" applyNumberFormat="1" applyFont="1" applyFill="1" applyAlignment="1">
      <alignment horizontal="center" vertical="center"/>
    </xf>
    <xf numFmtId="0" fontId="19" fillId="0" borderId="0" xfId="0" applyFont="1"/>
    <xf numFmtId="0" fontId="0" fillId="0" borderId="0" xfId="0" applyAlignment="1">
      <alignment horizontal="left" vertical="top"/>
    </xf>
    <xf numFmtId="0" fontId="18" fillId="0" borderId="0" xfId="1"/>
    <xf numFmtId="49" fontId="18" fillId="0" borderId="1" xfId="1" applyNumberFormat="1" applyBorder="1" applyAlignment="1">
      <alignment horizontal="center" vertical="center"/>
    </xf>
    <xf numFmtId="2" fontId="18" fillId="0" borderId="1" xfId="1" applyNumberFormat="1" applyBorder="1" applyAlignment="1">
      <alignment vertical="center"/>
    </xf>
    <xf numFmtId="0" fontId="18" fillId="0" borderId="0" xfId="1" applyAlignment="1">
      <alignment horizontal="left" vertical="center"/>
    </xf>
    <xf numFmtId="2" fontId="18" fillId="0" borderId="0" xfId="1" applyNumberFormat="1" applyAlignment="1">
      <alignment horizontal="center" vertical="center"/>
    </xf>
    <xf numFmtId="49" fontId="18" fillId="0" borderId="0" xfId="1" applyNumberFormat="1" applyAlignment="1">
      <alignment horizontal="center" vertical="center"/>
    </xf>
    <xf numFmtId="0" fontId="18" fillId="0" borderId="0" xfId="1" applyAlignment="1">
      <alignment horizontal="center" vertical="center"/>
    </xf>
    <xf numFmtId="49" fontId="21" fillId="4" borderId="16" xfId="1" quotePrefix="1" applyNumberFormat="1" applyFont="1" applyFill="1" applyBorder="1" applyAlignment="1">
      <alignment horizontal="center" vertical="center"/>
    </xf>
    <xf numFmtId="49" fontId="21" fillId="4" borderId="17" xfId="1" applyNumberFormat="1" applyFont="1" applyFill="1" applyBorder="1" applyAlignment="1">
      <alignment horizontal="center" vertical="center"/>
    </xf>
    <xf numFmtId="49" fontId="21" fillId="4" borderId="18" xfId="1" applyNumberFormat="1" applyFont="1" applyFill="1" applyBorder="1" applyAlignment="1">
      <alignment horizontal="center" vertical="center"/>
    </xf>
    <xf numFmtId="49" fontId="18" fillId="0" borderId="19" xfId="1" applyNumberFormat="1" applyBorder="1" applyAlignment="1">
      <alignment horizontal="center" vertical="center"/>
    </xf>
    <xf numFmtId="49" fontId="18" fillId="0" borderId="21" xfId="1" applyNumberFormat="1" applyBorder="1" applyAlignment="1">
      <alignment horizontal="center" vertical="center"/>
    </xf>
    <xf numFmtId="49" fontId="18" fillId="0" borderId="23" xfId="1" applyNumberForma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18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8" fillId="4" borderId="1" xfId="1" applyFill="1" applyBorder="1" applyAlignment="1">
      <alignment horizontal="center" vertical="center"/>
    </xf>
    <xf numFmtId="2" fontId="18" fillId="4" borderId="1" xfId="1" applyNumberFormat="1" applyFill="1" applyBorder="1" applyAlignment="1">
      <alignment vertical="center"/>
    </xf>
    <xf numFmtId="49" fontId="21" fillId="0" borderId="16" xfId="1" quotePrefix="1" applyNumberFormat="1" applyFont="1" applyBorder="1" applyAlignment="1">
      <alignment horizontal="center" vertical="center"/>
    </xf>
    <xf numFmtId="49" fontId="21" fillId="0" borderId="17" xfId="1" applyNumberFormat="1" applyFont="1" applyBorder="1" applyAlignment="1">
      <alignment horizontal="center" vertical="center"/>
    </xf>
    <xf numFmtId="49" fontId="21" fillId="0" borderId="18" xfId="1" applyNumberFormat="1" applyFont="1" applyBorder="1" applyAlignment="1">
      <alignment horizontal="center" vertical="center"/>
    </xf>
    <xf numFmtId="49" fontId="20" fillId="7" borderId="3" xfId="1" applyNumberFormat="1" applyFont="1" applyFill="1" applyBorder="1" applyAlignment="1">
      <alignment horizontal="right" vertical="center"/>
    </xf>
    <xf numFmtId="49" fontId="20" fillId="7" borderId="1" xfId="1" applyNumberFormat="1" applyFont="1" applyFill="1" applyBorder="1" applyAlignment="1">
      <alignment horizontal="right" vertical="center"/>
    </xf>
    <xf numFmtId="49" fontId="20" fillId="8" borderId="1" xfId="1" applyNumberFormat="1" applyFont="1" applyFill="1" applyBorder="1" applyAlignment="1">
      <alignment horizontal="right" vertical="center"/>
    </xf>
    <xf numFmtId="49" fontId="20" fillId="9" borderId="1" xfId="1" applyNumberFormat="1" applyFont="1" applyFill="1" applyBorder="1" applyAlignment="1">
      <alignment horizontal="right" vertical="center"/>
    </xf>
    <xf numFmtId="49" fontId="20" fillId="10" borderId="1" xfId="1" applyNumberFormat="1" applyFont="1" applyFill="1" applyBorder="1" applyAlignment="1">
      <alignment horizontal="right" vertical="center"/>
    </xf>
    <xf numFmtId="49" fontId="20" fillId="11" borderId="1" xfId="1" applyNumberFormat="1" applyFont="1" applyFill="1" applyBorder="1" applyAlignment="1">
      <alignment horizontal="right" vertical="center"/>
    </xf>
    <xf numFmtId="2" fontId="26" fillId="0" borderId="0" xfId="2" applyNumberFormat="1" applyFont="1" applyAlignment="1">
      <alignment horizontal="center" vertical="center"/>
    </xf>
    <xf numFmtId="2" fontId="25" fillId="0" borderId="0" xfId="2" applyNumberFormat="1"/>
    <xf numFmtId="0" fontId="25" fillId="0" borderId="0" xfId="2"/>
    <xf numFmtId="2" fontId="25" fillId="0" borderId="0" xfId="2" applyNumberFormat="1" applyAlignment="1">
      <alignment horizontal="center" vertical="center" wrapText="1"/>
    </xf>
    <xf numFmtId="0" fontId="27" fillId="0" borderId="29" xfId="2" applyFont="1" applyBorder="1" applyAlignment="1">
      <alignment horizontal="center" vertical="center"/>
    </xf>
    <xf numFmtId="2" fontId="26" fillId="0" borderId="13" xfId="2" applyNumberFormat="1" applyFont="1" applyBorder="1" applyAlignment="1">
      <alignment horizontal="center" vertical="center"/>
    </xf>
    <xf numFmtId="2" fontId="26" fillId="0" borderId="29" xfId="2" applyNumberFormat="1" applyFont="1" applyBorder="1" applyAlignment="1">
      <alignment horizontal="center" vertical="center"/>
    </xf>
    <xf numFmtId="2" fontId="26" fillId="0" borderId="14" xfId="2" applyNumberFormat="1" applyFont="1" applyBorder="1" applyAlignment="1">
      <alignment horizontal="center" vertical="center"/>
    </xf>
    <xf numFmtId="1" fontId="26" fillId="0" borderId="29" xfId="2" applyNumberFormat="1" applyFont="1" applyBorder="1" applyAlignment="1">
      <alignment horizontal="center" vertical="center"/>
    </xf>
    <xf numFmtId="0" fontId="26" fillId="14" borderId="29" xfId="2" applyFont="1" applyFill="1" applyBorder="1" applyAlignment="1">
      <alignment horizontal="center" vertical="center"/>
    </xf>
    <xf numFmtId="3" fontId="25" fillId="14" borderId="30" xfId="2" applyNumberFormat="1" applyFill="1" applyBorder="1" applyAlignment="1">
      <alignment horizontal="center" vertical="center"/>
    </xf>
    <xf numFmtId="3" fontId="28" fillId="14" borderId="17" xfId="2" applyNumberFormat="1" applyFont="1" applyFill="1" applyBorder="1" applyAlignment="1">
      <alignment horizontal="center" vertical="center"/>
    </xf>
    <xf numFmtId="3" fontId="25" fillId="14" borderId="17" xfId="2" applyNumberFormat="1" applyFill="1" applyBorder="1" applyAlignment="1">
      <alignment horizontal="center" vertical="center"/>
    </xf>
    <xf numFmtId="3" fontId="25" fillId="14" borderId="18" xfId="2" applyNumberFormat="1" applyFill="1" applyBorder="1" applyAlignment="1">
      <alignment horizontal="center" vertical="center"/>
    </xf>
    <xf numFmtId="3" fontId="25" fillId="14" borderId="29" xfId="2" applyNumberFormat="1" applyFill="1" applyBorder="1" applyAlignment="1">
      <alignment horizontal="center" vertical="center"/>
    </xf>
    <xf numFmtId="0" fontId="26" fillId="12" borderId="29" xfId="2" applyFont="1" applyFill="1" applyBorder="1" applyAlignment="1">
      <alignment horizontal="center" vertical="center"/>
    </xf>
    <xf numFmtId="3" fontId="25" fillId="12" borderId="30" xfId="2" applyNumberFormat="1" applyFill="1" applyBorder="1" applyAlignment="1">
      <alignment horizontal="center" vertical="center"/>
    </xf>
    <xf numFmtId="3" fontId="28" fillId="12" borderId="17" xfId="2" applyNumberFormat="1" applyFont="1" applyFill="1" applyBorder="1" applyAlignment="1">
      <alignment horizontal="center" vertical="center"/>
    </xf>
    <xf numFmtId="3" fontId="25" fillId="12" borderId="17" xfId="2" applyNumberFormat="1" applyFill="1" applyBorder="1" applyAlignment="1">
      <alignment horizontal="center" vertical="center"/>
    </xf>
    <xf numFmtId="3" fontId="25" fillId="12" borderId="31" xfId="2" applyNumberFormat="1" applyFill="1" applyBorder="1" applyAlignment="1">
      <alignment horizontal="center" vertical="center"/>
    </xf>
    <xf numFmtId="3" fontId="25" fillId="12" borderId="29" xfId="2" applyNumberFormat="1" applyFill="1" applyBorder="1" applyAlignment="1">
      <alignment horizontal="center" vertical="center"/>
    </xf>
    <xf numFmtId="0" fontId="25" fillId="0" borderId="32" xfId="2" applyBorder="1" applyAlignment="1">
      <alignment horizontal="center" vertical="center"/>
    </xf>
    <xf numFmtId="3" fontId="25" fillId="0" borderId="2" xfId="2" applyNumberFormat="1" applyBorder="1" applyAlignment="1">
      <alignment horizontal="center" vertical="center"/>
    </xf>
    <xf numFmtId="3" fontId="28" fillId="0" borderId="3" xfId="2" applyNumberFormat="1" applyFont="1" applyBorder="1" applyAlignment="1">
      <alignment horizontal="center" vertical="center"/>
    </xf>
    <xf numFmtId="3" fontId="25" fillId="0" borderId="3" xfId="2" applyNumberFormat="1" applyBorder="1" applyAlignment="1">
      <alignment horizontal="center" vertical="center"/>
    </xf>
    <xf numFmtId="3" fontId="25" fillId="0" borderId="4" xfId="2" applyNumberFormat="1" applyBorder="1" applyAlignment="1">
      <alignment horizontal="center" vertical="center"/>
    </xf>
    <xf numFmtId="3" fontId="25" fillId="0" borderId="33" xfId="2" applyNumberFormat="1" applyBorder="1" applyAlignment="1">
      <alignment horizontal="center" vertical="center"/>
    </xf>
    <xf numFmtId="0" fontId="25" fillId="0" borderId="34" xfId="2" applyBorder="1" applyAlignment="1">
      <alignment horizontal="center" vertical="center"/>
    </xf>
    <xf numFmtId="3" fontId="25" fillId="0" borderId="5" xfId="2" applyNumberFormat="1" applyBorder="1" applyAlignment="1">
      <alignment horizontal="center" vertical="center"/>
    </xf>
    <xf numFmtId="3" fontId="28" fillId="0" borderId="1" xfId="2" applyNumberFormat="1" applyFont="1" applyBorder="1" applyAlignment="1">
      <alignment horizontal="center" vertical="center"/>
    </xf>
    <xf numFmtId="3" fontId="25" fillId="0" borderId="1" xfId="2" applyNumberFormat="1" applyBorder="1" applyAlignment="1">
      <alignment horizontal="center" vertical="center"/>
    </xf>
    <xf numFmtId="3" fontId="25" fillId="0" borderId="6" xfId="2" applyNumberFormat="1" applyBorder="1" applyAlignment="1">
      <alignment horizontal="center" vertical="center"/>
    </xf>
    <xf numFmtId="3" fontId="25" fillId="0" borderId="29" xfId="2" applyNumberFormat="1" applyBorder="1" applyAlignment="1">
      <alignment horizontal="center" vertical="center"/>
    </xf>
    <xf numFmtId="0" fontId="25" fillId="0" borderId="35" xfId="2" applyBorder="1" applyAlignment="1">
      <alignment horizontal="center" vertical="center"/>
    </xf>
    <xf numFmtId="0" fontId="26" fillId="2" borderId="29" xfId="2" applyFont="1" applyFill="1" applyBorder="1" applyAlignment="1">
      <alignment horizontal="center" vertical="center"/>
    </xf>
    <xf numFmtId="3" fontId="25" fillId="2" borderId="13" xfId="2" applyNumberFormat="1" applyFill="1" applyBorder="1" applyAlignment="1">
      <alignment horizontal="center" vertical="center"/>
    </xf>
    <xf numFmtId="3" fontId="28" fillId="2" borderId="13" xfId="2" applyNumberFormat="1" applyFont="1" applyFill="1" applyBorder="1" applyAlignment="1">
      <alignment horizontal="center" vertical="center"/>
    </xf>
    <xf numFmtId="3" fontId="25" fillId="2" borderId="29" xfId="2" applyNumberFormat="1" applyFill="1" applyBorder="1" applyAlignment="1">
      <alignment horizontal="center" vertical="center"/>
    </xf>
    <xf numFmtId="2" fontId="26" fillId="13" borderId="0" xfId="2" applyNumberFormat="1" applyFont="1" applyFill="1" applyAlignment="1">
      <alignment horizontal="left" vertical="center" wrapText="1"/>
    </xf>
    <xf numFmtId="2" fontId="26" fillId="0" borderId="0" xfId="2" applyNumberFormat="1" applyFont="1" applyAlignment="1">
      <alignment horizontal="left" vertical="center" wrapText="1"/>
    </xf>
    <xf numFmtId="0" fontId="25" fillId="0" borderId="0" xfId="2" applyAlignment="1">
      <alignment horizontal="left" vertical="center" wrapText="1"/>
    </xf>
    <xf numFmtId="0" fontId="30" fillId="0" borderId="0" xfId="2" applyFont="1" applyAlignment="1">
      <alignment horizontal="center" vertical="center"/>
    </xf>
    <xf numFmtId="0" fontId="30" fillId="0" borderId="0" xfId="2" applyFont="1" applyAlignment="1">
      <alignment vertical="center"/>
    </xf>
    <xf numFmtId="49" fontId="27" fillId="0" borderId="44" xfId="2" applyNumberFormat="1" applyFont="1" applyBorder="1" applyAlignment="1">
      <alignment horizontal="center" vertical="center"/>
    </xf>
    <xf numFmtId="49" fontId="26" fillId="0" borderId="44" xfId="2" applyNumberFormat="1" applyFont="1" applyBorder="1" applyAlignment="1">
      <alignment horizontal="center" vertical="center"/>
    </xf>
    <xf numFmtId="49" fontId="32" fillId="20" borderId="45" xfId="2" applyNumberFormat="1" applyFont="1" applyFill="1" applyBorder="1" applyAlignment="1">
      <alignment horizontal="right" vertical="center"/>
    </xf>
    <xf numFmtId="49" fontId="32" fillId="20" borderId="47" xfId="2" applyNumberFormat="1" applyFont="1" applyFill="1" applyBorder="1" applyAlignment="1">
      <alignment horizontal="center" vertical="center"/>
    </xf>
    <xf numFmtId="49" fontId="26" fillId="21" borderId="21" xfId="2" applyNumberFormat="1" applyFont="1" applyFill="1" applyBorder="1" applyAlignment="1">
      <alignment horizontal="right" vertical="center"/>
    </xf>
    <xf numFmtId="2" fontId="25" fillId="0" borderId="0" xfId="2" applyNumberFormat="1" applyAlignment="1">
      <alignment horizontal="center" vertical="center"/>
    </xf>
    <xf numFmtId="49" fontId="35" fillId="12" borderId="23" xfId="3" applyNumberFormat="1" applyFont="1" applyFill="1" applyBorder="1" applyAlignment="1">
      <alignment horizontal="right" vertical="center" wrapText="1"/>
    </xf>
    <xf numFmtId="0" fontId="26" fillId="0" borderId="0" xfId="2" applyFont="1" applyAlignment="1">
      <alignment vertical="center"/>
    </xf>
    <xf numFmtId="49" fontId="35" fillId="12" borderId="0" xfId="3" applyNumberFormat="1" applyFont="1" applyFill="1" applyAlignment="1">
      <alignment horizontal="right" vertical="center" wrapText="1"/>
    </xf>
    <xf numFmtId="3" fontId="34" fillId="12" borderId="0" xfId="3" applyNumberFormat="1" applyFill="1" applyAlignment="1">
      <alignment horizontal="center" vertical="center" wrapText="1"/>
    </xf>
    <xf numFmtId="3" fontId="25" fillId="12" borderId="0" xfId="2" applyNumberFormat="1" applyFill="1" applyAlignment="1">
      <alignment horizontal="center" vertical="center"/>
    </xf>
    <xf numFmtId="49" fontId="25" fillId="12" borderId="0" xfId="2" applyNumberFormat="1" applyFill="1" applyAlignment="1">
      <alignment vertical="center"/>
    </xf>
    <xf numFmtId="49" fontId="35" fillId="20" borderId="16" xfId="3" applyNumberFormat="1" applyFont="1" applyFill="1" applyBorder="1" applyAlignment="1">
      <alignment horizontal="right" vertical="center" wrapText="1"/>
    </xf>
    <xf numFmtId="2" fontId="34" fillId="20" borderId="17" xfId="3" applyNumberFormat="1" applyFill="1" applyBorder="1" applyAlignment="1">
      <alignment horizontal="center" vertical="center" wrapText="1"/>
    </xf>
    <xf numFmtId="2" fontId="25" fillId="20" borderId="17" xfId="2" applyNumberFormat="1" applyFill="1" applyBorder="1" applyAlignment="1">
      <alignment horizontal="center" vertical="center"/>
    </xf>
    <xf numFmtId="49" fontId="25" fillId="20" borderId="18" xfId="2" applyNumberFormat="1" applyFill="1" applyBorder="1" applyAlignment="1">
      <alignment vertical="center"/>
    </xf>
    <xf numFmtId="0" fontId="25" fillId="0" borderId="0" xfId="2" applyAlignment="1">
      <alignment horizontal="right" vertical="center"/>
    </xf>
    <xf numFmtId="0" fontId="25" fillId="0" borderId="0" xfId="2" applyAlignment="1">
      <alignment vertical="center"/>
    </xf>
    <xf numFmtId="17" fontId="25" fillId="0" borderId="0" xfId="2" applyNumberFormat="1"/>
    <xf numFmtId="2" fontId="25" fillId="0" borderId="0" xfId="2" applyNumberFormat="1" applyAlignment="1">
      <alignment horizontal="right"/>
    </xf>
    <xf numFmtId="14" fontId="25" fillId="0" borderId="0" xfId="2" applyNumberFormat="1" applyAlignment="1">
      <alignment horizontal="center" vertical="center"/>
    </xf>
    <xf numFmtId="49" fontId="25" fillId="0" borderId="0" xfId="2" applyNumberFormat="1" applyAlignment="1">
      <alignment horizontal="center" vertical="center"/>
    </xf>
    <xf numFmtId="3" fontId="25" fillId="0" borderId="0" xfId="2" applyNumberForma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18" fillId="0" borderId="3" xfId="1" applyNumberFormat="1" applyBorder="1" applyAlignment="1">
      <alignment vertical="center"/>
    </xf>
    <xf numFmtId="1" fontId="18" fillId="0" borderId="1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25" fillId="0" borderId="0" xfId="2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0" xfId="1" applyAlignment="1">
      <alignment horizontal="center"/>
    </xf>
    <xf numFmtId="2" fontId="18" fillId="0" borderId="1" xfId="1" applyNumberFormat="1" applyBorder="1"/>
    <xf numFmtId="2" fontId="18" fillId="0" borderId="0" xfId="1" applyNumberFormat="1"/>
    <xf numFmtId="14" fontId="29" fillId="17" borderId="49" xfId="1" applyNumberFormat="1" applyFont="1" applyFill="1" applyBorder="1" applyAlignment="1">
      <alignment horizontal="center" vertical="center"/>
    </xf>
    <xf numFmtId="14" fontId="18" fillId="0" borderId="3" xfId="1" applyNumberFormat="1" applyBorder="1" applyAlignment="1">
      <alignment horizontal="center" vertical="center"/>
    </xf>
    <xf numFmtId="14" fontId="18" fillId="0" borderId="1" xfId="1" applyNumberFormat="1" applyBorder="1" applyAlignment="1">
      <alignment horizontal="center" vertical="center"/>
    </xf>
    <xf numFmtId="14" fontId="18" fillId="0" borderId="0" xfId="1" applyNumberFormat="1" applyAlignment="1">
      <alignment horizontal="center" vertical="center"/>
    </xf>
    <xf numFmtId="14" fontId="18" fillId="0" borderId="0" xfId="1" applyNumberFormat="1" applyAlignment="1">
      <alignment horizontal="center"/>
    </xf>
    <xf numFmtId="2" fontId="29" fillId="17" borderId="49" xfId="1" applyNumberFormat="1" applyFont="1" applyFill="1" applyBorder="1" applyAlignment="1">
      <alignment horizontal="center" vertical="center"/>
    </xf>
    <xf numFmtId="2" fontId="18" fillId="0" borderId="3" xfId="1" applyNumberFormat="1" applyBorder="1" applyAlignment="1">
      <alignment vertical="center"/>
    </xf>
    <xf numFmtId="14" fontId="29" fillId="17" borderId="48" xfId="1" applyNumberFormat="1" applyFont="1" applyFill="1" applyBorder="1" applyAlignment="1">
      <alignment horizontal="center" vertical="center"/>
    </xf>
    <xf numFmtId="49" fontId="29" fillId="17" borderId="49" xfId="1" applyNumberFormat="1" applyFont="1" applyFill="1" applyBorder="1" applyAlignment="1">
      <alignment horizontal="center" vertical="center"/>
    </xf>
    <xf numFmtId="49" fontId="29" fillId="17" borderId="50" xfId="1" applyNumberFormat="1" applyFont="1" applyFill="1" applyBorder="1" applyAlignment="1">
      <alignment horizontal="center" vertical="center"/>
    </xf>
    <xf numFmtId="49" fontId="18" fillId="0" borderId="3" xfId="1" applyNumberFormat="1" applyBorder="1" applyAlignment="1">
      <alignment vertical="center"/>
    </xf>
    <xf numFmtId="49" fontId="18" fillId="0" borderId="3" xfId="1" applyNumberFormat="1" applyBorder="1" applyAlignment="1">
      <alignment horizontal="center" vertical="center"/>
    </xf>
    <xf numFmtId="49" fontId="22" fillId="18" borderId="36" xfId="0" applyNumberFormat="1" applyFont="1" applyFill="1" applyBorder="1" applyAlignment="1">
      <alignment horizontal="center" vertical="center" wrapText="1"/>
    </xf>
    <xf numFmtId="49" fontId="18" fillId="0" borderId="1" xfId="1" applyNumberFormat="1" applyBorder="1" applyAlignment="1">
      <alignment vertical="center"/>
    </xf>
    <xf numFmtId="49" fontId="22" fillId="18" borderId="37" xfId="0" applyNumberFormat="1" applyFont="1" applyFill="1" applyBorder="1" applyAlignment="1">
      <alignment horizontal="center" vertical="center" wrapText="1"/>
    </xf>
    <xf numFmtId="49" fontId="18" fillId="0" borderId="0" xfId="1" applyNumberFormat="1" applyAlignment="1">
      <alignment vertical="center"/>
    </xf>
    <xf numFmtId="49" fontId="18" fillId="0" borderId="0" xfId="1" applyNumberFormat="1"/>
    <xf numFmtId="0" fontId="29" fillId="17" borderId="2" xfId="1" applyFont="1" applyFill="1" applyBorder="1" applyAlignment="1">
      <alignment horizontal="center" vertical="center"/>
    </xf>
    <xf numFmtId="2" fontId="29" fillId="17" borderId="3" xfId="1" applyNumberFormat="1" applyFont="1" applyFill="1" applyBorder="1" applyAlignment="1">
      <alignment horizontal="center" vertical="center"/>
    </xf>
    <xf numFmtId="2" fontId="18" fillId="0" borderId="8" xfId="1" applyNumberFormat="1" applyBorder="1"/>
    <xf numFmtId="14" fontId="29" fillId="17" borderId="2" xfId="1" applyNumberFormat="1" applyFont="1" applyFill="1" applyBorder="1" applyAlignment="1">
      <alignment horizontal="center" vertical="center"/>
    </xf>
    <xf numFmtId="14" fontId="18" fillId="0" borderId="5" xfId="1" applyNumberFormat="1" applyBorder="1" applyAlignment="1">
      <alignment horizontal="center" vertical="center"/>
    </xf>
    <xf numFmtId="14" fontId="18" fillId="0" borderId="7" xfId="1" applyNumberFormat="1" applyBorder="1" applyAlignment="1">
      <alignment horizontal="center" vertical="center"/>
    </xf>
    <xf numFmtId="49" fontId="29" fillId="17" borderId="3" xfId="1" applyNumberFormat="1" applyFont="1" applyFill="1" applyBorder="1" applyAlignment="1">
      <alignment horizontal="center" vertical="center"/>
    </xf>
    <xf numFmtId="49" fontId="18" fillId="0" borderId="8" xfId="1" applyNumberFormat="1" applyBorder="1" applyAlignment="1">
      <alignment horizontal="center" vertical="center"/>
    </xf>
    <xf numFmtId="49" fontId="18" fillId="0" borderId="0" xfId="1" applyNumberFormat="1" applyAlignment="1">
      <alignment horizontal="center"/>
    </xf>
    <xf numFmtId="1" fontId="29" fillId="17" borderId="3" xfId="1" applyNumberFormat="1" applyFont="1" applyFill="1" applyBorder="1" applyAlignment="1">
      <alignment horizontal="center" vertical="center"/>
    </xf>
    <xf numFmtId="1" fontId="18" fillId="0" borderId="8" xfId="1" applyNumberFormat="1" applyBorder="1" applyAlignment="1">
      <alignment vertical="center"/>
    </xf>
    <xf numFmtId="1" fontId="18" fillId="0" borderId="0" xfId="1" applyNumberFormat="1" applyAlignment="1">
      <alignment vertical="center"/>
    </xf>
    <xf numFmtId="1" fontId="18" fillId="0" borderId="0" xfId="1" applyNumberFormat="1"/>
    <xf numFmtId="49" fontId="29" fillId="17" borderId="4" xfId="1" applyNumberFormat="1" applyFont="1" applyFill="1" applyBorder="1" applyAlignment="1">
      <alignment horizontal="center" vertical="center"/>
    </xf>
    <xf numFmtId="49" fontId="18" fillId="0" borderId="6" xfId="1" applyNumberFormat="1" applyBorder="1" applyAlignment="1">
      <alignment vertical="center"/>
    </xf>
    <xf numFmtId="49" fontId="18" fillId="0" borderId="9" xfId="1" applyNumberFormat="1" applyBorder="1" applyAlignment="1">
      <alignment vertical="center"/>
    </xf>
    <xf numFmtId="14" fontId="18" fillId="0" borderId="5" xfId="1" applyNumberFormat="1" applyBorder="1" applyAlignment="1">
      <alignment horizontal="center"/>
    </xf>
    <xf numFmtId="14" fontId="18" fillId="0" borderId="7" xfId="1" applyNumberFormat="1" applyBorder="1" applyAlignment="1">
      <alignment horizontal="center"/>
    </xf>
    <xf numFmtId="49" fontId="18" fillId="0" borderId="1" xfId="1" applyNumberFormat="1" applyBorder="1" applyAlignment="1">
      <alignment horizontal="center"/>
    </xf>
    <xf numFmtId="49" fontId="18" fillId="0" borderId="8" xfId="1" applyNumberFormat="1" applyBorder="1" applyAlignment="1">
      <alignment horizontal="center"/>
    </xf>
    <xf numFmtId="49" fontId="18" fillId="0" borderId="6" xfId="1" applyNumberFormat="1" applyBorder="1"/>
    <xf numFmtId="49" fontId="18" fillId="0" borderId="9" xfId="1" applyNumberFormat="1" applyBorder="1"/>
    <xf numFmtId="49" fontId="16" fillId="0" borderId="8" xfId="1" applyNumberFormat="1" applyFont="1" applyBorder="1" applyAlignment="1">
      <alignment horizontal="center"/>
    </xf>
    <xf numFmtId="49" fontId="16" fillId="0" borderId="9" xfId="1" applyNumberFormat="1" applyFont="1" applyBorder="1"/>
    <xf numFmtId="49" fontId="16" fillId="0" borderId="6" xfId="1" applyNumberFormat="1" applyFont="1" applyBorder="1"/>
    <xf numFmtId="49" fontId="33" fillId="20" borderId="22" xfId="2" applyNumberFormat="1" applyFont="1" applyFill="1" applyBorder="1" applyAlignment="1">
      <alignment horizontal="center" vertical="center" wrapText="1"/>
    </xf>
    <xf numFmtId="49" fontId="26" fillId="6" borderId="21" xfId="2" applyNumberFormat="1" applyFont="1" applyFill="1" applyBorder="1" applyAlignment="1">
      <alignment horizontal="right" vertical="center"/>
    </xf>
    <xf numFmtId="1" fontId="32" fillId="20" borderId="46" xfId="2" applyNumberFormat="1" applyFont="1" applyFill="1" applyBorder="1" applyAlignment="1">
      <alignment horizontal="center" vertical="center"/>
    </xf>
    <xf numFmtId="49" fontId="36" fillId="21" borderId="22" xfId="2" applyNumberFormat="1" applyFont="1" applyFill="1" applyBorder="1" applyAlignment="1">
      <alignment horizontal="center" vertical="center" wrapText="1"/>
    </xf>
    <xf numFmtId="49" fontId="36" fillId="6" borderId="22" xfId="2" applyNumberFormat="1" applyFont="1" applyFill="1" applyBorder="1" applyAlignment="1">
      <alignment horizontal="center" vertical="center" wrapText="1"/>
    </xf>
    <xf numFmtId="49" fontId="26" fillId="12" borderId="25" xfId="2" applyNumberFormat="1" applyFont="1" applyFill="1" applyBorder="1" applyAlignment="1">
      <alignment vertical="center"/>
    </xf>
    <xf numFmtId="49" fontId="32" fillId="20" borderId="21" xfId="2" applyNumberFormat="1" applyFont="1" applyFill="1" applyBorder="1" applyAlignment="1">
      <alignment horizontal="right" vertical="center"/>
    </xf>
    <xf numFmtId="0" fontId="26" fillId="0" borderId="0" xfId="2" applyFont="1" applyAlignment="1">
      <alignment horizontal="center" vertical="center"/>
    </xf>
    <xf numFmtId="3" fontId="26" fillId="0" borderId="0" xfId="2" applyNumberFormat="1" applyFont="1" applyAlignment="1">
      <alignment horizontal="center" vertical="center"/>
    </xf>
    <xf numFmtId="2" fontId="25" fillId="20" borderId="1" xfId="2" applyNumberFormat="1" applyFill="1" applyBorder="1" applyAlignment="1">
      <alignment horizontal="center" vertical="center"/>
    </xf>
    <xf numFmtId="0" fontId="26" fillId="5" borderId="3" xfId="2" applyFont="1" applyFill="1" applyBorder="1" applyAlignment="1">
      <alignment horizontal="center" vertical="center"/>
    </xf>
    <xf numFmtId="0" fontId="26" fillId="5" borderId="3" xfId="2" applyFont="1" applyFill="1" applyBorder="1" applyAlignment="1">
      <alignment horizontal="center" vertical="center" wrapText="1"/>
    </xf>
    <xf numFmtId="49" fontId="28" fillId="5" borderId="1" xfId="2" applyNumberFormat="1" applyFont="1" applyFill="1" applyBorder="1" applyAlignment="1">
      <alignment horizontal="center" vertical="center"/>
    </xf>
    <xf numFmtId="1" fontId="28" fillId="5" borderId="1" xfId="2" applyNumberFormat="1" applyFont="1" applyFill="1" applyBorder="1" applyAlignment="1">
      <alignment horizontal="center" vertical="center"/>
    </xf>
    <xf numFmtId="49" fontId="25" fillId="5" borderId="1" xfId="2" applyNumberFormat="1" applyFill="1" applyBorder="1" applyAlignment="1">
      <alignment horizontal="center" vertical="center"/>
    </xf>
    <xf numFmtId="3" fontId="25" fillId="5" borderId="1" xfId="2" applyNumberFormat="1" applyFill="1" applyBorder="1" applyAlignment="1">
      <alignment horizontal="center" vertical="center"/>
    </xf>
    <xf numFmtId="49" fontId="25" fillId="5" borderId="24" xfId="2" applyNumberFormat="1" applyFill="1" applyBorder="1" applyAlignment="1">
      <alignment horizontal="center" vertical="center"/>
    </xf>
    <xf numFmtId="3" fontId="25" fillId="5" borderId="24" xfId="2" applyNumberFormat="1" applyFill="1" applyBorder="1" applyAlignment="1">
      <alignment horizontal="center" vertical="center"/>
    </xf>
    <xf numFmtId="49" fontId="26" fillId="5" borderId="23" xfId="2" applyNumberFormat="1" applyFont="1" applyFill="1" applyBorder="1" applyAlignment="1">
      <alignment horizontal="right" vertical="center"/>
    </xf>
    <xf numFmtId="49" fontId="36" fillId="5" borderId="25" xfId="2" applyNumberFormat="1" applyFont="1" applyFill="1" applyBorder="1" applyAlignment="1">
      <alignment horizontal="center" vertical="center" wrapText="1"/>
    </xf>
    <xf numFmtId="49" fontId="26" fillId="6" borderId="45" xfId="2" applyNumberFormat="1" applyFont="1" applyFill="1" applyBorder="1" applyAlignment="1">
      <alignment horizontal="right" vertical="center"/>
    </xf>
    <xf numFmtId="49" fontId="36" fillId="6" borderId="47" xfId="2" applyNumberFormat="1" applyFont="1" applyFill="1" applyBorder="1" applyAlignment="1">
      <alignment horizontal="center" vertical="center" wrapText="1"/>
    </xf>
    <xf numFmtId="49" fontId="15" fillId="0" borderId="6" xfId="1" applyNumberFormat="1" applyFont="1" applyBorder="1"/>
    <xf numFmtId="49" fontId="15" fillId="0" borderId="1" xfId="1" applyNumberFormat="1" applyFont="1" applyBorder="1" applyAlignment="1">
      <alignment horizontal="center"/>
    </xf>
    <xf numFmtId="49" fontId="15" fillId="0" borderId="9" xfId="1" applyNumberFormat="1" applyFont="1" applyBorder="1"/>
    <xf numFmtId="49" fontId="15" fillId="0" borderId="8" xfId="1" applyNumberFormat="1" applyFont="1" applyBorder="1" applyAlignment="1">
      <alignment horizontal="center"/>
    </xf>
    <xf numFmtId="14" fontId="18" fillId="0" borderId="8" xfId="1" applyNumberFormat="1" applyBorder="1" applyAlignment="1">
      <alignment horizontal="center" vertical="center"/>
    </xf>
    <xf numFmtId="2" fontId="18" fillId="0" borderId="8" xfId="1" applyNumberFormat="1" applyBorder="1" applyAlignment="1">
      <alignment vertical="center"/>
    </xf>
    <xf numFmtId="49" fontId="18" fillId="0" borderId="8" xfId="1" applyNumberFormat="1" applyBorder="1" applyAlignment="1">
      <alignment vertical="center"/>
    </xf>
    <xf numFmtId="49" fontId="22" fillId="18" borderId="51" xfId="1" applyNumberFormat="1" applyFont="1" applyFill="1" applyBorder="1" applyAlignment="1">
      <alignment horizontal="center" vertical="center" wrapText="1"/>
    </xf>
    <xf numFmtId="49" fontId="14" fillId="0" borderId="1" xfId="1" applyNumberFormat="1" applyFont="1" applyBorder="1" applyAlignment="1">
      <alignment vertical="center"/>
    </xf>
    <xf numFmtId="49" fontId="14" fillId="0" borderId="8" xfId="1" applyNumberFormat="1" applyFont="1" applyBorder="1" applyAlignment="1">
      <alignment horizontal="center" vertical="center"/>
    </xf>
    <xf numFmtId="49" fontId="14" fillId="0" borderId="8" xfId="1" applyNumberFormat="1" applyFont="1" applyBorder="1" applyAlignment="1">
      <alignment vertical="center" wrapText="1"/>
    </xf>
    <xf numFmtId="49" fontId="14" fillId="0" borderId="8" xfId="1" applyNumberFormat="1" applyFont="1" applyBorder="1" applyAlignment="1">
      <alignment vertical="center"/>
    </xf>
    <xf numFmtId="49" fontId="14" fillId="0" borderId="8" xfId="1" applyNumberFormat="1" applyFont="1" applyBorder="1" applyAlignment="1">
      <alignment horizontal="center"/>
    </xf>
    <xf numFmtId="49" fontId="14" fillId="0" borderId="9" xfId="1" applyNumberFormat="1" applyFont="1" applyBorder="1"/>
    <xf numFmtId="49" fontId="13" fillId="0" borderId="8" xfId="1" applyNumberFormat="1" applyFont="1" applyBorder="1" applyAlignment="1">
      <alignment horizontal="center"/>
    </xf>
    <xf numFmtId="49" fontId="13" fillId="0" borderId="9" xfId="1" applyNumberFormat="1" applyFont="1" applyBorder="1"/>
    <xf numFmtId="14" fontId="12" fillId="0" borderId="7" xfId="1" applyNumberFormat="1" applyFont="1" applyBorder="1" applyAlignment="1">
      <alignment horizontal="center"/>
    </xf>
    <xf numFmtId="49" fontId="12" fillId="0" borderId="8" xfId="1" applyNumberFormat="1" applyFont="1" applyBorder="1" applyAlignment="1">
      <alignment horizontal="center"/>
    </xf>
    <xf numFmtId="49" fontId="12" fillId="0" borderId="9" xfId="1" applyNumberFormat="1" applyFont="1" applyBorder="1"/>
    <xf numFmtId="49" fontId="11" fillId="0" borderId="8" xfId="1" applyNumberFormat="1" applyFont="1" applyBorder="1" applyAlignment="1">
      <alignment vertical="center"/>
    </xf>
    <xf numFmtId="49" fontId="11" fillId="0" borderId="8" xfId="1" applyNumberFormat="1" applyFont="1" applyBorder="1" applyAlignment="1">
      <alignment horizontal="center"/>
    </xf>
    <xf numFmtId="49" fontId="11" fillId="0" borderId="9" xfId="1" applyNumberFormat="1" applyFont="1" applyBorder="1"/>
    <xf numFmtId="49" fontId="10" fillId="0" borderId="8" xfId="1" applyNumberFormat="1" applyFont="1" applyBorder="1" applyAlignment="1">
      <alignment vertical="center"/>
    </xf>
    <xf numFmtId="49" fontId="10" fillId="0" borderId="8" xfId="1" applyNumberFormat="1" applyFont="1" applyBorder="1" applyAlignment="1">
      <alignment horizontal="center" vertical="center"/>
    </xf>
    <xf numFmtId="49" fontId="10" fillId="0" borderId="8" xfId="1" applyNumberFormat="1" applyFont="1" applyBorder="1" applyAlignment="1">
      <alignment horizontal="center"/>
    </xf>
    <xf numFmtId="49" fontId="10" fillId="0" borderId="9" xfId="1" applyNumberFormat="1" applyFont="1" applyBorder="1"/>
    <xf numFmtId="1" fontId="29" fillId="17" borderId="49" xfId="1" applyNumberFormat="1" applyFont="1" applyFill="1" applyBorder="1" applyAlignment="1">
      <alignment horizontal="center" vertical="center"/>
    </xf>
    <xf numFmtId="49" fontId="9" fillId="0" borderId="8" xfId="1" applyNumberFormat="1" applyFont="1" applyBorder="1" applyAlignment="1">
      <alignment vertical="center"/>
    </xf>
    <xf numFmtId="49" fontId="8" fillId="0" borderId="8" xfId="1" applyNumberFormat="1" applyFont="1" applyBorder="1" applyAlignment="1">
      <alignment vertical="center"/>
    </xf>
    <xf numFmtId="49" fontId="8" fillId="0" borderId="8" xfId="1" applyNumberFormat="1" applyFont="1" applyBorder="1" applyAlignment="1">
      <alignment horizontal="center" vertical="center"/>
    </xf>
    <xf numFmtId="49" fontId="22" fillId="18" borderId="51" xfId="1" quotePrefix="1" applyNumberFormat="1" applyFont="1" applyFill="1" applyBorder="1" applyAlignment="1">
      <alignment horizontal="center" vertical="center" wrapText="1"/>
    </xf>
    <xf numFmtId="49" fontId="7" fillId="0" borderId="8" xfId="1" applyNumberFormat="1" applyFont="1" applyBorder="1" applyAlignment="1">
      <alignment vertical="center"/>
    </xf>
    <xf numFmtId="49" fontId="7" fillId="0" borderId="9" xfId="1" applyNumberFormat="1" applyFont="1" applyBorder="1" applyAlignment="1">
      <alignment horizontal="center" vertical="center"/>
    </xf>
    <xf numFmtId="14" fontId="18" fillId="23" borderId="7" xfId="1" applyNumberFormat="1" applyFill="1" applyBorder="1" applyAlignment="1">
      <alignment horizontal="center" vertical="center"/>
    </xf>
    <xf numFmtId="49" fontId="6" fillId="23" borderId="8" xfId="1" applyNumberFormat="1" applyFont="1" applyFill="1" applyBorder="1" applyAlignment="1">
      <alignment horizontal="center" vertical="center"/>
    </xf>
    <xf numFmtId="1" fontId="18" fillId="23" borderId="8" xfId="1" applyNumberFormat="1" applyFill="1" applyBorder="1" applyAlignment="1">
      <alignment vertical="center"/>
    </xf>
    <xf numFmtId="49" fontId="6" fillId="23" borderId="9" xfId="1" applyNumberFormat="1" applyFont="1" applyFill="1" applyBorder="1" applyAlignment="1">
      <alignment vertical="center"/>
    </xf>
    <xf numFmtId="0" fontId="27" fillId="0" borderId="0" xfId="2" applyFont="1" applyAlignment="1">
      <alignment horizontal="center" vertical="center"/>
    </xf>
    <xf numFmtId="49" fontId="5" fillId="0" borderId="8" xfId="1" applyNumberFormat="1" applyFont="1" applyBorder="1" applyAlignment="1">
      <alignment horizontal="center" vertical="center"/>
    </xf>
    <xf numFmtId="49" fontId="5" fillId="23" borderId="9" xfId="1" applyNumberFormat="1" applyFont="1" applyFill="1" applyBorder="1" applyAlignment="1">
      <alignment vertical="center"/>
    </xf>
    <xf numFmtId="49" fontId="5" fillId="0" borderId="9" xfId="1" applyNumberFormat="1" applyFont="1" applyBorder="1" applyAlignment="1">
      <alignment vertical="center"/>
    </xf>
    <xf numFmtId="0" fontId="37" fillId="0" borderId="1" xfId="1" applyFont="1" applyBorder="1" applyAlignment="1">
      <alignment horizontal="left" vertical="center"/>
    </xf>
    <xf numFmtId="0" fontId="37" fillId="0" borderId="5" xfId="1" applyFont="1" applyBorder="1" applyAlignment="1">
      <alignment horizontal="left" vertical="center"/>
    </xf>
    <xf numFmtId="49" fontId="37" fillId="0" borderId="1" xfId="1" applyNumberFormat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1" fontId="37" fillId="0" borderId="1" xfId="1" applyNumberFormat="1" applyFont="1" applyBorder="1" applyAlignment="1">
      <alignment horizontal="center" vertical="center"/>
    </xf>
    <xf numFmtId="0" fontId="37" fillId="5" borderId="5" xfId="1" applyFont="1" applyFill="1" applyBorder="1" applyAlignment="1">
      <alignment horizontal="left" vertical="center"/>
    </xf>
    <xf numFmtId="0" fontId="37" fillId="5" borderId="1" xfId="1" applyFont="1" applyFill="1" applyBorder="1" applyAlignment="1">
      <alignment horizontal="left" vertical="center"/>
    </xf>
    <xf numFmtId="49" fontId="37" fillId="5" borderId="1" xfId="1" applyNumberFormat="1" applyFont="1" applyFill="1" applyBorder="1" applyAlignment="1">
      <alignment horizontal="center" vertical="center"/>
    </xf>
    <xf numFmtId="0" fontId="37" fillId="5" borderId="1" xfId="1" applyFont="1" applyFill="1" applyBorder="1" applyAlignment="1">
      <alignment horizontal="center" vertical="center"/>
    </xf>
    <xf numFmtId="0" fontId="38" fillId="6" borderId="5" xfId="0" applyFont="1" applyFill="1" applyBorder="1" applyAlignment="1">
      <alignment horizontal="left" vertical="center" wrapText="1"/>
    </xf>
    <xf numFmtId="0" fontId="37" fillId="6" borderId="1" xfId="1" applyFont="1" applyFill="1" applyBorder="1" applyAlignment="1">
      <alignment horizontal="left" vertical="center"/>
    </xf>
    <xf numFmtId="49" fontId="38" fillId="6" borderId="1" xfId="0" applyNumberFormat="1" applyFont="1" applyFill="1" applyBorder="1" applyAlignment="1">
      <alignment horizontal="center" vertical="center" wrapText="1"/>
    </xf>
    <xf numFmtId="0" fontId="37" fillId="6" borderId="1" xfId="1" applyFont="1" applyFill="1" applyBorder="1" applyAlignment="1">
      <alignment horizontal="center" vertical="center"/>
    </xf>
    <xf numFmtId="0" fontId="37" fillId="2" borderId="7" xfId="1" applyFont="1" applyFill="1" applyBorder="1" applyAlignment="1">
      <alignment horizontal="left" vertical="center"/>
    </xf>
    <xf numFmtId="0" fontId="37" fillId="2" borderId="8" xfId="1" applyFont="1" applyFill="1" applyBorder="1" applyAlignment="1">
      <alignment horizontal="left" vertical="center"/>
    </xf>
    <xf numFmtId="49" fontId="38" fillId="2" borderId="8" xfId="0" applyNumberFormat="1" applyFont="1" applyFill="1" applyBorder="1" applyAlignment="1">
      <alignment horizontal="center" vertical="center" wrapText="1"/>
    </xf>
    <xf numFmtId="0" fontId="37" fillId="2" borderId="8" xfId="1" applyFont="1" applyFill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9" fillId="4" borderId="1" xfId="1" applyFont="1" applyFill="1" applyBorder="1" applyAlignment="1">
      <alignment horizontal="left" vertical="center" wrapText="1"/>
    </xf>
    <xf numFmtId="49" fontId="39" fillId="4" borderId="1" xfId="1" applyNumberFormat="1" applyFont="1" applyFill="1" applyBorder="1" applyAlignment="1">
      <alignment horizontal="center" vertical="center" wrapText="1"/>
    </xf>
    <xf numFmtId="0" fontId="39" fillId="4" borderId="1" xfId="1" applyFont="1" applyFill="1" applyBorder="1" applyAlignment="1">
      <alignment horizontal="center" vertical="center" wrapText="1"/>
    </xf>
    <xf numFmtId="0" fontId="39" fillId="4" borderId="2" xfId="1" applyFont="1" applyFill="1" applyBorder="1" applyAlignment="1">
      <alignment horizontal="left" vertical="center" wrapText="1"/>
    </xf>
    <xf numFmtId="0" fontId="39" fillId="4" borderId="3" xfId="1" applyFont="1" applyFill="1" applyBorder="1" applyAlignment="1">
      <alignment horizontal="left" vertical="center" wrapText="1"/>
    </xf>
    <xf numFmtId="49" fontId="39" fillId="4" borderId="3" xfId="1" applyNumberFormat="1" applyFont="1" applyFill="1" applyBorder="1" applyAlignment="1">
      <alignment horizontal="center" vertical="center" wrapText="1"/>
    </xf>
    <xf numFmtId="0" fontId="39" fillId="4" borderId="3" xfId="1" applyFont="1" applyFill="1" applyBorder="1" applyAlignment="1">
      <alignment horizontal="center" vertical="center" wrapText="1"/>
    </xf>
    <xf numFmtId="0" fontId="39" fillId="4" borderId="4" xfId="1" applyFont="1" applyFill="1" applyBorder="1" applyAlignment="1">
      <alignment horizontal="center" vertical="center" wrapText="1"/>
    </xf>
    <xf numFmtId="49" fontId="4" fillId="0" borderId="8" xfId="1" applyNumberFormat="1" applyFont="1" applyBorder="1" applyAlignment="1">
      <alignment vertical="center"/>
    </xf>
    <xf numFmtId="49" fontId="4" fillId="0" borderId="8" xfId="1" applyNumberFormat="1" applyFont="1" applyBorder="1" applyAlignment="1">
      <alignment horizontal="center"/>
    </xf>
    <xf numFmtId="3" fontId="18" fillId="0" borderId="3" xfId="1" applyNumberFormat="1" applyBorder="1" applyAlignment="1">
      <alignment vertical="center"/>
    </xf>
    <xf numFmtId="3" fontId="18" fillId="0" borderId="20" xfId="1" applyNumberFormat="1" applyBorder="1" applyAlignment="1">
      <alignment vertical="center"/>
    </xf>
    <xf numFmtId="3" fontId="18" fillId="0" borderId="1" xfId="1" applyNumberFormat="1" applyBorder="1" applyAlignment="1">
      <alignment vertical="center"/>
    </xf>
    <xf numFmtId="3" fontId="18" fillId="0" borderId="22" xfId="1" applyNumberFormat="1" applyBorder="1" applyAlignment="1">
      <alignment vertical="center"/>
    </xf>
    <xf numFmtId="3" fontId="18" fillId="0" borderId="24" xfId="1" applyNumberFormat="1" applyBorder="1" applyAlignment="1">
      <alignment vertical="center"/>
    </xf>
    <xf numFmtId="3" fontId="18" fillId="0" borderId="25" xfId="1" applyNumberFormat="1" applyBorder="1" applyAlignment="1">
      <alignment vertical="center"/>
    </xf>
    <xf numFmtId="3" fontId="17" fillId="0" borderId="26" xfId="0" applyNumberFormat="1" applyFont="1" applyBorder="1" applyAlignment="1">
      <alignment vertical="center"/>
    </xf>
    <xf numFmtId="3" fontId="17" fillId="0" borderId="11" xfId="0" applyNumberFormat="1" applyFont="1" applyBorder="1" applyAlignment="1">
      <alignment vertical="center"/>
    </xf>
    <xf numFmtId="3" fontId="18" fillId="7" borderId="3" xfId="1" applyNumberFormat="1" applyFill="1" applyBorder="1" applyAlignment="1">
      <alignment vertical="center"/>
    </xf>
    <xf numFmtId="3" fontId="20" fillId="7" borderId="3" xfId="1" applyNumberFormat="1" applyFont="1" applyFill="1" applyBorder="1" applyAlignment="1">
      <alignment vertical="center"/>
    </xf>
    <xf numFmtId="3" fontId="18" fillId="7" borderId="1" xfId="1" applyNumberFormat="1" applyFill="1" applyBorder="1" applyAlignment="1">
      <alignment vertical="center"/>
    </xf>
    <xf numFmtId="3" fontId="20" fillId="7" borderId="1" xfId="1" applyNumberFormat="1" applyFont="1" applyFill="1" applyBorder="1" applyAlignment="1">
      <alignment vertical="center"/>
    </xf>
    <xf numFmtId="3" fontId="18" fillId="8" borderId="1" xfId="1" applyNumberFormat="1" applyFill="1" applyBorder="1" applyAlignment="1">
      <alignment vertical="center"/>
    </xf>
    <xf numFmtId="3" fontId="9" fillId="8" borderId="1" xfId="1" applyNumberFormat="1" applyFont="1" applyFill="1" applyBorder="1" applyAlignment="1">
      <alignment vertical="center"/>
    </xf>
    <xf numFmtId="3" fontId="20" fillId="8" borderId="1" xfId="1" applyNumberFormat="1" applyFont="1" applyFill="1" applyBorder="1" applyAlignment="1">
      <alignment vertical="center"/>
    </xf>
    <xf numFmtId="3" fontId="18" fillId="9" borderId="1" xfId="1" applyNumberFormat="1" applyFill="1" applyBorder="1" applyAlignment="1">
      <alignment vertical="center"/>
    </xf>
    <xf numFmtId="3" fontId="20" fillId="9" borderId="1" xfId="1" applyNumberFormat="1" applyFont="1" applyFill="1" applyBorder="1" applyAlignment="1">
      <alignment vertical="center"/>
    </xf>
    <xf numFmtId="3" fontId="18" fillId="10" borderId="1" xfId="1" applyNumberFormat="1" applyFill="1" applyBorder="1" applyAlignment="1">
      <alignment vertical="center"/>
    </xf>
    <xf numFmtId="3" fontId="20" fillId="10" borderId="1" xfId="1" applyNumberFormat="1" applyFont="1" applyFill="1" applyBorder="1" applyAlignment="1">
      <alignment vertical="center"/>
    </xf>
    <xf numFmtId="3" fontId="20" fillId="11" borderId="1" xfId="1" applyNumberFormat="1" applyFont="1" applyFill="1" applyBorder="1" applyAlignment="1">
      <alignment vertical="center"/>
    </xf>
    <xf numFmtId="3" fontId="37" fillId="0" borderId="1" xfId="1" applyNumberFormat="1" applyFont="1" applyBorder="1" applyAlignment="1">
      <alignment vertical="center"/>
    </xf>
    <xf numFmtId="3" fontId="37" fillId="0" borderId="6" xfId="1" applyNumberFormat="1" applyFont="1" applyBorder="1" applyAlignment="1">
      <alignment vertical="center"/>
    </xf>
    <xf numFmtId="3" fontId="37" fillId="5" borderId="1" xfId="1" applyNumberFormat="1" applyFont="1" applyFill="1" applyBorder="1" applyAlignment="1">
      <alignment vertical="center"/>
    </xf>
    <xf numFmtId="3" fontId="37" fillId="5" borderId="6" xfId="1" applyNumberFormat="1" applyFont="1" applyFill="1" applyBorder="1" applyAlignment="1">
      <alignment vertical="center"/>
    </xf>
    <xf numFmtId="3" fontId="37" fillId="6" borderId="1" xfId="1" applyNumberFormat="1" applyFont="1" applyFill="1" applyBorder="1"/>
    <xf numFmtId="3" fontId="37" fillId="6" borderId="6" xfId="1" applyNumberFormat="1" applyFont="1" applyFill="1" applyBorder="1"/>
    <xf numFmtId="3" fontId="37" fillId="2" borderId="8" xfId="1" applyNumberFormat="1" applyFont="1" applyFill="1" applyBorder="1"/>
    <xf numFmtId="3" fontId="37" fillId="2" borderId="9" xfId="1" applyNumberFormat="1" applyFont="1" applyFill="1" applyBorder="1"/>
    <xf numFmtId="3" fontId="37" fillId="0" borderId="52" xfId="0" applyNumberFormat="1" applyFont="1" applyBorder="1" applyAlignment="1">
      <alignment horizontal="center" vertical="center"/>
    </xf>
    <xf numFmtId="49" fontId="37" fillId="5" borderId="1" xfId="1" quotePrefix="1" applyNumberFormat="1" applyFont="1" applyFill="1" applyBorder="1" applyAlignment="1">
      <alignment horizontal="center" vertical="center"/>
    </xf>
    <xf numFmtId="1" fontId="37" fillId="5" borderId="1" xfId="1" quotePrefix="1" applyNumberFormat="1" applyFont="1" applyFill="1" applyBorder="1" applyAlignment="1">
      <alignment horizontal="center" vertical="center"/>
    </xf>
    <xf numFmtId="0" fontId="42" fillId="0" borderId="0" xfId="0" applyFont="1"/>
    <xf numFmtId="49" fontId="3" fillId="0" borderId="8" xfId="1" applyNumberFormat="1" applyFont="1" applyBorder="1" applyAlignment="1">
      <alignment vertical="center"/>
    </xf>
    <xf numFmtId="49" fontId="3" fillId="0" borderId="9" xfId="1" applyNumberFormat="1" applyFont="1" applyBorder="1" applyAlignment="1">
      <alignment horizontal="center" vertical="center"/>
    </xf>
    <xf numFmtId="49" fontId="18" fillId="0" borderId="9" xfId="1" applyNumberFormat="1" applyBorder="1" applyAlignment="1">
      <alignment horizontal="center" vertical="center"/>
    </xf>
    <xf numFmtId="49" fontId="2" fillId="0" borderId="8" xfId="1" applyNumberFormat="1" applyFont="1" applyBorder="1" applyAlignment="1">
      <alignment vertical="center"/>
    </xf>
    <xf numFmtId="49" fontId="2" fillId="0" borderId="9" xfId="1" applyNumberFormat="1" applyFont="1" applyBorder="1" applyAlignment="1">
      <alignment horizontal="center" vertical="center"/>
    </xf>
    <xf numFmtId="49" fontId="2" fillId="0" borderId="8" xfId="1" applyNumberFormat="1" applyFont="1" applyBorder="1" applyAlignment="1">
      <alignment horizontal="center"/>
    </xf>
    <xf numFmtId="49" fontId="2" fillId="0" borderId="9" xfId="1" applyNumberFormat="1" applyFont="1" applyBorder="1"/>
    <xf numFmtId="3" fontId="26" fillId="21" borderId="1" xfId="2" applyNumberFormat="1" applyFont="1" applyFill="1" applyBorder="1" applyAlignment="1">
      <alignment horizontal="right" vertical="center"/>
    </xf>
    <xf numFmtId="3" fontId="26" fillId="6" borderId="1" xfId="2" applyNumberFormat="1" applyFont="1" applyFill="1" applyBorder="1" applyAlignment="1">
      <alignment horizontal="right" vertical="center"/>
    </xf>
    <xf numFmtId="3" fontId="26" fillId="5" borderId="24" xfId="2" applyNumberFormat="1" applyFont="1" applyFill="1" applyBorder="1" applyAlignment="1">
      <alignment horizontal="right" vertical="center"/>
    </xf>
    <xf numFmtId="3" fontId="26" fillId="6" borderId="46" xfId="2" applyNumberFormat="1" applyFont="1" applyFill="1" applyBorder="1" applyAlignment="1">
      <alignment horizontal="right" vertical="center"/>
    </xf>
    <xf numFmtId="3" fontId="35" fillId="12" borderId="24" xfId="3" applyNumberFormat="1" applyFont="1" applyFill="1" applyBorder="1" applyAlignment="1">
      <alignment horizontal="right" vertical="center" wrapText="1"/>
    </xf>
    <xf numFmtId="3" fontId="26" fillId="12" borderId="24" xfId="2" applyNumberFormat="1" applyFont="1" applyFill="1" applyBorder="1" applyAlignment="1">
      <alignment horizontal="right" vertical="center"/>
    </xf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 vertical="center"/>
    </xf>
    <xf numFmtId="0" fontId="40" fillId="3" borderId="1" xfId="1" applyFont="1" applyFill="1" applyBorder="1" applyAlignment="1">
      <alignment horizontal="center" vertical="center"/>
    </xf>
    <xf numFmtId="0" fontId="41" fillId="0" borderId="1" xfId="1" applyFont="1" applyBorder="1"/>
    <xf numFmtId="0" fontId="23" fillId="0" borderId="13" xfId="1" applyFont="1" applyBorder="1" applyAlignment="1">
      <alignment horizontal="center" vertical="center"/>
    </xf>
    <xf numFmtId="0" fontId="23" fillId="0" borderId="14" xfId="1" applyFont="1" applyBorder="1" applyAlignment="1">
      <alignment horizontal="center" vertical="center"/>
    </xf>
    <xf numFmtId="0" fontId="23" fillId="0" borderId="15" xfId="1" applyFont="1" applyBorder="1" applyAlignment="1">
      <alignment horizontal="center" vertical="center"/>
    </xf>
    <xf numFmtId="0" fontId="24" fillId="0" borderId="13" xfId="1" applyFont="1" applyBorder="1" applyAlignment="1">
      <alignment horizontal="center" vertical="center"/>
    </xf>
    <xf numFmtId="0" fontId="24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2" fontId="26" fillId="16" borderId="0" xfId="2" applyNumberFormat="1" applyFont="1" applyFill="1" applyAlignment="1">
      <alignment horizontal="left" vertical="center"/>
    </xf>
    <xf numFmtId="0" fontId="25" fillId="0" borderId="28" xfId="2" applyBorder="1" applyAlignment="1">
      <alignment horizontal="center"/>
    </xf>
    <xf numFmtId="0" fontId="25" fillId="0" borderId="0" xfId="2" applyAlignment="1">
      <alignment horizontal="center"/>
    </xf>
    <xf numFmtId="2" fontId="25" fillId="0" borderId="28" xfId="2" applyNumberFormat="1" applyBorder="1" applyAlignment="1">
      <alignment horizontal="left" vertical="center" wrapText="1"/>
    </xf>
    <xf numFmtId="2" fontId="25" fillId="0" borderId="0" xfId="2" applyNumberFormat="1" applyAlignment="1">
      <alignment horizontal="left" vertical="center" wrapText="1"/>
    </xf>
    <xf numFmtId="2" fontId="26" fillId="13" borderId="0" xfId="2" applyNumberFormat="1" applyFont="1" applyFill="1" applyAlignment="1">
      <alignment horizontal="left" vertical="center" wrapText="1"/>
    </xf>
    <xf numFmtId="0" fontId="25" fillId="15" borderId="0" xfId="2" applyFill="1" applyAlignment="1">
      <alignment horizontal="left" vertical="center"/>
    </xf>
    <xf numFmtId="0" fontId="25" fillId="12" borderId="13" xfId="2" applyFill="1" applyBorder="1" applyAlignment="1">
      <alignment horizontal="center" vertical="center"/>
    </xf>
    <xf numFmtId="0" fontId="25" fillId="12" borderId="14" xfId="2" applyFill="1" applyBorder="1" applyAlignment="1">
      <alignment horizontal="center" vertical="center"/>
    </xf>
    <xf numFmtId="0" fontId="25" fillId="12" borderId="15" xfId="2" applyFill="1" applyBorder="1" applyAlignment="1">
      <alignment horizontal="center" vertical="center"/>
    </xf>
    <xf numFmtId="0" fontId="26" fillId="0" borderId="13" xfId="2" applyFont="1" applyBorder="1" applyAlignment="1">
      <alignment horizontal="center" vertical="center"/>
    </xf>
    <xf numFmtId="0" fontId="26" fillId="0" borderId="15" xfId="2" applyFont="1" applyBorder="1" applyAlignment="1">
      <alignment horizontal="center" vertical="center"/>
    </xf>
    <xf numFmtId="2" fontId="26" fillId="13" borderId="28" xfId="2" applyNumberFormat="1" applyFont="1" applyFill="1" applyBorder="1" applyAlignment="1">
      <alignment horizontal="center" vertical="center"/>
    </xf>
    <xf numFmtId="2" fontId="26" fillId="13" borderId="0" xfId="2" applyNumberFormat="1" applyFont="1" applyFill="1" applyAlignment="1">
      <alignment horizontal="center" vertical="center"/>
    </xf>
    <xf numFmtId="2" fontId="25" fillId="0" borderId="28" xfId="2" applyNumberFormat="1" applyBorder="1" applyAlignment="1">
      <alignment horizontal="center" vertical="center" wrapText="1"/>
    </xf>
    <xf numFmtId="2" fontId="25" fillId="0" borderId="0" xfId="2" applyNumberFormat="1" applyAlignment="1">
      <alignment horizontal="center" vertical="center" wrapText="1"/>
    </xf>
    <xf numFmtId="2" fontId="34" fillId="22" borderId="0" xfId="2" applyNumberFormat="1" applyFont="1" applyFill="1" applyAlignment="1">
      <alignment horizontal="left" vertical="center" wrapText="1"/>
    </xf>
    <xf numFmtId="0" fontId="26" fillId="5" borderId="19" xfId="2" applyFont="1" applyFill="1" applyBorder="1" applyAlignment="1">
      <alignment horizontal="center" vertical="center"/>
    </xf>
    <xf numFmtId="0" fontId="26" fillId="5" borderId="3" xfId="2" applyFont="1" applyFill="1" applyBorder="1" applyAlignment="1">
      <alignment horizontal="center" vertical="center"/>
    </xf>
    <xf numFmtId="0" fontId="28" fillId="5" borderId="21" xfId="2" applyFont="1" applyFill="1" applyBorder="1" applyAlignment="1">
      <alignment horizontal="left" vertical="center"/>
    </xf>
    <xf numFmtId="0" fontId="28" fillId="5" borderId="1" xfId="2" applyFont="1" applyFill="1" applyBorder="1" applyAlignment="1">
      <alignment horizontal="left" vertical="center"/>
    </xf>
    <xf numFmtId="0" fontId="25" fillId="5" borderId="21" xfId="2" applyFill="1" applyBorder="1" applyAlignment="1">
      <alignment horizontal="left" vertical="center"/>
    </xf>
    <xf numFmtId="0" fontId="25" fillId="5" borderId="1" xfId="2" applyFill="1" applyBorder="1" applyAlignment="1">
      <alignment horizontal="left" vertical="center"/>
    </xf>
    <xf numFmtId="0" fontId="25" fillId="5" borderId="24" xfId="2" applyFill="1" applyBorder="1" applyAlignment="1">
      <alignment horizontal="left" vertical="center" wrapText="1"/>
    </xf>
    <xf numFmtId="0" fontId="25" fillId="5" borderId="25" xfId="2" applyFill="1" applyBorder="1" applyAlignment="1">
      <alignment horizontal="left" vertical="center" wrapText="1"/>
    </xf>
    <xf numFmtId="0" fontId="25" fillId="5" borderId="23" xfId="2" applyFill="1" applyBorder="1" applyAlignment="1">
      <alignment horizontal="left" vertical="center"/>
    </xf>
    <xf numFmtId="0" fontId="25" fillId="5" borderId="24" xfId="2" applyFill="1" applyBorder="1" applyAlignment="1">
      <alignment horizontal="left" vertical="center"/>
    </xf>
    <xf numFmtId="0" fontId="26" fillId="6" borderId="21" xfId="2" applyFont="1" applyFill="1" applyBorder="1" applyAlignment="1">
      <alignment horizontal="center" vertical="center"/>
    </xf>
    <xf numFmtId="0" fontId="26" fillId="6" borderId="1" xfId="2" applyFont="1" applyFill="1" applyBorder="1" applyAlignment="1">
      <alignment horizontal="center" vertical="center"/>
    </xf>
    <xf numFmtId="0" fontId="26" fillId="5" borderId="13" xfId="2" applyFont="1" applyFill="1" applyBorder="1" applyAlignment="1">
      <alignment horizontal="center" vertical="center"/>
    </xf>
    <xf numFmtId="0" fontId="26" fillId="5" borderId="14" xfId="2" applyFont="1" applyFill="1" applyBorder="1" applyAlignment="1">
      <alignment horizontal="center" vertical="center"/>
    </xf>
    <xf numFmtId="0" fontId="26" fillId="5" borderId="15" xfId="2" applyFont="1" applyFill="1" applyBorder="1" applyAlignment="1">
      <alignment horizontal="center" vertical="center"/>
    </xf>
    <xf numFmtId="0" fontId="26" fillId="5" borderId="20" xfId="2" applyFont="1" applyFill="1" applyBorder="1" applyAlignment="1">
      <alignment horizontal="center" vertical="center"/>
    </xf>
    <xf numFmtId="0" fontId="25" fillId="5" borderId="22" xfId="2" applyFill="1" applyBorder="1" applyAlignment="1">
      <alignment horizontal="left" vertical="center"/>
    </xf>
    <xf numFmtId="3" fontId="26" fillId="6" borderId="1" xfId="2" applyNumberFormat="1" applyFont="1" applyFill="1" applyBorder="1" applyAlignment="1">
      <alignment horizontal="center" vertical="center"/>
    </xf>
    <xf numFmtId="0" fontId="26" fillId="6" borderId="23" xfId="2" applyFont="1" applyFill="1" applyBorder="1" applyAlignment="1">
      <alignment horizontal="center" vertical="center"/>
    </xf>
    <xf numFmtId="0" fontId="26" fillId="6" borderId="24" xfId="2" applyFont="1" applyFill="1" applyBorder="1" applyAlignment="1">
      <alignment horizontal="center" vertical="center"/>
    </xf>
    <xf numFmtId="3" fontId="26" fillId="6" borderId="24" xfId="2" applyNumberFormat="1" applyFont="1" applyFill="1" applyBorder="1" applyAlignment="1">
      <alignment horizontal="center" vertical="center"/>
    </xf>
    <xf numFmtId="0" fontId="25" fillId="6" borderId="1" xfId="2" applyFill="1" applyBorder="1" applyAlignment="1">
      <alignment horizontal="left" vertical="center"/>
    </xf>
    <xf numFmtId="0" fontId="25" fillId="6" borderId="22" xfId="2" applyFill="1" applyBorder="1" applyAlignment="1">
      <alignment horizontal="left" vertical="center"/>
    </xf>
    <xf numFmtId="0" fontId="25" fillId="6" borderId="24" xfId="2" applyFill="1" applyBorder="1" applyAlignment="1">
      <alignment horizontal="left" vertical="center" wrapText="1"/>
    </xf>
    <xf numFmtId="0" fontId="25" fillId="6" borderId="25" xfId="2" applyFill="1" applyBorder="1" applyAlignment="1">
      <alignment horizontal="left" vertical="center" wrapText="1"/>
    </xf>
    <xf numFmtId="0" fontId="25" fillId="19" borderId="38" xfId="2" applyFill="1" applyBorder="1" applyAlignment="1">
      <alignment horizontal="left" vertical="center" wrapText="1"/>
    </xf>
    <xf numFmtId="0" fontId="25" fillId="19" borderId="27" xfId="2" applyFill="1" applyBorder="1" applyAlignment="1">
      <alignment horizontal="left" vertical="center" wrapText="1"/>
    </xf>
    <xf numFmtId="0" fontId="25" fillId="19" borderId="39" xfId="2" applyFill="1" applyBorder="1" applyAlignment="1">
      <alignment horizontal="left" vertical="center" wrapText="1"/>
    </xf>
    <xf numFmtId="0" fontId="25" fillId="19" borderId="28" xfId="2" applyFill="1" applyBorder="1" applyAlignment="1">
      <alignment horizontal="left" vertical="center" wrapText="1"/>
    </xf>
    <xf numFmtId="0" fontId="25" fillId="19" borderId="0" xfId="2" applyFill="1" applyAlignment="1">
      <alignment horizontal="left" vertical="center" wrapText="1"/>
    </xf>
    <xf numFmtId="0" fontId="25" fillId="19" borderId="40" xfId="2" applyFill="1" applyBorder="1" applyAlignment="1">
      <alignment horizontal="left" vertical="center" wrapText="1"/>
    </xf>
    <xf numFmtId="0" fontId="25" fillId="19" borderId="41" xfId="2" applyFill="1" applyBorder="1" applyAlignment="1">
      <alignment horizontal="left" vertical="center" wrapText="1"/>
    </xf>
    <xf numFmtId="0" fontId="25" fillId="19" borderId="10" xfId="2" applyFill="1" applyBorder="1" applyAlignment="1">
      <alignment horizontal="left" vertical="center" wrapText="1"/>
    </xf>
    <xf numFmtId="0" fontId="25" fillId="19" borderId="42" xfId="2" applyFill="1" applyBorder="1" applyAlignment="1">
      <alignment horizontal="left" vertical="center" wrapText="1"/>
    </xf>
    <xf numFmtId="0" fontId="27" fillId="0" borderId="38" xfId="2" applyFont="1" applyBorder="1" applyAlignment="1">
      <alignment horizontal="center" vertical="center"/>
    </xf>
    <xf numFmtId="0" fontId="27" fillId="0" borderId="39" xfId="2" applyFont="1" applyBorder="1" applyAlignment="1">
      <alignment horizontal="center" vertical="center"/>
    </xf>
    <xf numFmtId="0" fontId="27" fillId="0" borderId="28" xfId="2" applyFont="1" applyBorder="1" applyAlignment="1">
      <alignment horizontal="center" vertical="center"/>
    </xf>
    <xf numFmtId="0" fontId="27" fillId="0" borderId="40" xfId="2" applyFont="1" applyBorder="1" applyAlignment="1">
      <alignment horizontal="center" vertical="center"/>
    </xf>
    <xf numFmtId="0" fontId="27" fillId="0" borderId="41" xfId="2" applyFont="1" applyBorder="1" applyAlignment="1">
      <alignment horizontal="center" vertical="center"/>
    </xf>
    <xf numFmtId="0" fontId="27" fillId="0" borderId="42" xfId="2" applyFont="1" applyBorder="1" applyAlignment="1">
      <alignment horizontal="center" vertical="center"/>
    </xf>
    <xf numFmtId="0" fontId="31" fillId="12" borderId="6" xfId="2" applyFont="1" applyFill="1" applyBorder="1" applyAlignment="1">
      <alignment horizontal="center" vertical="center" wrapText="1"/>
    </xf>
    <xf numFmtId="0" fontId="31" fillId="12" borderId="43" xfId="2" applyFont="1" applyFill="1" applyBorder="1" applyAlignment="1">
      <alignment horizontal="center" vertical="center" wrapText="1"/>
    </xf>
    <xf numFmtId="0" fontId="31" fillId="12" borderId="5" xfId="2" applyFont="1" applyFill="1" applyBorder="1" applyAlignment="1">
      <alignment horizontal="center" vertical="center" wrapText="1"/>
    </xf>
    <xf numFmtId="0" fontId="26" fillId="6" borderId="45" xfId="2" applyFont="1" applyFill="1" applyBorder="1" applyAlignment="1">
      <alignment horizontal="center" vertical="center"/>
    </xf>
    <xf numFmtId="0" fontId="26" fillId="6" borderId="46" xfId="2" applyFont="1" applyFill="1" applyBorder="1" applyAlignment="1">
      <alignment horizontal="center" vertical="center"/>
    </xf>
    <xf numFmtId="3" fontId="26" fillId="6" borderId="46" xfId="2" applyNumberFormat="1" applyFont="1" applyFill="1" applyBorder="1" applyAlignment="1">
      <alignment horizontal="center" vertical="center"/>
    </xf>
    <xf numFmtId="0" fontId="26" fillId="6" borderId="38" xfId="2" applyFont="1" applyFill="1" applyBorder="1" applyAlignment="1">
      <alignment horizontal="center" vertical="center"/>
    </xf>
    <xf numFmtId="0" fontId="26" fillId="6" borderId="27" xfId="2" applyFont="1" applyFill="1" applyBorder="1" applyAlignment="1">
      <alignment horizontal="center" vertical="center"/>
    </xf>
    <xf numFmtId="0" fontId="26" fillId="6" borderId="39" xfId="2" applyFont="1" applyFill="1" applyBorder="1" applyAlignment="1">
      <alignment horizontal="center" vertical="center"/>
    </xf>
    <xf numFmtId="0" fontId="25" fillId="6" borderId="46" xfId="2" applyFill="1" applyBorder="1" applyAlignment="1">
      <alignment horizontal="left" vertical="center"/>
    </xf>
    <xf numFmtId="0" fontId="25" fillId="6" borderId="47" xfId="2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49" fontId="1" fillId="0" borderId="8" xfId="1" applyNumberFormat="1" applyFont="1" applyBorder="1" applyAlignment="1">
      <alignment vertical="center"/>
    </xf>
    <xf numFmtId="49" fontId="1" fillId="0" borderId="8" xfId="1" applyNumberFormat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/>
    </xf>
  </cellXfs>
  <cellStyles count="4">
    <cellStyle name="Normal" xfId="0" builtinId="0"/>
    <cellStyle name="Normal 2 2" xfId="2" xr:uid="{00000000-0005-0000-0000-000001000000}"/>
    <cellStyle name="Normal 5" xfId="1" xr:uid="{00000000-0005-0000-0000-000002000000}"/>
    <cellStyle name="Normal 5 2" xfId="3" xr:uid="{00000000-0005-0000-0000-000003000000}"/>
  </cellStyles>
  <dxfs count="3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numFmt numFmtId="3" formatCode="#,##0"/>
      <border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font>
        <b val="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19" formatCode="d/m/yyyy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3" formatCode="#,##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Ene" displayName="Ene" ref="A1:F67" totalsRowShown="0">
  <autoFilter ref="A1:F67" xr:uid="{00000000-0009-0000-0100-000006000000}"/>
  <sortState xmlns:xlrd2="http://schemas.microsoft.com/office/spreadsheetml/2017/richdata2" ref="A2:F67">
    <sortCondition descending="1" ref="E1:E67"/>
  </sortState>
  <tableColumns count="6">
    <tableColumn id="1" xr3:uid="{00000000-0010-0000-0000-000001000000}" name="Columna1"/>
    <tableColumn id="2" xr3:uid="{00000000-0010-0000-0000-000002000000}" name="Fecha" dataDxfId="301"/>
    <tableColumn id="3" xr3:uid="{00000000-0010-0000-0000-000003000000}" name="Concepto"/>
    <tableColumn id="4" xr3:uid="{00000000-0010-0000-0000-000004000000}" name="Descripcion"/>
    <tableColumn id="5" xr3:uid="{00000000-0010-0000-0000-000005000000}" name="Monto" dataDxfId="300"/>
    <tableColumn id="6" xr3:uid="{00000000-0010-0000-0000-000006000000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Ene_Debitos" displayName="Ene_Debitos" ref="A1:J60" totalsRowCount="1">
  <autoFilter ref="A1:J59" xr:uid="{00000000-0009-0000-0100-000007000000}"/>
  <tableColumns count="10">
    <tableColumn id="1" xr3:uid="{00000000-0010-0000-0100-000001000000}" name="Columna1"/>
    <tableColumn id="2" xr3:uid="{00000000-0010-0000-0100-000002000000}" name="Fecha" dataDxfId="299"/>
    <tableColumn id="3" xr3:uid="{00000000-0010-0000-0100-000003000000}" name="Concepto"/>
    <tableColumn id="4" xr3:uid="{00000000-0010-0000-0100-000004000000}" name="Descripcion"/>
    <tableColumn id="5" xr3:uid="{00000000-0010-0000-0100-000005000000}" name="Gastos" totalsRowFunction="sum" dataDxfId="298" totalsRowDxfId="297"/>
    <tableColumn id="6" xr3:uid="{00000000-0010-0000-0100-000006000000}" name="Tarjetas" totalsRowFunction="sum" dataDxfId="296" totalsRowDxfId="295"/>
    <tableColumn id="7" xr3:uid="{00000000-0010-0000-0100-000007000000}" name="Impuestos" totalsRowFunction="sum" dataDxfId="294" totalsRowDxfId="293"/>
    <tableColumn id="8" xr3:uid="{00000000-0010-0000-0100-000008000000}" name="Inversiones" totalsRowFunction="sum" dataDxfId="292" totalsRowDxfId="291"/>
    <tableColumn id="9" xr3:uid="{00000000-0010-0000-0100-000009000000}" name="Extracciones" totalsRowFunction="sum" dataDxfId="290" totalsRowDxfId="289"/>
    <tableColumn id="10" xr3:uid="{00000000-0010-0000-0100-00000A000000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Ene_Creditos" displayName="Ene_Creditos" ref="A1:G12" totalsRowCount="1">
  <autoFilter ref="A1:G11" xr:uid="{00000000-0009-0000-0100-000008000000}"/>
  <tableColumns count="7">
    <tableColumn id="1" xr3:uid="{00000000-0010-0000-0200-000001000000}" name="Columna1"/>
    <tableColumn id="2" xr3:uid="{00000000-0010-0000-0200-000002000000}" name="Fecha" dataDxfId="288"/>
    <tableColumn id="3" xr3:uid="{00000000-0010-0000-0200-000003000000}" name="Concepto"/>
    <tableColumn id="4" xr3:uid="{00000000-0010-0000-0200-000004000000}" name="Descripcion"/>
    <tableColumn id="5" xr3:uid="{00000000-0010-0000-0200-000005000000}" name="Haberes" totalsRowFunction="sum" dataDxfId="287"/>
    <tableColumn id="6" xr3:uid="{00000000-0010-0000-0200-000006000000}" name="Extras" totalsRowFunction="sum" dataDxfId="286"/>
    <tableColumn id="7" xr3:uid="{00000000-0010-0000-0200-000007000000}" name="Inversiones" totalsRowFunction="sum" dataDxfId="2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Ene_Efectivo" displayName="Ene_Efectivo" ref="A1:I3" totalsRowCount="1">
  <autoFilter ref="A1:I2" xr:uid="{00000000-0009-0000-0100-000009000000}"/>
  <tableColumns count="9">
    <tableColumn id="1" xr3:uid="{00000000-0010-0000-0300-000001000000}" name="Fecha" dataDxfId="284"/>
    <tableColumn id="2" xr3:uid="{00000000-0010-0000-0300-000002000000}" name="Concepto"/>
    <tableColumn id="3" xr3:uid="{00000000-0010-0000-0300-000003000000}" name="Descripcion"/>
    <tableColumn id="4" xr3:uid="{00000000-0010-0000-0300-000004000000}" name="Gastos" totalsRowFunction="sum" dataDxfId="283" totalsRowDxfId="282"/>
    <tableColumn id="5" xr3:uid="{00000000-0010-0000-0300-000005000000}" name="Tarjetas" totalsRowFunction="sum" dataDxfId="281" totalsRowDxfId="280"/>
    <tableColumn id="6" xr3:uid="{00000000-0010-0000-0300-000006000000}" name="Impuestos" totalsRowFunction="sum" dataDxfId="279" totalsRowDxfId="278"/>
    <tableColumn id="7" xr3:uid="{00000000-0010-0000-0300-000007000000}" name="Inversiones" totalsRowFunction="sum" dataDxfId="277" totalsRowDxfId="276"/>
    <tableColumn id="8" xr3:uid="{00000000-0010-0000-0300-000008000000}" name="Extras" totalsRowFunction="sum" dataDxfId="275" totalsRowDxfId="274"/>
    <tableColumn id="9" xr3:uid="{00000000-0010-0000-0300-000009000000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A8DB7AF-7EA0-4527-8C02-4A8F84673789}" name="Feb" displayName="Feb" ref="A1:F75" totalsRowShown="0">
  <autoFilter ref="A1:F75" xr:uid="{EA8DB7AF-7EA0-4527-8C02-4A8F84673789}"/>
  <tableColumns count="6">
    <tableColumn id="1" xr3:uid="{FA265095-EB1E-476F-A5C3-9C209A98DAC5}" name="Columna1"/>
    <tableColumn id="2" xr3:uid="{CBA2E38F-4D04-4C12-9BFA-3487DC254759}" name="Fecha" dataDxfId="273"/>
    <tableColumn id="3" xr3:uid="{0EFD354E-0C16-499C-A72B-6F8572F4E589}" name="Concepto"/>
    <tableColumn id="4" xr3:uid="{8B8FD49A-0FDB-4617-94B5-5D206285016C}" name="Descripcion"/>
    <tableColumn id="5" xr3:uid="{60AF1C07-3684-42C1-A486-CEF2EFE9715A}" name="Monto" dataDxfId="272"/>
    <tableColumn id="6" xr3:uid="{4D4089D0-C22E-4FBB-AD9A-20A2BB7F7752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CCF603-A8EF-4408-8404-D476677AE58D}" name="Feb_Debitos" displayName="Feb_Debitos" ref="A1:J68" totalsRowCount="1">
  <autoFilter ref="A1:J67" xr:uid="{B6CCF603-A8EF-4408-8404-D476677AE58D}"/>
  <tableColumns count="10">
    <tableColumn id="1" xr3:uid="{C57374AE-54BC-4986-AAAD-524E1F79EA15}" name="Columna1"/>
    <tableColumn id="2" xr3:uid="{13AB7E21-04F7-4208-86E4-F681A72E6874}" name="Fecha" dataDxfId="271"/>
    <tableColumn id="3" xr3:uid="{51B67AE3-8219-4AEF-A2F2-01F30F8C8678}" name="Concepto"/>
    <tableColumn id="4" xr3:uid="{3C37F59D-4172-4B31-89F8-41990BD5C296}" name="Descripcion"/>
    <tableColumn id="5" xr3:uid="{BB54D937-1B7F-4393-9F9F-EE0B0224D80A}" name="Gastos" totalsRowFunction="sum" dataDxfId="270" totalsRowDxfId="269"/>
    <tableColumn id="6" xr3:uid="{02885FE9-775A-40B3-8050-2BF00A847516}" name="Tarjetas" totalsRowFunction="sum" dataDxfId="268" totalsRowDxfId="267"/>
    <tableColumn id="7" xr3:uid="{9C62CADC-3A59-453A-98DB-600F6BAF12AC}" name="Impuestos" totalsRowFunction="sum" dataDxfId="266" totalsRowDxfId="265"/>
    <tableColumn id="8" xr3:uid="{5C52219C-A4CB-4440-8950-98B8EDFF7505}" name="Inversiones" totalsRowFunction="sum" dataDxfId="264" totalsRowDxfId="263"/>
    <tableColumn id="9" xr3:uid="{57AFD037-438A-4CBB-ABA1-C0E83F106FE4}" name="Extracciones" totalsRowFunction="sum" dataDxfId="262" totalsRowDxfId="261"/>
    <tableColumn id="10" xr3:uid="{019B9A3D-7153-4F53-9709-809C0EF526AC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E5CC8A-C175-4644-A40F-78B78C2B99BE}" name="Feb_Creditos" displayName="Feb_Creditos" ref="A1:G12" totalsRowCount="1">
  <autoFilter ref="A1:G11" xr:uid="{47E5CC8A-C175-4644-A40F-78B78C2B99BE}"/>
  <tableColumns count="7">
    <tableColumn id="1" xr3:uid="{9343C31A-3ACD-40ED-A0BF-083579F92FA7}" name="Columna1"/>
    <tableColumn id="2" xr3:uid="{F64110B6-D1B8-47FB-AF82-FC481307ED62}" name="Fecha" dataDxfId="260"/>
    <tableColumn id="3" xr3:uid="{2A2F30E5-6A1C-4337-949C-6E14DE72F7EA}" name="Concepto"/>
    <tableColumn id="4" xr3:uid="{9D4CF004-E1FB-40AF-8F07-28BC70AD3582}" name="Descripcion"/>
    <tableColumn id="5" xr3:uid="{CB2725A9-8701-4E08-A690-A0855AA4FBD5}" name="Haberes" totalsRowFunction="sum" dataDxfId="259" totalsRowDxfId="258"/>
    <tableColumn id="6" xr3:uid="{242E8943-8F4C-4C55-8DDB-82570B6861BD}" name="Extras" totalsRowFunction="sum" dataDxfId="257" totalsRowDxfId="256"/>
    <tableColumn id="7" xr3:uid="{8214C793-3979-4468-BE9E-ACBDFFD24C6B}" name="Inversiones" totalsRowFunction="count" dataDxfId="25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C7D77AA-A8CA-46CB-A34F-DBC7C390A188}" name="Feb_Efectivo" displayName="Feb_Efectivo" ref="A1:I5" totalsRowCount="1">
  <autoFilter ref="A1:I4" xr:uid="{7C7D77AA-A8CA-46CB-A34F-DBC7C390A188}"/>
  <tableColumns count="9">
    <tableColumn id="1" xr3:uid="{2E44C642-19F7-4604-9D07-C8C573CD6A6E}" name="Fecha" dataDxfId="254"/>
    <tableColumn id="2" xr3:uid="{A2A28E3B-5B54-448A-A2F0-7BB94D27C974}" name="Concepto"/>
    <tableColumn id="3" xr3:uid="{202D7AF3-6B3A-4754-A468-C63A13A6E1FE}" name="Descripcion"/>
    <tableColumn id="4" xr3:uid="{C0724A11-BF99-49EA-96FD-06548784690F}" name="Gastos" totalsRowFunction="sum" dataDxfId="253" totalsRowDxfId="252"/>
    <tableColumn id="5" xr3:uid="{7CF96D8C-0808-4DF0-9F92-18947CB3E7C8}" name="Tarjetas" totalsRowFunction="sum" dataDxfId="251" totalsRowDxfId="250"/>
    <tableColumn id="6" xr3:uid="{15AC2A6D-8EC0-4932-A187-AB344A580DF1}" name="Impuestos" totalsRowFunction="sum" dataDxfId="249" totalsRowDxfId="248"/>
    <tableColumn id="7" xr3:uid="{9B2D05EC-CB38-4E42-AF8D-549C0498D01C}" name="Inversiones" totalsRowFunction="sum" dataDxfId="247" totalsRowDxfId="246"/>
    <tableColumn id="8" xr3:uid="{581C620A-A31F-4E8A-B692-1DD240B19D9A}" name="Extras" totalsRowFunction="sum" dataDxfId="245" totalsRowDxfId="244"/>
    <tableColumn id="9" xr3:uid="{13A581DC-EC2D-430E-8925-9626CEF3827F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6D3B04B-503B-4B71-941C-86B6C5B44129}" name="Mar" displayName="Mar" ref="A1:F83" totalsRowShown="0">
  <autoFilter ref="A1:F83" xr:uid="{86D3B04B-503B-4B71-941C-86B6C5B44129}"/>
  <tableColumns count="6">
    <tableColumn id="1" xr3:uid="{D63E7590-2020-4395-B3B6-83D904D01461}" name="Columna1"/>
    <tableColumn id="2" xr3:uid="{C1A9F0D1-48FA-45CE-9761-639F07FC1897}" name="Fecha" dataDxfId="243"/>
    <tableColumn id="3" xr3:uid="{D42FEB65-F42A-428C-9174-48C46F05CD3F}" name="Concepto"/>
    <tableColumn id="4" xr3:uid="{12F3DE4D-FA0B-4DB8-83C6-1A0FC3DC2028}" name="Descripcion"/>
    <tableColumn id="5" xr3:uid="{E1592C4C-39E1-4F54-A3ED-69E9CDE213ED}" name="Monto" dataDxfId="242"/>
    <tableColumn id="6" xr3:uid="{4BBAC2AB-B1FF-408A-A21E-5C964A506A90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C27C30-47EF-4B49-9FF2-D6C49ECB8AC5}" name="Mar_Debitos" displayName="Mar_Debitos" ref="A1:J74" totalsRowCount="1">
  <autoFilter ref="A1:J73" xr:uid="{E8C27C30-47EF-4B49-9FF2-D6C49ECB8AC5}"/>
  <tableColumns count="10">
    <tableColumn id="1" xr3:uid="{5D8AD6C1-0E16-4588-914A-C50D7FD7758E}" name="Columna1"/>
    <tableColumn id="2" xr3:uid="{09770EAC-F14A-4A97-9998-75D5342597FA}" name="Fecha" dataDxfId="241"/>
    <tableColumn id="3" xr3:uid="{28D0703D-58E0-4CD6-8A50-2A3B57E19B64}" name="Concepto"/>
    <tableColumn id="4" xr3:uid="{0C3A00C9-D13C-491A-B558-5551334EC8DE}" name="Descripcion"/>
    <tableColumn id="5" xr3:uid="{04ABBBA0-78CD-414D-BC34-58B48F15FECB}" name="Gastos" totalsRowFunction="sum" dataDxfId="240" totalsRowDxfId="23"/>
    <tableColumn id="6" xr3:uid="{EC1DC6C3-35BB-43E8-986E-6F170A9CBD03}" name="Tarjetas" totalsRowFunction="sum" dataDxfId="239" totalsRowDxfId="22"/>
    <tableColumn id="7" xr3:uid="{23CAB1AE-CFA1-49D0-829E-59E37B7F728A}" name="Impuestos" totalsRowFunction="sum" dataDxfId="238" totalsRowDxfId="21"/>
    <tableColumn id="8" xr3:uid="{3287B3AC-999D-4483-B713-BF3D843D8AE4}" name="Inversiones" totalsRowFunction="sum" dataDxfId="237" totalsRowDxfId="20"/>
    <tableColumn id="9" xr3:uid="{4AE43B89-B728-4229-A3B8-A72F0AA6DEDC}" name="Extracciones" totalsRowFunction="sum" dataDxfId="236" totalsRowDxfId="19"/>
    <tableColumn id="10" xr3:uid="{E9D38550-745C-4CFC-B829-DAA2725FE26C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0F07511-60FB-497A-896E-7C86264BBCC8}" name="Mar_Creditos" displayName="Mar_Creditos" ref="A1:H14" totalsRowCount="1">
  <autoFilter ref="A1:H13" xr:uid="{F0F07511-60FB-497A-896E-7C86264BBCC8}"/>
  <tableColumns count="8">
    <tableColumn id="1" xr3:uid="{736ED191-A6AA-44EF-A437-64FEEF63AD92}" name="Columna1"/>
    <tableColumn id="2" xr3:uid="{B11E0B96-6558-43E6-97D6-CD9A2A90543E}" name="Fecha" dataDxfId="235"/>
    <tableColumn id="3" xr3:uid="{EBB71689-CB97-41A3-B410-ABA0BAAA3E90}" name="Concepto"/>
    <tableColumn id="4" xr3:uid="{807BB891-8239-4B1A-843E-7C8470E98EFD}" name="Descripcion"/>
    <tableColumn id="5" xr3:uid="{206FD697-CF4D-4176-9BF0-2C5B23254151}" name="Haberes" totalsRowFunction="sum" dataDxfId="234" totalsRowDxfId="233"/>
    <tableColumn id="6" xr3:uid="{8379C204-5D33-40F0-80CD-9DAF52EB5CE0}" name="Extras" totalsRowFunction="sum" dataDxfId="232" totalsRowDxfId="231"/>
    <tableColumn id="7" xr3:uid="{760138F1-0551-48B6-A53E-04665698C611}" name="Inversiones" totalsRowFunction="sum" dataDxfId="230" totalsRowDxfId="229"/>
    <tableColumn id="8" xr3:uid="{86CCB808-407E-460A-984F-43A9C1E903F0}" name="Columna2" totalsRowFunction="custom" dataDxfId="228" totalsRowDxfId="227">
      <totalsRowFormula>Mar_Creditos[[#Totals],[Extras]]+Mar_Creditos[[#Totals],[Inversiones]]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56C4495-3A92-40D0-896C-027F7B83C4A2}" name="Mar_Efectivo" displayName="Mar_Efectivo" ref="A1:I3" totalsRowCount="1">
  <autoFilter ref="A1:I2" xr:uid="{856C4495-3A92-40D0-896C-027F7B83C4A2}"/>
  <tableColumns count="9">
    <tableColumn id="1" xr3:uid="{0352BAC8-8918-4CCE-AF80-B327854511D2}" name="Fecha" dataDxfId="226"/>
    <tableColumn id="2" xr3:uid="{407B4C1A-D71B-4082-A91B-EA4B242D488D}" name="Concepto"/>
    <tableColumn id="3" xr3:uid="{1D6AB2AE-049D-4D44-9A49-6A89634D2A62}" name="Descripcion"/>
    <tableColumn id="4" xr3:uid="{219DFB95-D075-4ED6-A94B-00121FF2A685}" name="Gastos" totalsRowFunction="sum" dataDxfId="225" totalsRowDxfId="224"/>
    <tableColumn id="5" xr3:uid="{930AD63E-1421-4E3D-9F5C-CCA6356FC8CA}" name="Tarjetas" totalsRowFunction="sum" dataDxfId="223" totalsRowDxfId="222"/>
    <tableColumn id="6" xr3:uid="{A8EACABA-2F44-47F0-97F3-C6CDA3281365}" name="Impuestos" totalsRowFunction="sum" dataDxfId="221" totalsRowDxfId="220"/>
    <tableColumn id="7" xr3:uid="{B01CA912-CFAB-452B-95A9-33C29C748D62}" name="Inversiones" totalsRowFunction="sum" dataDxfId="219" totalsRowDxfId="218"/>
    <tableColumn id="8" xr3:uid="{B05DC8A8-A908-46E3-9D71-71D530F511A8}" name="Extras" totalsRowFunction="sum" dataDxfId="217" totalsRowDxfId="216"/>
    <tableColumn id="9" xr3:uid="{2D97C084-AEF6-4402-867A-73455B0E011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ACDF75-33F9-4E58-AE66-168AE68C6F04}" name="Abr" displayName="Abr" ref="A1:F70" totalsRowShown="0">
  <autoFilter ref="A1:F70" xr:uid="{9EACDF75-33F9-4E58-AE66-168AE68C6F04}"/>
  <tableColumns count="6">
    <tableColumn id="1" xr3:uid="{A0285962-C0E7-411B-9F16-1BCAC08316A1}" name="Columna1"/>
    <tableColumn id="2" xr3:uid="{36888D97-F253-4F63-B474-F48D162B51C7}" name="Fecha" dataDxfId="66"/>
    <tableColumn id="3" xr3:uid="{205FCA7D-AD7B-4992-B17A-C3FCD7F8C9F8}" name="Concepto"/>
    <tableColumn id="4" xr3:uid="{F306D8D0-8027-493A-8079-A9AC7E8CCD24}" name="Descripcion"/>
    <tableColumn id="5" xr3:uid="{C58192AD-2708-471A-8E12-D9DB4C93CAB2}" name="Monto" dataDxfId="65"/>
    <tableColumn id="6" xr3:uid="{DAEB25F4-959F-4494-AA2F-450B9541E47D}" name="NroComproban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D0495D6-A3C9-46C2-840A-510F85E15C85}" name="Abr_Debitos" displayName="Abr_Debitos" ref="A1:J56" totalsRowCount="1">
  <autoFilter ref="A1:J55" xr:uid="{FD0495D6-A3C9-46C2-840A-510F85E15C85}"/>
  <tableColumns count="10">
    <tableColumn id="1" xr3:uid="{452D91A9-31D0-4959-85FF-62AE0F63C640}" name="Columna1"/>
    <tableColumn id="2" xr3:uid="{798BC3CF-8DD1-447A-B141-4783054318BB}" name="Fecha" dataDxfId="64"/>
    <tableColumn id="3" xr3:uid="{EF3352B8-276F-4D42-BA6B-720457AD9A62}" name="Concepto"/>
    <tableColumn id="4" xr3:uid="{3FBE0E1A-7558-4CF2-B3F6-6C2CEE902044}" name="Descripcion"/>
    <tableColumn id="5" xr3:uid="{6AEA4E0B-1C03-4F3B-96C6-823975AAAAFC}" name="Gastos" totalsRowFunction="sum" dataDxfId="63" totalsRowDxfId="18"/>
    <tableColumn id="6" xr3:uid="{70F6788E-4D0E-46C6-A36B-D505D72F6130}" name="Tarjetas" totalsRowFunction="sum" dataDxfId="62" totalsRowDxfId="17"/>
    <tableColumn id="7" xr3:uid="{9A7688B9-FDD9-4D9C-84B4-B69729354768}" name="Impuestos" totalsRowFunction="sum" dataDxfId="61" totalsRowDxfId="16"/>
    <tableColumn id="8" xr3:uid="{7DFCA12E-BDC7-4242-A66C-52ECCD249750}" name="Inversiones" totalsRowFunction="sum" dataDxfId="60" totalsRowDxfId="15"/>
    <tableColumn id="9" xr3:uid="{7125E0A8-E3AB-4B8A-9848-846776659759}" name="Extracciones" totalsRowFunction="sum" dataDxfId="59" totalsRowDxfId="14"/>
    <tableColumn id="10" xr3:uid="{A3BD90C4-FF9F-43E4-8880-C17C198807FF}" name="Comentario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B04297A-7CF6-4FE3-95EB-45E42DF82BA2}" name="Abr_Creditos" displayName="Abr_Creditos" ref="A1:G19" totalsRowCount="1">
  <autoFilter ref="A1:G18" xr:uid="{AB04297A-7CF6-4FE3-95EB-45E42DF82BA2}"/>
  <tableColumns count="7">
    <tableColumn id="1" xr3:uid="{6ECDFB3E-4A73-4BB1-8B00-83D1686D1C77}" name="Columna1"/>
    <tableColumn id="2" xr3:uid="{9A840FF0-62EC-45F1-B0EA-5E552C946A60}" name="Fecha" dataDxfId="58"/>
    <tableColumn id="3" xr3:uid="{719C7545-5CC9-46C1-83E7-1F4550913A01}" name="Concepto"/>
    <tableColumn id="4" xr3:uid="{15E90ABF-12C3-49D1-A2DC-7D1393F33E0B}" name="Descripcion"/>
    <tableColumn id="5" xr3:uid="{9D357A5E-DA89-4C74-A8EC-04BEA08284B0}" name="Haberes" totalsRowFunction="sum" dataDxfId="57" totalsRowDxfId="43"/>
    <tableColumn id="6" xr3:uid="{728A9F57-CE82-4319-957B-EF2A63598B8F}" name="Extras" totalsRowFunction="sum" dataDxfId="56" totalsRowDxfId="42"/>
    <tableColumn id="7" xr3:uid="{B14B7259-ECAC-49DD-865C-D61292F5EEF1}" name="Inversiones" totalsRowFunction="sum" dataDxfId="55" totalsRowDxfId="4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7E8A0ED-0C55-4530-8819-B7FAFB0D6C64}" name="Abr_Efectivo" displayName="Abr_Efectivo" ref="A1:I3" totalsRowCount="1">
  <autoFilter ref="A1:I2" xr:uid="{D7E8A0ED-0C55-4530-8819-B7FAFB0D6C64}"/>
  <tableColumns count="9">
    <tableColumn id="1" xr3:uid="{199ECE7E-5244-43E2-9FC2-BB4870B4B280}" name="Fecha" dataDxfId="54"/>
    <tableColumn id="2" xr3:uid="{42A63BB5-7490-4DDE-B703-178F38D42A5B}" name="Concepto"/>
    <tableColumn id="3" xr3:uid="{C3573F2F-E121-4FEE-971E-EFEC24A778AC}" name="Descripcion"/>
    <tableColumn id="4" xr3:uid="{906DE2CA-13CA-458B-8A7F-8A674B687056}" name="Gastos" totalsRowFunction="sum" dataDxfId="53" totalsRowDxfId="48"/>
    <tableColumn id="5" xr3:uid="{42681E31-ACAB-4587-808F-3CE9EBE8D449}" name="Tarjetas" totalsRowFunction="sum" dataDxfId="52" totalsRowDxfId="47"/>
    <tableColumn id="6" xr3:uid="{A30D0D5D-6D7B-475B-914B-D331D9EC15D5}" name="Impuestos" totalsRowFunction="sum" dataDxfId="51" totalsRowDxfId="46"/>
    <tableColumn id="7" xr3:uid="{F0DFBCB9-F95D-4BAC-9DE2-BF66ABEB9171}" name="Inversiones" totalsRowFunction="sum" dataDxfId="50" totalsRowDxfId="45"/>
    <tableColumn id="8" xr3:uid="{595029E8-2614-4C15-8B9E-CF78D35B390A}" name="Extras" totalsRowFunction="sum" dataDxfId="49" totalsRowDxfId="44"/>
    <tableColumn id="9" xr3:uid="{7E82ABB2-365A-4D30-9C13-EA3AF282106E}" name="Comentarios" totalsRowFunction="coun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ic_Efectivo" displayName="Dic_Efectivo" ref="A1:I3" totalsRowCount="1">
  <autoFilter ref="A1:I2" xr:uid="{00000000-0009-0000-0100-000004000000}"/>
  <tableColumns count="9">
    <tableColumn id="1" xr3:uid="{00000000-0010-0000-0400-000001000000}" name="Fecha" dataDxfId="215"/>
    <tableColumn id="2" xr3:uid="{00000000-0010-0000-0400-000002000000}" name="Concepto"/>
    <tableColumn id="3" xr3:uid="{00000000-0010-0000-0400-000003000000}" name="Descripcion"/>
    <tableColumn id="4" xr3:uid="{00000000-0010-0000-0400-000004000000}" name="Gastos" totalsRowFunction="sum" dataDxfId="214" totalsRowDxfId="213"/>
    <tableColumn id="5" xr3:uid="{00000000-0010-0000-0400-000005000000}" name="Tarjetas" totalsRowFunction="sum" dataDxfId="212" totalsRowDxfId="211"/>
    <tableColumn id="6" xr3:uid="{00000000-0010-0000-0400-000006000000}" name="Impuestos" totalsRowFunction="sum" dataDxfId="210" totalsRowDxfId="209"/>
    <tableColumn id="7" xr3:uid="{00000000-0010-0000-0400-000007000000}" name="Inversiones" totalsRowFunction="sum" dataDxfId="208" totalsRowDxfId="207"/>
    <tableColumn id="8" xr3:uid="{00000000-0010-0000-0400-000008000000}" name="Extras" totalsRowFunction="sum" dataDxfId="206" totalsRowDxfId="205"/>
    <tableColumn id="9" xr3:uid="{00000000-0010-0000-0400-000009000000}" name="Comentarios" totalsRowLabel="Regalo Niño Dios " totalsRowDxfId="20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Dic_Debitos" displayName="Dic_Debitos" ref="A1:J79" totalsRowCount="1">
  <autoFilter ref="A1:J78" xr:uid="{00000000-0009-0000-0100-000003000000}"/>
  <tableColumns count="10">
    <tableColumn id="1" xr3:uid="{00000000-0010-0000-0500-000001000000}" name="Columna1"/>
    <tableColumn id="2" xr3:uid="{00000000-0010-0000-0500-000002000000}" name="Fecha" dataDxfId="203"/>
    <tableColumn id="3" xr3:uid="{00000000-0010-0000-0500-000003000000}" name="Concepto"/>
    <tableColumn id="4" xr3:uid="{00000000-0010-0000-0500-000004000000}" name="Descripcion"/>
    <tableColumn id="5" xr3:uid="{00000000-0010-0000-0500-000005000000}" name="Gastos" totalsRowFunction="sum" dataDxfId="202" totalsRowDxfId="201"/>
    <tableColumn id="6" xr3:uid="{00000000-0010-0000-0500-000006000000}" name="Tarjetas" totalsRowFunction="sum" dataDxfId="200" totalsRowDxfId="199"/>
    <tableColumn id="7" xr3:uid="{00000000-0010-0000-0500-000007000000}" name="Impuestos" totalsRowFunction="sum" dataDxfId="198" totalsRowDxfId="197"/>
    <tableColumn id="8" xr3:uid="{00000000-0010-0000-0500-000008000000}" name="Inversiones" totalsRowFunction="sum" dataDxfId="196" totalsRowDxfId="195"/>
    <tableColumn id="9" xr3:uid="{00000000-0010-0000-0500-000009000000}" name="Extracciones" totalsRowFunction="sum" dataDxfId="194" totalsRowDxfId="193"/>
    <tableColumn id="10" xr3:uid="{00000000-0010-0000-0500-00000A000000}" name="Comentarios" totalsRowFunction="coun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06000000}" name="Dic_Creditos" displayName="Dic_Creditos" ref="A1:H8" totalsRowCount="1">
  <autoFilter ref="A1:H7" xr:uid="{00000000-0009-0000-0100-000034000000}"/>
  <tableColumns count="8">
    <tableColumn id="1" xr3:uid="{00000000-0010-0000-0600-000001000000}" name="Columna1"/>
    <tableColumn id="2" xr3:uid="{00000000-0010-0000-0600-000002000000}" name="Fecha" dataDxfId="192"/>
    <tableColumn id="3" xr3:uid="{00000000-0010-0000-0600-000003000000}" name="Concepto"/>
    <tableColumn id="4" xr3:uid="{00000000-0010-0000-0600-000004000000}" name="Descripcion"/>
    <tableColumn id="5" xr3:uid="{00000000-0010-0000-0600-000005000000}" name="Haberes" totalsRowFunction="sum" dataDxfId="191" totalsRowDxfId="190"/>
    <tableColumn id="6" xr3:uid="{00000000-0010-0000-0600-000006000000}" name="Extras" totalsRowFunction="sum" dataDxfId="189" totalsRowDxfId="188"/>
    <tableColumn id="7" xr3:uid="{00000000-0010-0000-0600-000007000000}" name="Inversiones" totalsRowFunction="sum" dataDxfId="187" totalsRowDxfId="186"/>
    <tableColumn id="8" xr3:uid="{00000000-0010-0000-0600-000008000000}" name="Comentarios" dataDxfId="18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Impuestos" displayName="Impuestos" ref="A3:Q17" totalsRowCount="1" headerRowDxfId="184" dataDxfId="182" totalsRowDxfId="180" headerRowBorderDxfId="183" tableBorderDxfId="181" totalsRowBorderDxfId="179" headerRowCellStyle="Normal 5">
  <autoFilter ref="A3:Q16" xr:uid="{00000000-0009-0000-0100-000001000000}"/>
  <sortState xmlns:xlrd2="http://schemas.microsoft.com/office/spreadsheetml/2017/richdata2" ref="A4:Q16">
    <sortCondition descending="1" ref="A3:A16"/>
  </sortState>
  <tableColumns count="17">
    <tableColumn id="1" xr3:uid="{00000000-0010-0000-0700-000001000000}" name="ADMINISTRACION" totalsRowLabel="TOTAL:" dataDxfId="178" totalsRowDxfId="177"/>
    <tableColumn id="2" xr3:uid="{00000000-0010-0000-0700-000002000000}" name="TIPO" dataDxfId="176" totalsRowDxfId="175"/>
    <tableColumn id="3" xr3:uid="{00000000-0010-0000-0700-000003000000}" name="DESCRIPCION" dataDxfId="174" totalsRowDxfId="173"/>
    <tableColumn id="4" xr3:uid="{00000000-0010-0000-0700-000004000000}" name="CUENTA" dataDxfId="172" totalsRowDxfId="171"/>
    <tableColumn id="5" xr3:uid="{00000000-0010-0000-0700-000005000000}" name="PLAN" dataDxfId="170" totalsRowDxfId="169"/>
    <tableColumn id="6" xr3:uid="{00000000-0010-0000-0700-000006000000}" name="FEB" totalsRowFunction="sum" dataDxfId="168" totalsRowDxfId="167"/>
    <tableColumn id="7" xr3:uid="{00000000-0010-0000-0700-000007000000}" name="MAR" totalsRowFunction="sum" dataDxfId="166" totalsRowDxfId="165"/>
    <tableColumn id="8" xr3:uid="{00000000-0010-0000-0700-000008000000}" name="ABR" totalsRowFunction="sum" dataDxfId="164" totalsRowDxfId="163"/>
    <tableColumn id="9" xr3:uid="{00000000-0010-0000-0700-000009000000}" name="MAY" totalsRowFunction="sum" dataDxfId="162" totalsRowDxfId="161"/>
    <tableColumn id="10" xr3:uid="{00000000-0010-0000-0700-00000A000000}" name="JUN" totalsRowFunction="sum" dataDxfId="160" totalsRowDxfId="159"/>
    <tableColumn id="11" xr3:uid="{00000000-0010-0000-0700-00000B000000}" name="JUL" totalsRowFunction="sum" dataDxfId="158" totalsRowDxfId="157"/>
    <tableColumn id="12" xr3:uid="{00000000-0010-0000-0700-00000C000000}" name="AGO" totalsRowFunction="sum" dataDxfId="156" totalsRowDxfId="155"/>
    <tableColumn id="13" xr3:uid="{00000000-0010-0000-0700-00000D000000}" name="SEP" totalsRowFunction="sum" dataDxfId="154" totalsRowDxfId="153"/>
    <tableColumn id="14" xr3:uid="{00000000-0010-0000-0700-00000E000000}" name="OCT" totalsRowFunction="sum" dataDxfId="152" totalsRowDxfId="151"/>
    <tableColumn id="15" xr3:uid="{00000000-0010-0000-0700-00000F000000}" name="NOV" totalsRowFunction="sum" dataDxfId="150" totalsRowDxfId="149"/>
    <tableColumn id="16" xr3:uid="{00000000-0010-0000-0700-000010000000}" name="DIC" totalsRowFunction="sum" dataDxfId="148" totalsRowDxfId="147"/>
    <tableColumn id="17" xr3:uid="{00000000-0010-0000-0700-000011000000}" name="ENE" totalsRowFunction="sum" dataDxfId="146" totalsRowDxfId="145"/>
  </tableColumns>
  <tableStyleInfo name="TableStyleLight1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Impuestos6" displayName="Impuestos6" ref="A3:Q17" totalsRowCount="1" headerRowDxfId="144" dataDxfId="142" totalsRowDxfId="140" headerRowBorderDxfId="143" tableBorderDxfId="141" totalsRowBorderDxfId="139" headerRowCellStyle="Normal 5">
  <autoFilter ref="A3:Q16" xr:uid="{00000000-0009-0000-0100-000005000000}"/>
  <sortState xmlns:xlrd2="http://schemas.microsoft.com/office/spreadsheetml/2017/richdata2" ref="A4:Q16">
    <sortCondition descending="1" ref="A3:A16"/>
  </sortState>
  <tableColumns count="17">
    <tableColumn id="1" xr3:uid="{00000000-0010-0000-0800-000001000000}" name="ADMINISTRACION" totalsRowLabel="TOTAL:" dataDxfId="138" totalsRowDxfId="40"/>
    <tableColumn id="2" xr3:uid="{00000000-0010-0000-0800-000002000000}" name="TIPO" dataDxfId="137" totalsRowDxfId="39"/>
    <tableColumn id="3" xr3:uid="{00000000-0010-0000-0800-000003000000}" name="DESCRIPCION" dataDxfId="136" totalsRowDxfId="38"/>
    <tableColumn id="4" xr3:uid="{00000000-0010-0000-0800-000004000000}" name="CUENTA" dataDxfId="135" totalsRowDxfId="37"/>
    <tableColumn id="5" xr3:uid="{00000000-0010-0000-0800-000005000000}" name="PLAN" dataDxfId="134" totalsRowDxfId="36"/>
    <tableColumn id="6" xr3:uid="{00000000-0010-0000-0800-000006000000}" name="FEB" totalsRowFunction="sum" dataDxfId="133" totalsRowDxfId="35"/>
    <tableColumn id="7" xr3:uid="{00000000-0010-0000-0800-000007000000}" name="MAR" totalsRowFunction="sum" dataDxfId="132" totalsRowDxfId="34"/>
    <tableColumn id="8" xr3:uid="{00000000-0010-0000-0800-000008000000}" name="ABR" totalsRowFunction="sum" dataDxfId="131" totalsRowDxfId="33"/>
    <tableColumn id="9" xr3:uid="{00000000-0010-0000-0800-000009000000}" name="MAY" totalsRowFunction="sum" dataDxfId="130" totalsRowDxfId="32"/>
    <tableColumn id="10" xr3:uid="{00000000-0010-0000-0800-00000A000000}" name="JUN" totalsRowFunction="sum" dataDxfId="129" totalsRowDxfId="31"/>
    <tableColumn id="11" xr3:uid="{00000000-0010-0000-0800-00000B000000}" name="JUL" totalsRowFunction="sum" dataDxfId="128" totalsRowDxfId="30"/>
    <tableColumn id="12" xr3:uid="{00000000-0010-0000-0800-00000C000000}" name="AGO" totalsRowFunction="sum" dataDxfId="127" totalsRowDxfId="29"/>
    <tableColumn id="13" xr3:uid="{00000000-0010-0000-0800-00000D000000}" name="SEP" totalsRowFunction="sum" dataDxfId="126" totalsRowDxfId="28"/>
    <tableColumn id="14" xr3:uid="{00000000-0010-0000-0800-00000E000000}" name="OCT" totalsRowFunction="sum" dataDxfId="125" totalsRowDxfId="27"/>
    <tableColumn id="15" xr3:uid="{00000000-0010-0000-0800-00000F000000}" name="NOV" totalsRowFunction="sum" dataDxfId="124" totalsRowDxfId="26"/>
    <tableColumn id="16" xr3:uid="{00000000-0010-0000-0800-000010000000}" name="DIC" totalsRowFunction="sum" dataDxfId="123" totalsRowDxfId="25"/>
    <tableColumn id="17" xr3:uid="{00000000-0010-0000-0800-000011000000}" name="ENE" totalsRowFunction="sum" dataDxfId="122" totalsRowDxfId="24"/>
  </tableColumns>
  <tableStyleInfo name="TableStyleLight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Gastos" displayName="Gastos" ref="A2:N7" totalsRowCount="1" headerRowDxfId="121" dataDxfId="119" headerRowBorderDxfId="120" tableBorderDxfId="118" totalsRowBorderDxfId="117" headerRowCellStyle="Normal 5" dataCellStyle="Normal 5">
  <autoFilter ref="A2:N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900-000001000000}" name="GASTOS" dataDxfId="116" totalsRowDxfId="13" dataCellStyle="Normal 5"/>
    <tableColumn id="2" xr3:uid="{00000000-0010-0000-0900-000002000000}" name="31-Ene" totalsRowFunction="sum" dataDxfId="115" totalsRowDxfId="12" dataCellStyle="Normal 5"/>
    <tableColumn id="3" xr3:uid="{00000000-0010-0000-0900-000003000000}" name="28-Feb" totalsRowFunction="sum" dataDxfId="114" totalsRowDxfId="11" dataCellStyle="Normal 5"/>
    <tableColumn id="4" xr3:uid="{00000000-0010-0000-0900-000004000000}" name="31-Mar" totalsRowFunction="sum" dataDxfId="113" totalsRowDxfId="10" dataCellStyle="Normal 5"/>
    <tableColumn id="5" xr3:uid="{00000000-0010-0000-0900-000005000000}" name="30-Abr" totalsRowFunction="sum" dataDxfId="112" totalsRowDxfId="9" dataCellStyle="Normal 5"/>
    <tableColumn id="6" xr3:uid="{00000000-0010-0000-0900-000006000000}" name="31-May" totalsRowFunction="sum" dataDxfId="111" totalsRowDxfId="8" dataCellStyle="Normal 5"/>
    <tableColumn id="7" xr3:uid="{00000000-0010-0000-0900-000007000000}" name="30-Jun" totalsRowFunction="sum" dataDxfId="110" totalsRowDxfId="7" dataCellStyle="Normal 5"/>
    <tableColumn id="8" xr3:uid="{00000000-0010-0000-0900-000008000000}" name="31-Jul" totalsRowFunction="sum" dataDxfId="109" totalsRowDxfId="6" dataCellStyle="Normal 5"/>
    <tableColumn id="9" xr3:uid="{00000000-0010-0000-0900-000009000000}" name="31-Ago" totalsRowFunction="sum" dataDxfId="108" totalsRowDxfId="5" dataCellStyle="Normal 5"/>
    <tableColumn id="10" xr3:uid="{00000000-0010-0000-0900-00000A000000}" name="30-Sep" totalsRowFunction="sum" dataDxfId="107" totalsRowDxfId="4" dataCellStyle="Normal 5"/>
    <tableColumn id="11" xr3:uid="{00000000-0010-0000-0900-00000B000000}" name="31-Oct" totalsRowFunction="sum" dataDxfId="106" totalsRowDxfId="3" dataCellStyle="Normal 5"/>
    <tableColumn id="12" xr3:uid="{00000000-0010-0000-0900-00000C000000}" name="30-Nov" totalsRowFunction="sum" dataDxfId="105" totalsRowDxfId="2" dataCellStyle="Normal 5"/>
    <tableColumn id="13" xr3:uid="{00000000-0010-0000-0900-00000D000000}" name="31-Dic" totalsRowFunction="sum" dataDxfId="104" totalsRowDxfId="1" dataCellStyle="Normal 5"/>
    <tableColumn id="14" xr3:uid="{00000000-0010-0000-0900-00000E000000}" name="ANUAL" totalsRowFunction="sum" dataDxfId="103" totalsRowDxfId="0" dataCellStyle="Normal 5"/>
  </tableColumns>
  <tableStyleInfo name="TableStyleLight14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A1:K25" totalsRowShown="0" headerRowDxfId="102" dataDxfId="100" headerRowBorderDxfId="101" tableBorderDxfId="99" headerRowCellStyle="Normal 5" dataCellStyle="Normal 5">
  <autoFilter ref="A1:K25" xr:uid="{00000000-0009-0000-0100-00000B000000}"/>
  <tableColumns count="11">
    <tableColumn id="1" xr3:uid="{00000000-0010-0000-0A00-000001000000}" name="Fecha Emisión" dataDxfId="98" dataCellStyle="Normal 5"/>
    <tableColumn id="2" xr3:uid="{00000000-0010-0000-0A00-000002000000}" name="Fecha Vencimiento" dataDxfId="97" dataCellStyle="Normal 5"/>
    <tableColumn id="3" xr3:uid="{00000000-0010-0000-0A00-000003000000}" name="Capital" dataDxfId="96" dataCellStyle="Normal 5"/>
    <tableColumn id="4" xr3:uid="{00000000-0010-0000-0A00-000004000000}" name="Interes" dataDxfId="95" dataCellStyle="Normal 5"/>
    <tableColumn id="5" xr3:uid="{00000000-0010-0000-0A00-000005000000}" name="Total" dataDxfId="94" dataCellStyle="Normal 5"/>
    <tableColumn id="6" xr3:uid="{00000000-0010-0000-0A00-000006000000}" name="Nombre" dataDxfId="93" dataCellStyle="Normal 5"/>
    <tableColumn id="7" xr3:uid="{00000000-0010-0000-0A00-000007000000}" name="Tipo" dataDxfId="92" dataCellStyle="Normal 5"/>
    <tableColumn id="8" xr3:uid="{00000000-0010-0000-0A00-000008000000}" name="Comentario" dataDxfId="91" dataCellStyle="Normal 5"/>
    <tableColumn id="9" xr3:uid="{00000000-0010-0000-0A00-000009000000}" name="ESTADO" dataDxfId="90" dataCellStyle="Normal 5"/>
    <tableColumn id="10" xr3:uid="{00000000-0010-0000-0A00-00000A000000}" name="Banco" dataDxfId="89" dataCellStyle="Normal 5"/>
    <tableColumn id="11" xr3:uid="{00000000-0010-0000-0A00-00000B000000}" name="Certificado" dataDxfId="88"/>
  </tableColumns>
  <tableStyleInfo name="TableStyleMedium1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A1:F46" totalsRowShown="0" headerRowDxfId="87" headerRowBorderDxfId="86" tableBorderDxfId="85" totalsRowBorderDxfId="84" headerRowCellStyle="Normal 5" dataCellStyle="Normal 5">
  <autoFilter ref="A1:F46" xr:uid="{00000000-0009-0000-0100-00000C000000}"/>
  <tableColumns count="6">
    <tableColumn id="1" xr3:uid="{00000000-0010-0000-0B00-000001000000}" name="Fecha" dataDxfId="83" dataCellStyle="Normal 5"/>
    <tableColumn id="2" xr3:uid="{00000000-0010-0000-0B00-000002000000}" name="Referencia" dataDxfId="82" dataCellStyle="Normal 5"/>
    <tableColumn id="3" xr3:uid="{00000000-0010-0000-0B00-000003000000}" name="Credito" dataDxfId="81" dataCellStyle="Normal 5"/>
    <tableColumn id="4" xr3:uid="{00000000-0010-0000-0B00-000004000000}" name="Debito" dataDxfId="80" dataCellStyle="Normal 5"/>
    <tableColumn id="5" xr3:uid="{00000000-0010-0000-0B00-000005000000}" name="Saldo" dataDxfId="79" dataCellStyle="Normal 5"/>
    <tableColumn id="6" xr3:uid="{00000000-0010-0000-0B00-000006000000}" name="Comentario" dataDxfId="78" dataCellStyle="Normal 5"/>
  </tableColumns>
  <tableStyleInfo name="TableStyleMedium1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abla17" displayName="Tabla17" ref="A1:F16" totalsRowShown="0" headerRowDxfId="77" dataDxfId="75" headerRowBorderDxfId="76" tableBorderDxfId="74" totalsRowBorderDxfId="73" headerRowCellStyle="Normal 5" dataCellStyle="Normal 5">
  <autoFilter ref="A1:F16" xr:uid="{00000000-0009-0000-0100-000011000000}"/>
  <tableColumns count="6">
    <tableColumn id="1" xr3:uid="{00000000-0010-0000-0C00-000001000000}" name="Fecha" dataDxfId="72" dataCellStyle="Normal 5"/>
    <tableColumn id="2" xr3:uid="{00000000-0010-0000-0C00-000002000000}" name="Referencia" dataDxfId="71" dataCellStyle="Normal 5"/>
    <tableColumn id="3" xr3:uid="{00000000-0010-0000-0C00-000003000000}" name="Credito" dataDxfId="70" dataCellStyle="Normal 5"/>
    <tableColumn id="4" xr3:uid="{00000000-0010-0000-0C00-000004000000}" name="Debito" dataDxfId="69" dataCellStyle="Normal 5"/>
    <tableColumn id="5" xr3:uid="{00000000-0010-0000-0C00-000005000000}" name="Saldo" dataDxfId="68" dataCellStyle="Normal 5"/>
    <tableColumn id="6" xr3:uid="{00000000-0010-0000-0C00-000006000000}" name="Comentario" dataDxfId="67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M24"/>
  <sheetViews>
    <sheetView tabSelected="1" workbookViewId="0">
      <selection activeCell="D27" sqref="D27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93" t="s">
        <v>322</v>
      </c>
      <c r="G2" s="293"/>
      <c r="H2" s="3" t="s">
        <v>420</v>
      </c>
    </row>
    <row r="11" spans="2:9" x14ac:dyDescent="0.25">
      <c r="B11" s="4" t="s">
        <v>15</v>
      </c>
    </row>
    <row r="12" spans="2:9" x14ac:dyDescent="0.25">
      <c r="B12" s="4"/>
    </row>
    <row r="13" spans="2:9" x14ac:dyDescent="0.25">
      <c r="B13" s="294" t="s">
        <v>16</v>
      </c>
      <c r="C13" s="294"/>
      <c r="D13" s="294"/>
      <c r="E13" s="294"/>
      <c r="F13" s="294"/>
      <c r="G13" s="294"/>
      <c r="H13" s="294"/>
      <c r="I13" s="294"/>
    </row>
    <row r="14" spans="2:9" x14ac:dyDescent="0.25">
      <c r="B14" s="294" t="s">
        <v>17</v>
      </c>
      <c r="C14" s="294"/>
      <c r="D14" s="294"/>
      <c r="E14" s="294"/>
      <c r="F14" s="294"/>
      <c r="G14" s="294"/>
      <c r="H14" s="294"/>
      <c r="I14" s="294"/>
    </row>
    <row r="15" spans="2:9" x14ac:dyDescent="0.25">
      <c r="B15" s="294" t="s">
        <v>18</v>
      </c>
      <c r="C15" s="294"/>
      <c r="D15" s="294"/>
      <c r="E15" s="294"/>
      <c r="F15" s="294"/>
      <c r="G15" s="294"/>
      <c r="H15" s="294"/>
      <c r="I15" s="294"/>
    </row>
    <row r="16" spans="2:9" x14ac:dyDescent="0.25">
      <c r="B16" s="294"/>
      <c r="C16" s="294"/>
      <c r="D16" s="294"/>
      <c r="E16" s="294"/>
      <c r="F16" s="294"/>
      <c r="G16" s="294"/>
      <c r="H16" s="294"/>
      <c r="I16" s="294"/>
    </row>
    <row r="17" spans="2:13" x14ac:dyDescent="0.25">
      <c r="B17" s="294"/>
      <c r="C17" s="294"/>
      <c r="D17" s="294"/>
      <c r="E17" s="294"/>
      <c r="F17" s="294"/>
      <c r="G17" s="294"/>
      <c r="H17" s="294"/>
      <c r="I17" s="294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91" t="s">
        <v>19</v>
      </c>
      <c r="C19" s="291"/>
      <c r="D19" s="291"/>
      <c r="E19" s="291"/>
      <c r="F19" s="291"/>
      <c r="G19" s="291"/>
      <c r="H19" s="291"/>
      <c r="I19" s="291"/>
      <c r="J19" s="291"/>
      <c r="K19" s="291"/>
      <c r="L19" s="291"/>
      <c r="M19" s="291"/>
    </row>
    <row r="20" spans="2:13" x14ac:dyDescent="0.25">
      <c r="B20" s="292" t="s">
        <v>20</v>
      </c>
      <c r="C20" s="292"/>
      <c r="D20" s="292"/>
      <c r="E20" s="292"/>
      <c r="F20" s="292"/>
      <c r="G20" s="292"/>
      <c r="H20" s="292"/>
      <c r="I20" s="292"/>
      <c r="J20" s="292"/>
      <c r="K20" s="292"/>
      <c r="L20" s="292"/>
      <c r="M20" s="292"/>
    </row>
    <row r="21" spans="2:13" x14ac:dyDescent="0.25">
      <c r="B21" s="291" t="s">
        <v>21</v>
      </c>
      <c r="C21" s="291"/>
      <c r="D21" s="291"/>
      <c r="E21" s="291"/>
      <c r="F21" s="291"/>
      <c r="G21" s="291"/>
      <c r="H21" s="291"/>
      <c r="I21" s="291"/>
      <c r="J21" s="291"/>
      <c r="K21" s="291"/>
      <c r="L21" s="291"/>
      <c r="M21" s="291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67"/>
  <sheetViews>
    <sheetView topLeftCell="A52" workbookViewId="0">
      <selection activeCell="E2" sqref="E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38</v>
      </c>
      <c r="B2" s="100">
        <v>44937</v>
      </c>
      <c r="C2" t="s">
        <v>243</v>
      </c>
      <c r="E2" s="101">
        <v>371575.34</v>
      </c>
      <c r="F2">
        <v>452624</v>
      </c>
    </row>
    <row r="3" spans="1:6" x14ac:dyDescent="0.25">
      <c r="A3">
        <v>53</v>
      </c>
      <c r="B3" s="100">
        <v>44931</v>
      </c>
      <c r="C3" t="s">
        <v>226</v>
      </c>
      <c r="D3" t="s">
        <v>227</v>
      </c>
      <c r="E3" s="101">
        <v>157806.07999999999</v>
      </c>
      <c r="F3">
        <v>0</v>
      </c>
    </row>
    <row r="4" spans="1:6" x14ac:dyDescent="0.25">
      <c r="A4">
        <v>4</v>
      </c>
      <c r="B4" s="100">
        <v>44956</v>
      </c>
      <c r="C4" t="s">
        <v>221</v>
      </c>
      <c r="D4" t="s">
        <v>358</v>
      </c>
      <c r="E4" s="101">
        <v>80000</v>
      </c>
      <c r="F4">
        <v>415126</v>
      </c>
    </row>
    <row r="5" spans="1:6" x14ac:dyDescent="0.25">
      <c r="A5">
        <v>26</v>
      </c>
      <c r="B5" s="100">
        <v>44943</v>
      </c>
      <c r="C5" t="s">
        <v>360</v>
      </c>
      <c r="D5" t="s">
        <v>361</v>
      </c>
      <c r="E5" s="101">
        <v>47077</v>
      </c>
      <c r="F5">
        <v>938990</v>
      </c>
    </row>
    <row r="6" spans="1:6" x14ac:dyDescent="0.25">
      <c r="A6">
        <v>15</v>
      </c>
      <c r="B6" s="100">
        <v>44950</v>
      </c>
      <c r="C6" t="s">
        <v>221</v>
      </c>
      <c r="D6" t="s">
        <v>359</v>
      </c>
      <c r="E6" s="101">
        <v>23000</v>
      </c>
      <c r="F6">
        <v>530654</v>
      </c>
    </row>
    <row r="7" spans="1:6" x14ac:dyDescent="0.25">
      <c r="A7">
        <v>43</v>
      </c>
      <c r="B7" s="100">
        <v>44935</v>
      </c>
      <c r="C7" t="s">
        <v>327</v>
      </c>
      <c r="D7" t="s">
        <v>328</v>
      </c>
      <c r="E7" s="101">
        <v>20500</v>
      </c>
      <c r="F7">
        <v>15312</v>
      </c>
    </row>
    <row r="8" spans="1:6" x14ac:dyDescent="0.25">
      <c r="A8">
        <v>61</v>
      </c>
      <c r="B8" s="100">
        <v>44929</v>
      </c>
      <c r="C8" t="s">
        <v>221</v>
      </c>
      <c r="D8" t="s">
        <v>257</v>
      </c>
      <c r="E8" s="101">
        <v>2500</v>
      </c>
      <c r="F8">
        <v>125410</v>
      </c>
    </row>
    <row r="9" spans="1:6" x14ac:dyDescent="0.25">
      <c r="A9">
        <v>49</v>
      </c>
      <c r="B9" s="100">
        <v>44935</v>
      </c>
      <c r="C9" t="s">
        <v>221</v>
      </c>
      <c r="D9" t="s">
        <v>257</v>
      </c>
      <c r="E9" s="101">
        <v>1700</v>
      </c>
      <c r="F9">
        <v>321880</v>
      </c>
    </row>
    <row r="10" spans="1:6" x14ac:dyDescent="0.25">
      <c r="A10">
        <v>64</v>
      </c>
      <c r="B10" s="100">
        <v>44928</v>
      </c>
      <c r="C10" t="s">
        <v>362</v>
      </c>
      <c r="D10" t="s">
        <v>363</v>
      </c>
      <c r="E10" s="101">
        <v>1000</v>
      </c>
      <c r="F10">
        <v>4250080</v>
      </c>
    </row>
    <row r="11" spans="1:6" x14ac:dyDescent="0.25">
      <c r="A11">
        <v>65</v>
      </c>
      <c r="B11" s="100">
        <v>44927</v>
      </c>
      <c r="C11" t="s">
        <v>231</v>
      </c>
      <c r="E11" s="101">
        <v>38.01</v>
      </c>
      <c r="F11">
        <v>0</v>
      </c>
    </row>
    <row r="12" spans="1:6" x14ac:dyDescent="0.25">
      <c r="A12">
        <v>51</v>
      </c>
      <c r="B12" s="100">
        <v>44932</v>
      </c>
      <c r="C12" t="s">
        <v>211</v>
      </c>
      <c r="D12" t="s">
        <v>344</v>
      </c>
      <c r="E12" s="101">
        <v>-198.9</v>
      </c>
      <c r="F12">
        <v>2208</v>
      </c>
    </row>
    <row r="13" spans="1:6" x14ac:dyDescent="0.25">
      <c r="A13">
        <v>37</v>
      </c>
      <c r="B13" s="100">
        <v>44937</v>
      </c>
      <c r="C13" t="s">
        <v>211</v>
      </c>
      <c r="D13" t="s">
        <v>337</v>
      </c>
      <c r="E13" s="101">
        <v>-200</v>
      </c>
      <c r="F13">
        <v>915403</v>
      </c>
    </row>
    <row r="14" spans="1:6" x14ac:dyDescent="0.25">
      <c r="A14">
        <v>16</v>
      </c>
      <c r="B14" s="100">
        <v>44949</v>
      </c>
      <c r="C14" t="s">
        <v>211</v>
      </c>
      <c r="D14" t="s">
        <v>331</v>
      </c>
      <c r="E14" s="101">
        <v>-270</v>
      </c>
      <c r="F14">
        <v>18780</v>
      </c>
    </row>
    <row r="15" spans="1:6" x14ac:dyDescent="0.25">
      <c r="A15">
        <v>36</v>
      </c>
      <c r="B15" s="100">
        <v>44937</v>
      </c>
      <c r="C15" t="s">
        <v>211</v>
      </c>
      <c r="D15" t="s">
        <v>336</v>
      </c>
      <c r="E15" s="101">
        <v>-360</v>
      </c>
      <c r="F15">
        <v>25789</v>
      </c>
    </row>
    <row r="16" spans="1:6" x14ac:dyDescent="0.25">
      <c r="A16">
        <v>59</v>
      </c>
      <c r="B16" s="100">
        <v>44929</v>
      </c>
      <c r="C16" t="s">
        <v>211</v>
      </c>
      <c r="D16" t="s">
        <v>333</v>
      </c>
      <c r="E16" s="101">
        <v>-371.77</v>
      </c>
      <c r="F16">
        <v>69556</v>
      </c>
    </row>
    <row r="17" spans="1:6" x14ac:dyDescent="0.25">
      <c r="A17">
        <v>8</v>
      </c>
      <c r="B17" s="100">
        <v>44952</v>
      </c>
      <c r="C17" t="s">
        <v>211</v>
      </c>
      <c r="D17" t="s">
        <v>338</v>
      </c>
      <c r="E17" s="101">
        <v>-420</v>
      </c>
      <c r="F17">
        <v>74613</v>
      </c>
    </row>
    <row r="18" spans="1:6" x14ac:dyDescent="0.25">
      <c r="A18">
        <v>1</v>
      </c>
      <c r="B18" s="100">
        <v>44957</v>
      </c>
      <c r="C18" t="s">
        <v>215</v>
      </c>
      <c r="E18" s="101">
        <v>-437.54</v>
      </c>
      <c r="F18">
        <v>0</v>
      </c>
    </row>
    <row r="19" spans="1:6" x14ac:dyDescent="0.25">
      <c r="A19">
        <v>9</v>
      </c>
      <c r="B19" s="100">
        <v>44952</v>
      </c>
      <c r="C19" t="s">
        <v>211</v>
      </c>
      <c r="D19" t="s">
        <v>338</v>
      </c>
      <c r="E19" s="101">
        <v>-440</v>
      </c>
      <c r="F19">
        <v>19812</v>
      </c>
    </row>
    <row r="20" spans="1:6" x14ac:dyDescent="0.25">
      <c r="A20">
        <v>28</v>
      </c>
      <c r="B20" s="100">
        <v>44942</v>
      </c>
      <c r="C20" t="s">
        <v>211</v>
      </c>
      <c r="D20" t="s">
        <v>354</v>
      </c>
      <c r="E20" s="101">
        <v>-600</v>
      </c>
      <c r="F20">
        <v>632342</v>
      </c>
    </row>
    <row r="21" spans="1:6" x14ac:dyDescent="0.25">
      <c r="A21">
        <v>21</v>
      </c>
      <c r="B21" s="100">
        <v>44944</v>
      </c>
      <c r="C21" t="s">
        <v>211</v>
      </c>
      <c r="D21" t="s">
        <v>269</v>
      </c>
      <c r="E21" s="101">
        <v>-600</v>
      </c>
      <c r="F21">
        <v>981039</v>
      </c>
    </row>
    <row r="22" spans="1:6" x14ac:dyDescent="0.25">
      <c r="A22">
        <v>20</v>
      </c>
      <c r="B22" s="100">
        <v>44945</v>
      </c>
      <c r="C22" t="s">
        <v>211</v>
      </c>
      <c r="D22" t="s">
        <v>219</v>
      </c>
      <c r="E22" s="101">
        <v>-623.32000000000005</v>
      </c>
      <c r="F22">
        <v>414465</v>
      </c>
    </row>
    <row r="23" spans="1:6" x14ac:dyDescent="0.25">
      <c r="A23">
        <v>41</v>
      </c>
      <c r="B23" s="100">
        <v>44936</v>
      </c>
      <c r="C23" t="s">
        <v>211</v>
      </c>
      <c r="D23" t="s">
        <v>339</v>
      </c>
      <c r="E23" s="101">
        <v>-670</v>
      </c>
      <c r="F23">
        <v>857728</v>
      </c>
    </row>
    <row r="24" spans="1:6" x14ac:dyDescent="0.25">
      <c r="A24">
        <v>50</v>
      </c>
      <c r="B24" s="100">
        <v>44932</v>
      </c>
      <c r="C24" t="s">
        <v>211</v>
      </c>
      <c r="D24" t="s">
        <v>343</v>
      </c>
      <c r="E24" s="101">
        <v>-718.16</v>
      </c>
      <c r="F24">
        <v>19861</v>
      </c>
    </row>
    <row r="25" spans="1:6" x14ac:dyDescent="0.25">
      <c r="A25">
        <v>10</v>
      </c>
      <c r="B25" s="100">
        <v>44952</v>
      </c>
      <c r="C25" t="s">
        <v>211</v>
      </c>
      <c r="D25" t="s">
        <v>332</v>
      </c>
      <c r="E25" s="101">
        <v>-750</v>
      </c>
      <c r="F25">
        <v>66043</v>
      </c>
    </row>
    <row r="26" spans="1:6" x14ac:dyDescent="0.25">
      <c r="A26">
        <v>47</v>
      </c>
      <c r="B26" s="100">
        <v>44935</v>
      </c>
      <c r="C26" t="s">
        <v>211</v>
      </c>
      <c r="D26" t="s">
        <v>342</v>
      </c>
      <c r="E26" s="101">
        <v>-760</v>
      </c>
      <c r="F26">
        <v>28045</v>
      </c>
    </row>
    <row r="27" spans="1:6" x14ac:dyDescent="0.25">
      <c r="A27">
        <v>33</v>
      </c>
      <c r="B27" s="100">
        <v>44939</v>
      </c>
      <c r="C27" t="s">
        <v>211</v>
      </c>
      <c r="D27" t="s">
        <v>334</v>
      </c>
      <c r="E27" s="101">
        <v>-890</v>
      </c>
      <c r="F27">
        <v>21871</v>
      </c>
    </row>
    <row r="28" spans="1:6" x14ac:dyDescent="0.25">
      <c r="A28">
        <v>2</v>
      </c>
      <c r="B28" s="100">
        <v>44956</v>
      </c>
      <c r="C28" t="s">
        <v>211</v>
      </c>
      <c r="D28" t="s">
        <v>332</v>
      </c>
      <c r="E28" s="101">
        <v>-1000</v>
      </c>
      <c r="F28">
        <v>74049</v>
      </c>
    </row>
    <row r="29" spans="1:6" x14ac:dyDescent="0.25">
      <c r="A29">
        <v>14</v>
      </c>
      <c r="B29" s="100">
        <v>44950</v>
      </c>
      <c r="C29" t="s">
        <v>211</v>
      </c>
      <c r="D29" t="s">
        <v>353</v>
      </c>
      <c r="E29" s="101">
        <v>-1000</v>
      </c>
      <c r="F29">
        <v>72195</v>
      </c>
    </row>
    <row r="30" spans="1:6" x14ac:dyDescent="0.25">
      <c r="A30">
        <v>18</v>
      </c>
      <c r="B30" s="100">
        <v>44949</v>
      </c>
      <c r="C30" t="s">
        <v>211</v>
      </c>
      <c r="D30" t="s">
        <v>331</v>
      </c>
      <c r="E30" s="101">
        <v>-1029</v>
      </c>
      <c r="F30">
        <v>82446</v>
      </c>
    </row>
    <row r="31" spans="1:6" x14ac:dyDescent="0.25">
      <c r="A31">
        <v>6</v>
      </c>
      <c r="B31" s="100">
        <v>44953</v>
      </c>
      <c r="C31" t="s">
        <v>211</v>
      </c>
      <c r="D31" t="s">
        <v>332</v>
      </c>
      <c r="E31" s="101">
        <v>-1040</v>
      </c>
      <c r="F31">
        <v>96268</v>
      </c>
    </row>
    <row r="32" spans="1:6" x14ac:dyDescent="0.25">
      <c r="A32">
        <v>27</v>
      </c>
      <c r="B32" s="100">
        <v>44942</v>
      </c>
      <c r="C32" t="s">
        <v>211</v>
      </c>
      <c r="D32" t="s">
        <v>332</v>
      </c>
      <c r="E32" s="101">
        <v>-1120</v>
      </c>
      <c r="F32">
        <v>34838</v>
      </c>
    </row>
    <row r="33" spans="1:6" x14ac:dyDescent="0.25">
      <c r="A33">
        <v>13</v>
      </c>
      <c r="B33" s="100">
        <v>44951</v>
      </c>
      <c r="C33" t="s">
        <v>211</v>
      </c>
      <c r="D33" t="s">
        <v>349</v>
      </c>
      <c r="E33" s="101">
        <v>-1150</v>
      </c>
      <c r="F33">
        <v>940618</v>
      </c>
    </row>
    <row r="34" spans="1:6" x14ac:dyDescent="0.25">
      <c r="A34">
        <v>19</v>
      </c>
      <c r="B34" s="100">
        <v>44945</v>
      </c>
      <c r="C34" t="s">
        <v>211</v>
      </c>
      <c r="D34" t="s">
        <v>356</v>
      </c>
      <c r="E34" s="101">
        <v>-1180</v>
      </c>
      <c r="F34">
        <v>19587</v>
      </c>
    </row>
    <row r="35" spans="1:6" x14ac:dyDescent="0.25">
      <c r="A35">
        <v>39</v>
      </c>
      <c r="B35" s="100">
        <v>44936</v>
      </c>
      <c r="C35" t="s">
        <v>211</v>
      </c>
      <c r="D35" t="s">
        <v>331</v>
      </c>
      <c r="E35" s="101">
        <v>-1332</v>
      </c>
      <c r="F35">
        <v>47569</v>
      </c>
    </row>
    <row r="36" spans="1:6" x14ac:dyDescent="0.25">
      <c r="A36">
        <v>32</v>
      </c>
      <c r="B36" s="100">
        <v>44939</v>
      </c>
      <c r="C36" t="s">
        <v>211</v>
      </c>
      <c r="D36" t="s">
        <v>331</v>
      </c>
      <c r="E36" s="101">
        <v>-1333</v>
      </c>
      <c r="F36">
        <v>63420</v>
      </c>
    </row>
    <row r="37" spans="1:6" x14ac:dyDescent="0.25">
      <c r="A37">
        <v>63</v>
      </c>
      <c r="B37" s="100">
        <v>44928</v>
      </c>
      <c r="C37" t="s">
        <v>211</v>
      </c>
      <c r="D37" t="s">
        <v>352</v>
      </c>
      <c r="E37" s="101">
        <v>-1360.92</v>
      </c>
      <c r="F37">
        <v>103468</v>
      </c>
    </row>
    <row r="38" spans="1:6" x14ac:dyDescent="0.25">
      <c r="A38">
        <v>48</v>
      </c>
      <c r="B38" s="100">
        <v>44935</v>
      </c>
      <c r="C38" t="s">
        <v>211</v>
      </c>
      <c r="D38" t="s">
        <v>331</v>
      </c>
      <c r="E38" s="101">
        <v>-1380</v>
      </c>
      <c r="F38">
        <v>91174</v>
      </c>
    </row>
    <row r="39" spans="1:6" x14ac:dyDescent="0.25">
      <c r="A39">
        <v>35</v>
      </c>
      <c r="B39" s="100">
        <v>44937</v>
      </c>
      <c r="C39" t="s">
        <v>211</v>
      </c>
      <c r="D39" t="s">
        <v>332</v>
      </c>
      <c r="E39" s="101">
        <v>-1440</v>
      </c>
      <c r="F39">
        <v>70979</v>
      </c>
    </row>
    <row r="40" spans="1:6" x14ac:dyDescent="0.25">
      <c r="A40">
        <v>44</v>
      </c>
      <c r="B40" s="100">
        <v>44935</v>
      </c>
      <c r="C40" t="s">
        <v>211</v>
      </c>
      <c r="D40" t="s">
        <v>340</v>
      </c>
      <c r="E40" s="101">
        <v>-1700</v>
      </c>
      <c r="F40">
        <v>370436</v>
      </c>
    </row>
    <row r="41" spans="1:6" x14ac:dyDescent="0.25">
      <c r="A41">
        <v>11</v>
      </c>
      <c r="B41" s="100">
        <v>44952</v>
      </c>
      <c r="C41" t="s">
        <v>211</v>
      </c>
      <c r="D41" t="s">
        <v>331</v>
      </c>
      <c r="E41" s="101">
        <v>-1720</v>
      </c>
      <c r="F41">
        <v>62913</v>
      </c>
    </row>
    <row r="42" spans="1:6" x14ac:dyDescent="0.25">
      <c r="A42">
        <v>31</v>
      </c>
      <c r="B42" s="100">
        <v>44939</v>
      </c>
      <c r="C42" t="s">
        <v>211</v>
      </c>
      <c r="D42" t="s">
        <v>332</v>
      </c>
      <c r="E42" s="101">
        <v>-1780</v>
      </c>
      <c r="F42">
        <v>14877</v>
      </c>
    </row>
    <row r="43" spans="1:6" x14ac:dyDescent="0.25">
      <c r="A43">
        <v>29</v>
      </c>
      <c r="B43" s="100">
        <v>44942</v>
      </c>
      <c r="C43" t="s">
        <v>211</v>
      </c>
      <c r="D43" t="s">
        <v>348</v>
      </c>
      <c r="E43" s="101">
        <v>-1790</v>
      </c>
      <c r="F43">
        <v>84068</v>
      </c>
    </row>
    <row r="44" spans="1:6" x14ac:dyDescent="0.25">
      <c r="A44">
        <v>22</v>
      </c>
      <c r="B44" s="100">
        <v>44944</v>
      </c>
      <c r="C44" t="s">
        <v>211</v>
      </c>
      <c r="D44" t="s">
        <v>280</v>
      </c>
      <c r="E44" s="101">
        <v>-1828.25</v>
      </c>
      <c r="F44">
        <v>969183</v>
      </c>
    </row>
    <row r="45" spans="1:6" x14ac:dyDescent="0.25">
      <c r="A45">
        <v>54</v>
      </c>
      <c r="B45" s="100">
        <v>44930</v>
      </c>
      <c r="C45" t="s">
        <v>211</v>
      </c>
      <c r="D45" t="s">
        <v>346</v>
      </c>
      <c r="E45" s="101">
        <v>-1850</v>
      </c>
      <c r="F45">
        <v>63516</v>
      </c>
    </row>
    <row r="46" spans="1:6" x14ac:dyDescent="0.25">
      <c r="A46">
        <v>34</v>
      </c>
      <c r="B46" s="100">
        <v>44938</v>
      </c>
      <c r="C46" t="s">
        <v>211</v>
      </c>
      <c r="D46" t="s">
        <v>335</v>
      </c>
      <c r="E46" s="101">
        <v>-1930</v>
      </c>
      <c r="F46">
        <v>305722</v>
      </c>
    </row>
    <row r="47" spans="1:6" x14ac:dyDescent="0.25">
      <c r="A47">
        <v>52</v>
      </c>
      <c r="B47" s="100">
        <v>44931</v>
      </c>
      <c r="C47" t="s">
        <v>211</v>
      </c>
      <c r="D47" t="s">
        <v>345</v>
      </c>
      <c r="E47" s="101">
        <v>-2000</v>
      </c>
      <c r="F47">
        <v>392853</v>
      </c>
    </row>
    <row r="48" spans="1:6" x14ac:dyDescent="0.25">
      <c r="A48">
        <v>0</v>
      </c>
      <c r="B48" s="100">
        <v>44957</v>
      </c>
      <c r="C48" t="s">
        <v>214</v>
      </c>
      <c r="E48" s="101">
        <v>-2083.5300000000002</v>
      </c>
      <c r="F48">
        <v>0</v>
      </c>
    </row>
    <row r="49" spans="1:6" x14ac:dyDescent="0.25">
      <c r="A49">
        <v>17</v>
      </c>
      <c r="B49" s="100">
        <v>44949</v>
      </c>
      <c r="C49" t="s">
        <v>211</v>
      </c>
      <c r="D49" t="s">
        <v>355</v>
      </c>
      <c r="E49" s="101">
        <v>-2200</v>
      </c>
      <c r="F49">
        <v>44160</v>
      </c>
    </row>
    <row r="50" spans="1:6" x14ac:dyDescent="0.25">
      <c r="A50">
        <v>40</v>
      </c>
      <c r="B50" s="100">
        <v>44936</v>
      </c>
      <c r="C50" t="s">
        <v>211</v>
      </c>
      <c r="D50" t="s">
        <v>338</v>
      </c>
      <c r="E50" s="101">
        <v>-2580</v>
      </c>
      <c r="F50">
        <v>51231</v>
      </c>
    </row>
    <row r="51" spans="1:6" x14ac:dyDescent="0.25">
      <c r="A51">
        <v>12</v>
      </c>
      <c r="B51" s="100">
        <v>44952</v>
      </c>
      <c r="C51" t="s">
        <v>217</v>
      </c>
      <c r="D51" t="s">
        <v>364</v>
      </c>
      <c r="E51" s="101">
        <v>-3000</v>
      </c>
      <c r="F51">
        <v>366767</v>
      </c>
    </row>
    <row r="52" spans="1:6" x14ac:dyDescent="0.25">
      <c r="A52">
        <v>3</v>
      </c>
      <c r="B52" s="100">
        <v>44956</v>
      </c>
      <c r="C52" t="s">
        <v>211</v>
      </c>
      <c r="D52" t="s">
        <v>350</v>
      </c>
      <c r="E52" s="101">
        <v>-3110</v>
      </c>
      <c r="F52">
        <v>74558</v>
      </c>
    </row>
    <row r="53" spans="1:6" x14ac:dyDescent="0.25">
      <c r="A53">
        <v>5</v>
      </c>
      <c r="B53" s="100">
        <v>44953</v>
      </c>
      <c r="C53" t="s">
        <v>211</v>
      </c>
      <c r="D53" t="s">
        <v>351</v>
      </c>
      <c r="E53" s="101">
        <v>-3160</v>
      </c>
      <c r="F53">
        <v>104156</v>
      </c>
    </row>
    <row r="54" spans="1:6" x14ac:dyDescent="0.25">
      <c r="A54">
        <v>45</v>
      </c>
      <c r="B54" s="100">
        <v>44935</v>
      </c>
      <c r="C54" t="s">
        <v>211</v>
      </c>
      <c r="D54" t="s">
        <v>341</v>
      </c>
      <c r="E54" s="101">
        <v>-3990</v>
      </c>
      <c r="F54">
        <v>25141</v>
      </c>
    </row>
    <row r="55" spans="1:6" x14ac:dyDescent="0.25">
      <c r="A55">
        <v>24</v>
      </c>
      <c r="B55" s="100">
        <v>44943</v>
      </c>
      <c r="C55" t="s">
        <v>211</v>
      </c>
      <c r="D55" t="s">
        <v>357</v>
      </c>
      <c r="E55" s="101">
        <v>-4200</v>
      </c>
      <c r="F55">
        <v>809569</v>
      </c>
    </row>
    <row r="56" spans="1:6" x14ac:dyDescent="0.25">
      <c r="A56">
        <v>55</v>
      </c>
      <c r="B56" s="100">
        <v>44930</v>
      </c>
      <c r="C56" t="s">
        <v>211</v>
      </c>
      <c r="D56" t="s">
        <v>347</v>
      </c>
      <c r="E56" s="101">
        <v>-5738.14</v>
      </c>
      <c r="F56">
        <v>833536</v>
      </c>
    </row>
    <row r="57" spans="1:6" x14ac:dyDescent="0.25">
      <c r="A57">
        <v>30</v>
      </c>
      <c r="B57" s="100">
        <v>44942</v>
      </c>
      <c r="C57" t="s">
        <v>211</v>
      </c>
      <c r="D57" t="s">
        <v>331</v>
      </c>
      <c r="E57" s="101">
        <v>-5839</v>
      </c>
      <c r="F57">
        <v>23304</v>
      </c>
    </row>
    <row r="58" spans="1:6" x14ac:dyDescent="0.25">
      <c r="A58">
        <v>7</v>
      </c>
      <c r="B58" s="100">
        <v>44953</v>
      </c>
      <c r="C58" t="s">
        <v>217</v>
      </c>
      <c r="D58" t="s">
        <v>365</v>
      </c>
      <c r="E58" s="101">
        <v>-6000</v>
      </c>
      <c r="F58">
        <v>420763</v>
      </c>
    </row>
    <row r="59" spans="1:6" x14ac:dyDescent="0.25">
      <c r="A59">
        <v>42</v>
      </c>
      <c r="B59" s="100">
        <v>44936</v>
      </c>
      <c r="C59" t="s">
        <v>217</v>
      </c>
      <c r="D59" t="s">
        <v>365</v>
      </c>
      <c r="E59" s="101">
        <v>-6000</v>
      </c>
      <c r="F59">
        <v>268533</v>
      </c>
    </row>
    <row r="60" spans="1:6" x14ac:dyDescent="0.25">
      <c r="A60">
        <v>60</v>
      </c>
      <c r="B60" s="100">
        <v>44929</v>
      </c>
      <c r="C60" t="s">
        <v>211</v>
      </c>
      <c r="D60" t="s">
        <v>347</v>
      </c>
      <c r="E60" s="101">
        <v>-6267.17</v>
      </c>
      <c r="F60">
        <v>539917</v>
      </c>
    </row>
    <row r="61" spans="1:6" x14ac:dyDescent="0.25">
      <c r="A61">
        <v>23</v>
      </c>
      <c r="B61" s="100">
        <v>44944</v>
      </c>
      <c r="C61" t="s">
        <v>229</v>
      </c>
      <c r="D61" t="s">
        <v>230</v>
      </c>
      <c r="E61" s="101">
        <v>-10000</v>
      </c>
      <c r="F61">
        <v>5479</v>
      </c>
    </row>
    <row r="62" spans="1:6" x14ac:dyDescent="0.25">
      <c r="A62">
        <v>57</v>
      </c>
      <c r="B62" s="100">
        <v>44929</v>
      </c>
      <c r="C62" t="s">
        <v>329</v>
      </c>
      <c r="D62" t="s">
        <v>330</v>
      </c>
      <c r="E62" s="101">
        <v>-15007</v>
      </c>
      <c r="F62">
        <v>660959</v>
      </c>
    </row>
    <row r="63" spans="1:6" x14ac:dyDescent="0.25">
      <c r="A63">
        <v>58</v>
      </c>
      <c r="B63" s="100">
        <v>44929</v>
      </c>
      <c r="C63" t="s">
        <v>211</v>
      </c>
      <c r="D63" t="s">
        <v>219</v>
      </c>
      <c r="E63" s="101">
        <v>-15428.1</v>
      </c>
      <c r="F63">
        <v>559189</v>
      </c>
    </row>
    <row r="64" spans="1:6" x14ac:dyDescent="0.25">
      <c r="A64">
        <v>46</v>
      </c>
      <c r="B64" s="100">
        <v>44935</v>
      </c>
      <c r="C64" t="s">
        <v>211</v>
      </c>
      <c r="D64" t="s">
        <v>341</v>
      </c>
      <c r="E64" s="101">
        <v>-20500</v>
      </c>
      <c r="F64">
        <v>80730</v>
      </c>
    </row>
    <row r="65" spans="1:6" x14ac:dyDescent="0.25">
      <c r="A65">
        <v>25</v>
      </c>
      <c r="B65" s="100">
        <v>44943</v>
      </c>
      <c r="C65" t="s">
        <v>211</v>
      </c>
      <c r="D65" t="s">
        <v>288</v>
      </c>
      <c r="E65" s="101">
        <v>-42877.3</v>
      </c>
      <c r="F65">
        <v>55983</v>
      </c>
    </row>
    <row r="66" spans="1:6" x14ac:dyDescent="0.25">
      <c r="A66">
        <v>62</v>
      </c>
      <c r="B66" s="100">
        <v>44928</v>
      </c>
      <c r="C66" t="s">
        <v>224</v>
      </c>
      <c r="D66" t="s">
        <v>225</v>
      </c>
      <c r="E66" s="101">
        <v>-70193.279999999999</v>
      </c>
      <c r="F66">
        <v>400815</v>
      </c>
    </row>
    <row r="67" spans="1:6" x14ac:dyDescent="0.25">
      <c r="A67">
        <v>56</v>
      </c>
      <c r="B67" s="100">
        <v>44930</v>
      </c>
      <c r="C67" t="s">
        <v>222</v>
      </c>
      <c r="D67" t="s">
        <v>223</v>
      </c>
      <c r="E67" s="101">
        <v>-119932.09</v>
      </c>
      <c r="F67">
        <v>230103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63"/>
  <sheetViews>
    <sheetView topLeftCell="A46" workbookViewId="0">
      <selection activeCell="C60" sqref="C6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51</v>
      </c>
      <c r="B2" s="100">
        <v>44932</v>
      </c>
      <c r="C2" t="s">
        <v>211</v>
      </c>
      <c r="D2" t="s">
        <v>344</v>
      </c>
      <c r="E2" s="101">
        <v>-198.9</v>
      </c>
    </row>
    <row r="3" spans="1:10" x14ac:dyDescent="0.25">
      <c r="A3">
        <v>37</v>
      </c>
      <c r="B3" s="100">
        <v>44937</v>
      </c>
      <c r="C3" t="s">
        <v>211</v>
      </c>
      <c r="D3" t="s">
        <v>337</v>
      </c>
      <c r="E3" s="101">
        <v>-200</v>
      </c>
    </row>
    <row r="4" spans="1:10" x14ac:dyDescent="0.25">
      <c r="A4">
        <v>16</v>
      </c>
      <c r="B4" s="100">
        <v>44949</v>
      </c>
      <c r="C4" t="s">
        <v>211</v>
      </c>
      <c r="D4" t="s">
        <v>331</v>
      </c>
      <c r="E4" s="101">
        <v>-270</v>
      </c>
    </row>
    <row r="5" spans="1:10" x14ac:dyDescent="0.25">
      <c r="A5">
        <v>36</v>
      </c>
      <c r="B5" s="100">
        <v>44937</v>
      </c>
      <c r="C5" t="s">
        <v>211</v>
      </c>
      <c r="D5" t="s">
        <v>336</v>
      </c>
      <c r="E5" s="101">
        <v>-360</v>
      </c>
    </row>
    <row r="6" spans="1:10" x14ac:dyDescent="0.25">
      <c r="A6">
        <v>59</v>
      </c>
      <c r="B6" s="100">
        <v>44929</v>
      </c>
      <c r="C6" t="s">
        <v>211</v>
      </c>
      <c r="D6" t="s">
        <v>333</v>
      </c>
      <c r="E6" s="101">
        <v>-371.77</v>
      </c>
    </row>
    <row r="7" spans="1:10" x14ac:dyDescent="0.25">
      <c r="A7">
        <v>8</v>
      </c>
      <c r="B7" s="100">
        <v>44952</v>
      </c>
      <c r="C7" t="s">
        <v>211</v>
      </c>
      <c r="D7" t="s">
        <v>338</v>
      </c>
      <c r="E7" s="101">
        <v>-420</v>
      </c>
    </row>
    <row r="8" spans="1:10" x14ac:dyDescent="0.25">
      <c r="A8">
        <v>1</v>
      </c>
      <c r="B8" s="100">
        <v>44957</v>
      </c>
      <c r="C8" t="s">
        <v>215</v>
      </c>
      <c r="E8" s="101">
        <v>-437.54</v>
      </c>
    </row>
    <row r="9" spans="1:10" x14ac:dyDescent="0.25">
      <c r="A9">
        <v>9</v>
      </c>
      <c r="B9" s="100">
        <v>44952</v>
      </c>
      <c r="C9" t="s">
        <v>211</v>
      </c>
      <c r="D9" t="s">
        <v>338</v>
      </c>
      <c r="E9" s="101">
        <v>-440</v>
      </c>
    </row>
    <row r="10" spans="1:10" x14ac:dyDescent="0.25">
      <c r="A10">
        <v>21</v>
      </c>
      <c r="B10" s="100">
        <v>44944</v>
      </c>
      <c r="C10" t="s">
        <v>211</v>
      </c>
      <c r="D10" t="s">
        <v>269</v>
      </c>
      <c r="E10" s="101">
        <v>-600</v>
      </c>
    </row>
    <row r="11" spans="1:10" x14ac:dyDescent="0.25">
      <c r="A11">
        <v>28</v>
      </c>
      <c r="B11" s="100">
        <v>44942</v>
      </c>
      <c r="C11" t="s">
        <v>211</v>
      </c>
      <c r="D11" t="s">
        <v>354</v>
      </c>
      <c r="E11" s="101">
        <v>-600</v>
      </c>
    </row>
    <row r="12" spans="1:10" x14ac:dyDescent="0.25">
      <c r="A12">
        <v>20</v>
      </c>
      <c r="B12" s="100">
        <v>44945</v>
      </c>
      <c r="C12" t="s">
        <v>211</v>
      </c>
      <c r="D12" t="s">
        <v>219</v>
      </c>
      <c r="E12" s="101">
        <v>-623.32000000000005</v>
      </c>
    </row>
    <row r="13" spans="1:10" x14ac:dyDescent="0.25">
      <c r="A13">
        <v>41</v>
      </c>
      <c r="B13" s="100">
        <v>44936</v>
      </c>
      <c r="C13" t="s">
        <v>211</v>
      </c>
      <c r="D13" t="s">
        <v>339</v>
      </c>
      <c r="E13" s="101">
        <v>-670</v>
      </c>
    </row>
    <row r="14" spans="1:10" x14ac:dyDescent="0.25">
      <c r="A14">
        <v>50</v>
      </c>
      <c r="B14" s="100">
        <v>44932</v>
      </c>
      <c r="C14" t="s">
        <v>211</v>
      </c>
      <c r="D14" t="s">
        <v>343</v>
      </c>
      <c r="E14" s="101">
        <v>-718.16</v>
      </c>
    </row>
    <row r="15" spans="1:10" x14ac:dyDescent="0.25">
      <c r="A15">
        <v>10</v>
      </c>
      <c r="B15" s="100">
        <v>44952</v>
      </c>
      <c r="C15" t="s">
        <v>211</v>
      </c>
      <c r="D15" t="s">
        <v>332</v>
      </c>
      <c r="E15" s="101">
        <v>-750</v>
      </c>
    </row>
    <row r="16" spans="1:10" x14ac:dyDescent="0.25">
      <c r="A16">
        <v>47</v>
      </c>
      <c r="B16" s="100">
        <v>44935</v>
      </c>
      <c r="C16" t="s">
        <v>211</v>
      </c>
      <c r="D16" t="s">
        <v>342</v>
      </c>
      <c r="E16" s="101">
        <v>-760</v>
      </c>
    </row>
    <row r="17" spans="1:5" x14ac:dyDescent="0.25">
      <c r="A17">
        <v>33</v>
      </c>
      <c r="B17" s="100">
        <v>44939</v>
      </c>
      <c r="C17" t="s">
        <v>211</v>
      </c>
      <c r="D17" t="s">
        <v>334</v>
      </c>
      <c r="E17" s="101">
        <v>-890</v>
      </c>
    </row>
    <row r="18" spans="1:5" x14ac:dyDescent="0.25">
      <c r="A18">
        <v>2</v>
      </c>
      <c r="B18" s="100">
        <v>44956</v>
      </c>
      <c r="C18" t="s">
        <v>211</v>
      </c>
      <c r="D18" t="s">
        <v>332</v>
      </c>
      <c r="E18" s="101">
        <v>-1000</v>
      </c>
    </row>
    <row r="19" spans="1:5" x14ac:dyDescent="0.25">
      <c r="A19">
        <v>14</v>
      </c>
      <c r="B19" s="100">
        <v>44950</v>
      </c>
      <c r="C19" t="s">
        <v>211</v>
      </c>
      <c r="D19" t="s">
        <v>353</v>
      </c>
      <c r="E19" s="101">
        <v>-1000</v>
      </c>
    </row>
    <row r="20" spans="1:5" x14ac:dyDescent="0.25">
      <c r="A20">
        <v>18</v>
      </c>
      <c r="B20" s="100">
        <v>44949</v>
      </c>
      <c r="C20" t="s">
        <v>211</v>
      </c>
      <c r="D20" t="s">
        <v>331</v>
      </c>
      <c r="E20" s="101">
        <v>-1029</v>
      </c>
    </row>
    <row r="21" spans="1:5" x14ac:dyDescent="0.25">
      <c r="A21">
        <v>6</v>
      </c>
      <c r="B21" s="100">
        <v>44953</v>
      </c>
      <c r="C21" t="s">
        <v>211</v>
      </c>
      <c r="D21" t="s">
        <v>332</v>
      </c>
      <c r="E21" s="101">
        <v>-1040</v>
      </c>
    </row>
    <row r="22" spans="1:5" x14ac:dyDescent="0.25">
      <c r="A22">
        <v>27</v>
      </c>
      <c r="B22" s="100">
        <v>44942</v>
      </c>
      <c r="C22" t="s">
        <v>211</v>
      </c>
      <c r="D22" t="s">
        <v>332</v>
      </c>
      <c r="E22" s="101">
        <v>-1120</v>
      </c>
    </row>
    <row r="23" spans="1:5" x14ac:dyDescent="0.25">
      <c r="A23">
        <v>13</v>
      </c>
      <c r="B23" s="100">
        <v>44951</v>
      </c>
      <c r="C23" t="s">
        <v>211</v>
      </c>
      <c r="D23" t="s">
        <v>349</v>
      </c>
      <c r="E23" s="101">
        <v>-1150</v>
      </c>
    </row>
    <row r="24" spans="1:5" x14ac:dyDescent="0.25">
      <c r="A24">
        <v>19</v>
      </c>
      <c r="B24" s="100">
        <v>44945</v>
      </c>
      <c r="C24" t="s">
        <v>211</v>
      </c>
      <c r="D24" t="s">
        <v>356</v>
      </c>
      <c r="E24" s="101">
        <v>-1180</v>
      </c>
    </row>
    <row r="25" spans="1:5" x14ac:dyDescent="0.25">
      <c r="A25">
        <v>39</v>
      </c>
      <c r="B25" s="100">
        <v>44936</v>
      </c>
      <c r="C25" t="s">
        <v>211</v>
      </c>
      <c r="D25" t="s">
        <v>331</v>
      </c>
      <c r="E25" s="101">
        <v>-1332</v>
      </c>
    </row>
    <row r="26" spans="1:5" x14ac:dyDescent="0.25">
      <c r="A26">
        <v>32</v>
      </c>
      <c r="B26" s="100">
        <v>44939</v>
      </c>
      <c r="C26" t="s">
        <v>211</v>
      </c>
      <c r="D26" t="s">
        <v>331</v>
      </c>
      <c r="E26" s="101">
        <v>-1333</v>
      </c>
    </row>
    <row r="27" spans="1:5" x14ac:dyDescent="0.25">
      <c r="A27">
        <v>63</v>
      </c>
      <c r="B27" s="100">
        <v>44928</v>
      </c>
      <c r="C27" t="s">
        <v>211</v>
      </c>
      <c r="D27" t="s">
        <v>352</v>
      </c>
      <c r="E27" s="101">
        <v>-1360.92</v>
      </c>
    </row>
    <row r="28" spans="1:5" x14ac:dyDescent="0.25">
      <c r="A28">
        <v>48</v>
      </c>
      <c r="B28" s="100">
        <v>44935</v>
      </c>
      <c r="C28" t="s">
        <v>211</v>
      </c>
      <c r="D28" t="s">
        <v>331</v>
      </c>
      <c r="E28" s="101">
        <v>-1380</v>
      </c>
    </row>
    <row r="29" spans="1:5" x14ac:dyDescent="0.25">
      <c r="A29">
        <v>35</v>
      </c>
      <c r="B29" s="100">
        <v>44937</v>
      </c>
      <c r="C29" t="s">
        <v>211</v>
      </c>
      <c r="D29" t="s">
        <v>332</v>
      </c>
      <c r="E29" s="101">
        <v>-1440</v>
      </c>
    </row>
    <row r="30" spans="1:5" x14ac:dyDescent="0.25">
      <c r="A30">
        <v>44</v>
      </c>
      <c r="B30" s="100">
        <v>44935</v>
      </c>
      <c r="C30" t="s">
        <v>211</v>
      </c>
      <c r="D30" t="s">
        <v>340</v>
      </c>
      <c r="E30" s="101">
        <v>-1700</v>
      </c>
    </row>
    <row r="31" spans="1:5" x14ac:dyDescent="0.25">
      <c r="A31">
        <v>11</v>
      </c>
      <c r="B31" s="100">
        <v>44952</v>
      </c>
      <c r="C31" t="s">
        <v>211</v>
      </c>
      <c r="D31" t="s">
        <v>331</v>
      </c>
      <c r="E31" s="101">
        <v>-1720</v>
      </c>
    </row>
    <row r="32" spans="1:5" x14ac:dyDescent="0.25">
      <c r="A32">
        <v>31</v>
      </c>
      <c r="B32" s="100">
        <v>44939</v>
      </c>
      <c r="C32" t="s">
        <v>211</v>
      </c>
      <c r="D32" t="s">
        <v>332</v>
      </c>
      <c r="E32" s="101">
        <v>-1780</v>
      </c>
    </row>
    <row r="33" spans="1:5" x14ac:dyDescent="0.25">
      <c r="A33">
        <v>29</v>
      </c>
      <c r="B33" s="100">
        <v>44942</v>
      </c>
      <c r="C33" t="s">
        <v>211</v>
      </c>
      <c r="D33" t="s">
        <v>348</v>
      </c>
      <c r="E33" s="101">
        <v>-1790</v>
      </c>
    </row>
    <row r="34" spans="1:5" x14ac:dyDescent="0.25">
      <c r="A34">
        <v>22</v>
      </c>
      <c r="B34" s="100">
        <v>44944</v>
      </c>
      <c r="C34" t="s">
        <v>211</v>
      </c>
      <c r="D34" t="s">
        <v>280</v>
      </c>
      <c r="E34" s="101">
        <v>-1828.25</v>
      </c>
    </row>
    <row r="35" spans="1:5" x14ac:dyDescent="0.25">
      <c r="A35">
        <v>54</v>
      </c>
      <c r="B35" s="100">
        <v>44930</v>
      </c>
      <c r="C35" t="s">
        <v>211</v>
      </c>
      <c r="D35" t="s">
        <v>346</v>
      </c>
      <c r="E35" s="101">
        <v>-1850</v>
      </c>
    </row>
    <row r="36" spans="1:5" x14ac:dyDescent="0.25">
      <c r="A36">
        <v>34</v>
      </c>
      <c r="B36" s="100">
        <v>44938</v>
      </c>
      <c r="C36" t="s">
        <v>211</v>
      </c>
      <c r="D36" t="s">
        <v>335</v>
      </c>
      <c r="E36" s="101">
        <v>-1930</v>
      </c>
    </row>
    <row r="37" spans="1:5" x14ac:dyDescent="0.25">
      <c r="A37">
        <v>52</v>
      </c>
      <c r="B37" s="100">
        <v>44931</v>
      </c>
      <c r="C37" t="s">
        <v>211</v>
      </c>
      <c r="D37" t="s">
        <v>345</v>
      </c>
      <c r="E37" s="101">
        <v>-2000</v>
      </c>
    </row>
    <row r="38" spans="1:5" x14ac:dyDescent="0.25">
      <c r="A38">
        <v>0</v>
      </c>
      <c r="B38" s="100">
        <v>44957</v>
      </c>
      <c r="C38" t="s">
        <v>214</v>
      </c>
      <c r="E38" s="101">
        <v>-2083.5300000000002</v>
      </c>
    </row>
    <row r="39" spans="1:5" x14ac:dyDescent="0.25">
      <c r="A39">
        <v>17</v>
      </c>
      <c r="B39" s="100">
        <v>44949</v>
      </c>
      <c r="C39" t="s">
        <v>211</v>
      </c>
      <c r="D39" t="s">
        <v>355</v>
      </c>
      <c r="E39" s="101">
        <v>-2200</v>
      </c>
    </row>
    <row r="40" spans="1:5" x14ac:dyDescent="0.25">
      <c r="A40">
        <v>40</v>
      </c>
      <c r="B40" s="100">
        <v>44936</v>
      </c>
      <c r="C40" t="s">
        <v>211</v>
      </c>
      <c r="D40" t="s">
        <v>338</v>
      </c>
      <c r="E40" s="101">
        <v>-2580</v>
      </c>
    </row>
    <row r="41" spans="1:5" x14ac:dyDescent="0.25">
      <c r="A41">
        <v>12</v>
      </c>
      <c r="B41" s="100">
        <v>44952</v>
      </c>
      <c r="C41" t="s">
        <v>217</v>
      </c>
      <c r="D41" t="s">
        <v>364</v>
      </c>
      <c r="E41" s="101">
        <v>-3000</v>
      </c>
    </row>
    <row r="42" spans="1:5" x14ac:dyDescent="0.25">
      <c r="A42">
        <v>3</v>
      </c>
      <c r="B42" s="100">
        <v>44956</v>
      </c>
      <c r="C42" t="s">
        <v>211</v>
      </c>
      <c r="D42" t="s">
        <v>350</v>
      </c>
      <c r="E42" s="101">
        <v>-3110</v>
      </c>
    </row>
    <row r="43" spans="1:5" x14ac:dyDescent="0.25">
      <c r="A43">
        <v>5</v>
      </c>
      <c r="B43" s="100">
        <v>44953</v>
      </c>
      <c r="C43" t="s">
        <v>211</v>
      </c>
      <c r="D43" t="s">
        <v>351</v>
      </c>
      <c r="E43" s="101">
        <v>-3160</v>
      </c>
    </row>
    <row r="44" spans="1:5" x14ac:dyDescent="0.25">
      <c r="A44">
        <v>45</v>
      </c>
      <c r="B44" s="100">
        <v>44935</v>
      </c>
      <c r="C44" t="s">
        <v>211</v>
      </c>
      <c r="D44" t="s">
        <v>341</v>
      </c>
      <c r="E44" s="101">
        <v>-3990</v>
      </c>
    </row>
    <row r="45" spans="1:5" x14ac:dyDescent="0.25">
      <c r="A45">
        <v>24</v>
      </c>
      <c r="B45" s="100">
        <v>44943</v>
      </c>
      <c r="C45" t="s">
        <v>211</v>
      </c>
      <c r="D45" t="s">
        <v>357</v>
      </c>
      <c r="E45" s="101">
        <v>-4200</v>
      </c>
    </row>
    <row r="46" spans="1:5" x14ac:dyDescent="0.25">
      <c r="A46">
        <v>55</v>
      </c>
      <c r="B46" s="100">
        <v>44930</v>
      </c>
      <c r="C46" t="s">
        <v>211</v>
      </c>
      <c r="D46" t="s">
        <v>347</v>
      </c>
      <c r="E46" s="101">
        <v>-5738.14</v>
      </c>
    </row>
    <row r="47" spans="1:5" x14ac:dyDescent="0.25">
      <c r="A47">
        <v>30</v>
      </c>
      <c r="B47" s="100">
        <v>44942</v>
      </c>
      <c r="C47" t="s">
        <v>211</v>
      </c>
      <c r="D47" t="s">
        <v>331</v>
      </c>
      <c r="E47" s="101">
        <v>-5839</v>
      </c>
    </row>
    <row r="48" spans="1:5" x14ac:dyDescent="0.25">
      <c r="A48">
        <v>7</v>
      </c>
      <c r="B48" s="100">
        <v>44953</v>
      </c>
      <c r="C48" t="s">
        <v>217</v>
      </c>
      <c r="D48" t="s">
        <v>365</v>
      </c>
      <c r="E48" s="101">
        <v>-6000</v>
      </c>
    </row>
    <row r="49" spans="1:10" x14ac:dyDescent="0.25">
      <c r="A49">
        <v>42</v>
      </c>
      <c r="B49" s="100">
        <v>44936</v>
      </c>
      <c r="C49" t="s">
        <v>217</v>
      </c>
      <c r="D49" t="s">
        <v>365</v>
      </c>
      <c r="E49" s="101">
        <v>-6000</v>
      </c>
    </row>
    <row r="50" spans="1:10" x14ac:dyDescent="0.25">
      <c r="A50">
        <v>60</v>
      </c>
      <c r="B50" s="100">
        <v>44929</v>
      </c>
      <c r="C50" t="s">
        <v>211</v>
      </c>
      <c r="D50" t="s">
        <v>347</v>
      </c>
      <c r="E50" s="101">
        <v>-6267.17</v>
      </c>
    </row>
    <row r="51" spans="1:10" x14ac:dyDescent="0.25">
      <c r="A51">
        <v>57</v>
      </c>
      <c r="B51" s="100">
        <v>44929</v>
      </c>
      <c r="C51" t="s">
        <v>329</v>
      </c>
      <c r="D51" t="s">
        <v>330</v>
      </c>
      <c r="E51" s="101">
        <v>-15007</v>
      </c>
    </row>
    <row r="52" spans="1:10" x14ac:dyDescent="0.25">
      <c r="A52">
        <v>58</v>
      </c>
      <c r="B52" s="100">
        <v>44929</v>
      </c>
      <c r="C52" t="s">
        <v>211</v>
      </c>
      <c r="D52" t="s">
        <v>219</v>
      </c>
      <c r="E52" s="101">
        <v>-15428.1</v>
      </c>
    </row>
    <row r="53" spans="1:10" x14ac:dyDescent="0.25">
      <c r="A53">
        <v>46</v>
      </c>
      <c r="B53" s="100">
        <v>44935</v>
      </c>
      <c r="C53" t="s">
        <v>211</v>
      </c>
      <c r="D53" t="s">
        <v>341</v>
      </c>
      <c r="E53" s="101">
        <v>-20500</v>
      </c>
    </row>
    <row r="54" spans="1:10" x14ac:dyDescent="0.25">
      <c r="A54">
        <v>25</v>
      </c>
      <c r="B54" s="100">
        <v>44943</v>
      </c>
      <c r="C54" t="s">
        <v>211</v>
      </c>
      <c r="D54" t="s">
        <v>288</v>
      </c>
      <c r="E54" s="101">
        <v>-42877.3</v>
      </c>
    </row>
    <row r="55" spans="1:10" x14ac:dyDescent="0.25">
      <c r="A55">
        <v>62</v>
      </c>
      <c r="B55" s="100">
        <v>44928</v>
      </c>
      <c r="C55" t="s">
        <v>224</v>
      </c>
      <c r="D55" t="s">
        <v>225</v>
      </c>
      <c r="F55" s="101">
        <v>-70193.279999999999</v>
      </c>
    </row>
    <row r="56" spans="1:10" x14ac:dyDescent="0.25">
      <c r="A56">
        <v>56</v>
      </c>
      <c r="B56" s="100">
        <v>44930</v>
      </c>
      <c r="C56" t="s">
        <v>222</v>
      </c>
      <c r="D56" t="s">
        <v>223</v>
      </c>
      <c r="F56" s="101">
        <v>-119932.09</v>
      </c>
    </row>
    <row r="57" spans="1:10" x14ac:dyDescent="0.25">
      <c r="A57">
        <v>23</v>
      </c>
      <c r="B57" s="100">
        <v>44944</v>
      </c>
      <c r="C57" t="s">
        <v>229</v>
      </c>
      <c r="D57" t="s">
        <v>230</v>
      </c>
      <c r="I57" s="101">
        <v>-10000</v>
      </c>
    </row>
    <row r="58" spans="1:10" x14ac:dyDescent="0.25">
      <c r="A58" s="106"/>
      <c r="B58" s="105">
        <v>44930</v>
      </c>
      <c r="C58" s="106" t="s">
        <v>282</v>
      </c>
      <c r="D58" s="106"/>
      <c r="E58" s="102"/>
      <c r="F58" s="102"/>
      <c r="G58" s="102">
        <v>-14022</v>
      </c>
    </row>
    <row r="59" spans="1:10" x14ac:dyDescent="0.25">
      <c r="A59" s="106"/>
      <c r="B59" s="105">
        <v>44930</v>
      </c>
      <c r="C59" s="106" t="s">
        <v>253</v>
      </c>
      <c r="D59" s="106"/>
      <c r="E59" s="102"/>
      <c r="F59" s="102">
        <v>14022</v>
      </c>
    </row>
    <row r="60" spans="1:10" x14ac:dyDescent="0.25">
      <c r="E60" s="101">
        <f>SUBTOTAL(109,Ene_Debitos[Gastos])</f>
        <v>-185253.09999999998</v>
      </c>
      <c r="F60" s="101">
        <f>SUBTOTAL(109,Ene_Debitos[Tarjetas])</f>
        <v>-176103.37</v>
      </c>
      <c r="G60" s="101">
        <f>SUBTOTAL(109,Ene_Debitos[Impuestos])</f>
        <v>-14022</v>
      </c>
      <c r="H60" s="101">
        <f>SUBTOTAL(109,Ene_Debitos[Inversiones])</f>
        <v>0</v>
      </c>
      <c r="I60" s="101">
        <f>SUBTOTAL(109,Ene_Debitos[Extracciones])</f>
        <v>-10000</v>
      </c>
      <c r="J60">
        <f>SUBTOTAL(103,Ene_Debitos[Comentarios])</f>
        <v>0</v>
      </c>
    </row>
    <row r="62" spans="1:10" x14ac:dyDescent="0.25">
      <c r="C62" t="s">
        <v>209</v>
      </c>
      <c r="D62" t="s">
        <v>210</v>
      </c>
      <c r="E62" s="101" t="s">
        <v>233</v>
      </c>
      <c r="F62" s="101" t="s">
        <v>234</v>
      </c>
      <c r="G62" s="101" t="s">
        <v>235</v>
      </c>
      <c r="H62" s="101" t="s">
        <v>236</v>
      </c>
      <c r="I62" s="101" t="s">
        <v>237</v>
      </c>
      <c r="J62" t="s">
        <v>238</v>
      </c>
    </row>
    <row r="63" spans="1:10" x14ac:dyDescent="0.25">
      <c r="B63" s="100">
        <v>44957</v>
      </c>
      <c r="C63" t="s">
        <v>254</v>
      </c>
      <c r="E63" s="101">
        <v>-185253.1</v>
      </c>
      <c r="F63" s="101">
        <v>-176103.37</v>
      </c>
      <c r="G63" s="101">
        <v>-14022</v>
      </c>
      <c r="H63" s="101">
        <v>0</v>
      </c>
      <c r="I63" s="101">
        <v>-10000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8"/>
  <sheetViews>
    <sheetView workbookViewId="0">
      <selection activeCell="F19" sqref="F19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01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</row>
    <row r="2" spans="1:7" x14ac:dyDescent="0.25">
      <c r="A2">
        <v>53</v>
      </c>
      <c r="B2" s="100">
        <v>44931</v>
      </c>
      <c r="C2" t="s">
        <v>226</v>
      </c>
      <c r="D2" t="s">
        <v>227</v>
      </c>
      <c r="E2" s="101">
        <v>157806.07999999999</v>
      </c>
    </row>
    <row r="3" spans="1:7" x14ac:dyDescent="0.25">
      <c r="A3">
        <v>65</v>
      </c>
      <c r="B3" s="100">
        <v>44927</v>
      </c>
      <c r="C3" t="s">
        <v>231</v>
      </c>
      <c r="F3" s="101">
        <v>38.01</v>
      </c>
    </row>
    <row r="4" spans="1:7" x14ac:dyDescent="0.25">
      <c r="A4">
        <v>64</v>
      </c>
      <c r="B4" s="100">
        <v>44928</v>
      </c>
      <c r="C4" t="s">
        <v>362</v>
      </c>
      <c r="D4" t="s">
        <v>363</v>
      </c>
      <c r="F4" s="101">
        <v>1000</v>
      </c>
    </row>
    <row r="5" spans="1:7" x14ac:dyDescent="0.25">
      <c r="A5">
        <v>49</v>
      </c>
      <c r="B5" s="100">
        <v>44935</v>
      </c>
      <c r="C5" t="s">
        <v>221</v>
      </c>
      <c r="D5" t="s">
        <v>257</v>
      </c>
      <c r="F5" s="101">
        <v>1700</v>
      </c>
    </row>
    <row r="6" spans="1:7" x14ac:dyDescent="0.25">
      <c r="A6">
        <v>61</v>
      </c>
      <c r="B6" s="100">
        <v>44929</v>
      </c>
      <c r="C6" t="s">
        <v>221</v>
      </c>
      <c r="D6" t="s">
        <v>257</v>
      </c>
      <c r="F6" s="101">
        <v>2500</v>
      </c>
    </row>
    <row r="7" spans="1:7" x14ac:dyDescent="0.25">
      <c r="A7">
        <v>43</v>
      </c>
      <c r="B7" s="100">
        <v>44935</v>
      </c>
      <c r="C7" t="s">
        <v>327</v>
      </c>
      <c r="D7" t="s">
        <v>328</v>
      </c>
      <c r="F7" s="101">
        <v>20500</v>
      </c>
    </row>
    <row r="8" spans="1:7" x14ac:dyDescent="0.25">
      <c r="A8">
        <v>15</v>
      </c>
      <c r="B8" s="100">
        <v>44950</v>
      </c>
      <c r="C8" t="s">
        <v>221</v>
      </c>
      <c r="D8" t="s">
        <v>359</v>
      </c>
      <c r="F8" s="101">
        <v>23000</v>
      </c>
    </row>
    <row r="9" spans="1:7" x14ac:dyDescent="0.25">
      <c r="A9">
        <v>26</v>
      </c>
      <c r="B9" s="100">
        <v>44943</v>
      </c>
      <c r="C9" t="s">
        <v>360</v>
      </c>
      <c r="D9" t="s">
        <v>361</v>
      </c>
      <c r="F9" s="101">
        <v>47077</v>
      </c>
    </row>
    <row r="10" spans="1:7" x14ac:dyDescent="0.25">
      <c r="A10">
        <v>4</v>
      </c>
      <c r="B10" s="100">
        <v>44956</v>
      </c>
      <c r="C10" t="s">
        <v>221</v>
      </c>
      <c r="D10" t="s">
        <v>358</v>
      </c>
      <c r="F10" s="101">
        <v>80000</v>
      </c>
    </row>
    <row r="11" spans="1:7" x14ac:dyDescent="0.25">
      <c r="A11">
        <v>38</v>
      </c>
      <c r="B11" s="100">
        <v>44937</v>
      </c>
      <c r="C11" t="s">
        <v>243</v>
      </c>
      <c r="G11" s="101">
        <f>371575.34-350000</f>
        <v>21575.340000000026</v>
      </c>
    </row>
    <row r="12" spans="1:7" x14ac:dyDescent="0.25">
      <c r="E12" s="101">
        <f>SUBTOTAL(109,Ene_Creditos[Haberes])</f>
        <v>157806.07999999999</v>
      </c>
      <c r="F12" s="101">
        <f>SUBTOTAL(109,Ene_Creditos[Extras])</f>
        <v>175815.01</v>
      </c>
      <c r="G12" s="101">
        <f>SUBTOTAL(109,Ene_Creditos[Inversiones])</f>
        <v>21575.340000000026</v>
      </c>
    </row>
    <row r="14" spans="1:7" x14ac:dyDescent="0.25">
      <c r="C14" t="s">
        <v>209</v>
      </c>
      <c r="D14" t="s">
        <v>210</v>
      </c>
      <c r="E14" s="101" t="s">
        <v>239</v>
      </c>
      <c r="F14" s="101" t="s">
        <v>240</v>
      </c>
      <c r="G14" s="101" t="s">
        <v>236</v>
      </c>
    </row>
    <row r="15" spans="1:7" x14ac:dyDescent="0.25">
      <c r="B15" s="100">
        <v>44957</v>
      </c>
      <c r="C15" t="s">
        <v>254</v>
      </c>
      <c r="E15" s="101">
        <v>157806.07999999999</v>
      </c>
      <c r="F15" s="101">
        <v>175815.01</v>
      </c>
      <c r="G15" s="101">
        <v>21575.340000000026</v>
      </c>
    </row>
    <row r="17" spans="6:6" x14ac:dyDescent="0.25">
      <c r="F17" s="101">
        <f>F15+G15</f>
        <v>197390.35000000003</v>
      </c>
    </row>
    <row r="18" spans="6:6" x14ac:dyDescent="0.25">
      <c r="F18" s="101">
        <f>E15+F17</f>
        <v>355196.43000000005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6"/>
  <sheetViews>
    <sheetView workbookViewId="0">
      <selection activeCell="D5" sqref="D5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44927</v>
      </c>
      <c r="B2" t="s">
        <v>285</v>
      </c>
      <c r="D2" s="101">
        <v>-13290</v>
      </c>
      <c r="E2" s="101">
        <v>0</v>
      </c>
      <c r="F2" s="101">
        <v>0</v>
      </c>
      <c r="G2" s="101">
        <v>0</v>
      </c>
      <c r="H2" s="101">
        <v>0</v>
      </c>
    </row>
    <row r="3" spans="1:9" x14ac:dyDescent="0.25">
      <c r="D3" s="101">
        <f>SUBTOTAL(109,Ene_Efectivo[Gastos])</f>
        <v>-13290</v>
      </c>
      <c r="E3" s="101">
        <f>SUBTOTAL(109,Ene_Efectivo[Tarjetas])</f>
        <v>0</v>
      </c>
      <c r="F3" s="101">
        <f>SUBTOTAL(109,Ene_Efectivo[Impuestos])</f>
        <v>0</v>
      </c>
      <c r="G3" s="101">
        <f>SUBTOTAL(109,Ene_Efectivo[Inversiones])</f>
        <v>0</v>
      </c>
      <c r="H3" s="101">
        <f>SUBTOTAL(109,Ene_Efectivo[Extras])</f>
        <v>0</v>
      </c>
      <c r="I3">
        <f>SUBTOTAL(103,Ene_Efectivo[Comentarios])</f>
        <v>0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44957</v>
      </c>
      <c r="B6" t="s">
        <v>254</v>
      </c>
      <c r="D6" s="101">
        <v>-13290</v>
      </c>
      <c r="E6" s="101">
        <v>0</v>
      </c>
      <c r="F6" s="101">
        <v>0</v>
      </c>
      <c r="G6" s="101">
        <v>0</v>
      </c>
      <c r="H6" s="10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3CB5-5E36-4E69-9E5B-6F6137A1BBEA}">
  <dimension ref="A1:F75"/>
  <sheetViews>
    <sheetView topLeftCell="A37" workbookViewId="0">
      <selection activeCell="C58" sqref="C5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62</v>
      </c>
      <c r="B2" s="100">
        <v>44960</v>
      </c>
      <c r="C2" t="s">
        <v>226</v>
      </c>
      <c r="D2" t="s">
        <v>227</v>
      </c>
      <c r="E2" s="101">
        <v>82673</v>
      </c>
      <c r="F2">
        <v>0</v>
      </c>
    </row>
    <row r="3" spans="1:6" x14ac:dyDescent="0.25">
      <c r="A3">
        <v>15</v>
      </c>
      <c r="B3" s="100">
        <v>44981</v>
      </c>
      <c r="C3" t="s">
        <v>226</v>
      </c>
      <c r="D3" t="s">
        <v>227</v>
      </c>
      <c r="E3" s="101">
        <v>14261</v>
      </c>
      <c r="F3">
        <v>0</v>
      </c>
    </row>
    <row r="4" spans="1:6" x14ac:dyDescent="0.25">
      <c r="A4">
        <v>25</v>
      </c>
      <c r="B4" s="100">
        <v>44974</v>
      </c>
      <c r="C4" t="s">
        <v>226</v>
      </c>
      <c r="D4" t="s">
        <v>227</v>
      </c>
      <c r="E4" s="101">
        <v>22818</v>
      </c>
      <c r="F4">
        <v>0</v>
      </c>
    </row>
    <row r="5" spans="1:6" x14ac:dyDescent="0.25">
      <c r="A5">
        <v>58</v>
      </c>
      <c r="B5" s="100">
        <v>44963</v>
      </c>
      <c r="C5" t="s">
        <v>226</v>
      </c>
      <c r="D5" t="s">
        <v>227</v>
      </c>
      <c r="E5" s="101">
        <v>338576.37</v>
      </c>
      <c r="F5">
        <v>0</v>
      </c>
    </row>
    <row r="6" spans="1:6" x14ac:dyDescent="0.25">
      <c r="A6">
        <v>2</v>
      </c>
      <c r="B6" s="100">
        <v>44984</v>
      </c>
      <c r="C6" t="s">
        <v>327</v>
      </c>
      <c r="D6" t="s">
        <v>281</v>
      </c>
      <c r="E6" s="101">
        <v>2000</v>
      </c>
      <c r="F6">
        <v>524639</v>
      </c>
    </row>
    <row r="7" spans="1:6" x14ac:dyDescent="0.25">
      <c r="A7">
        <v>56</v>
      </c>
      <c r="B7" s="100">
        <v>44963</v>
      </c>
      <c r="C7" t="s">
        <v>211</v>
      </c>
      <c r="D7" t="s">
        <v>368</v>
      </c>
      <c r="E7" s="101">
        <v>-1118</v>
      </c>
      <c r="F7">
        <v>129887</v>
      </c>
    </row>
    <row r="8" spans="1:6" x14ac:dyDescent="0.25">
      <c r="A8">
        <v>28</v>
      </c>
      <c r="B8" s="100">
        <v>44972</v>
      </c>
      <c r="C8" t="s">
        <v>211</v>
      </c>
      <c r="D8" t="s">
        <v>330</v>
      </c>
      <c r="E8" s="101">
        <v>-217.99</v>
      </c>
      <c r="F8">
        <v>499470</v>
      </c>
    </row>
    <row r="9" spans="1:6" x14ac:dyDescent="0.25">
      <c r="A9">
        <v>29</v>
      </c>
      <c r="B9" s="100">
        <v>44972</v>
      </c>
      <c r="C9" t="s">
        <v>211</v>
      </c>
      <c r="D9" t="s">
        <v>369</v>
      </c>
      <c r="E9" s="101">
        <v>-1500</v>
      </c>
      <c r="F9">
        <v>995807</v>
      </c>
    </row>
    <row r="10" spans="1:6" x14ac:dyDescent="0.25">
      <c r="A10">
        <v>32</v>
      </c>
      <c r="B10" s="100">
        <v>44971</v>
      </c>
      <c r="C10" t="s">
        <v>211</v>
      </c>
      <c r="D10" t="s">
        <v>330</v>
      </c>
      <c r="E10" s="101">
        <v>-747.74</v>
      </c>
      <c r="F10">
        <v>177935</v>
      </c>
    </row>
    <row r="11" spans="1:6" x14ac:dyDescent="0.25">
      <c r="A11">
        <v>35</v>
      </c>
      <c r="B11" s="100">
        <v>44970</v>
      </c>
      <c r="C11" t="s">
        <v>211</v>
      </c>
      <c r="D11" t="s">
        <v>347</v>
      </c>
      <c r="E11" s="101">
        <v>-6074.19</v>
      </c>
      <c r="F11">
        <v>915917</v>
      </c>
    </row>
    <row r="12" spans="1:6" x14ac:dyDescent="0.25">
      <c r="A12">
        <v>37</v>
      </c>
      <c r="B12" s="100">
        <v>44970</v>
      </c>
      <c r="C12" t="s">
        <v>211</v>
      </c>
      <c r="D12" t="s">
        <v>330</v>
      </c>
      <c r="E12" s="101">
        <v>-536.30999999999995</v>
      </c>
      <c r="F12">
        <v>655736</v>
      </c>
    </row>
    <row r="13" spans="1:6" x14ac:dyDescent="0.25">
      <c r="A13">
        <v>38</v>
      </c>
      <c r="B13" s="100">
        <v>44970</v>
      </c>
      <c r="C13" t="s">
        <v>211</v>
      </c>
      <c r="D13" t="s">
        <v>370</v>
      </c>
      <c r="E13" s="101">
        <v>-250</v>
      </c>
      <c r="F13">
        <v>44723</v>
      </c>
    </row>
    <row r="14" spans="1:6" x14ac:dyDescent="0.25">
      <c r="A14">
        <v>67</v>
      </c>
      <c r="B14" s="100">
        <v>44958</v>
      </c>
      <c r="C14" t="s">
        <v>211</v>
      </c>
      <c r="D14" t="s">
        <v>216</v>
      </c>
      <c r="E14" s="101">
        <v>-2873.61</v>
      </c>
      <c r="F14">
        <v>156809</v>
      </c>
    </row>
    <row r="15" spans="1:6" x14ac:dyDescent="0.25">
      <c r="A15">
        <v>43</v>
      </c>
      <c r="B15" s="100">
        <v>44967</v>
      </c>
      <c r="C15" t="s">
        <v>211</v>
      </c>
      <c r="D15" t="s">
        <v>213</v>
      </c>
      <c r="E15" s="101">
        <v>-1455</v>
      </c>
      <c r="F15">
        <v>54061</v>
      </c>
    </row>
    <row r="16" spans="1:6" x14ac:dyDescent="0.25">
      <c r="A16">
        <v>44</v>
      </c>
      <c r="B16" s="100">
        <v>44967</v>
      </c>
      <c r="C16" t="s">
        <v>211</v>
      </c>
      <c r="D16" t="s">
        <v>213</v>
      </c>
      <c r="E16" s="101">
        <v>-14.7</v>
      </c>
      <c r="F16">
        <v>54060</v>
      </c>
    </row>
    <row r="17" spans="1:6" x14ac:dyDescent="0.25">
      <c r="A17">
        <v>27</v>
      </c>
      <c r="B17" s="100">
        <v>44972</v>
      </c>
      <c r="C17" t="s">
        <v>211</v>
      </c>
      <c r="D17" t="s">
        <v>330</v>
      </c>
      <c r="E17" s="101">
        <v>-217.99</v>
      </c>
      <c r="F17">
        <v>538723</v>
      </c>
    </row>
    <row r="18" spans="1:6" x14ac:dyDescent="0.25">
      <c r="A18">
        <v>47</v>
      </c>
      <c r="B18" s="100">
        <v>44967</v>
      </c>
      <c r="C18" t="s">
        <v>211</v>
      </c>
      <c r="D18" t="s">
        <v>269</v>
      </c>
      <c r="E18" s="101">
        <v>-3330</v>
      </c>
      <c r="F18">
        <v>419174</v>
      </c>
    </row>
    <row r="19" spans="1:6" x14ac:dyDescent="0.25">
      <c r="A19">
        <v>49</v>
      </c>
      <c r="B19" s="100">
        <v>44966</v>
      </c>
      <c r="C19" t="s">
        <v>211</v>
      </c>
      <c r="D19" t="s">
        <v>347</v>
      </c>
      <c r="E19" s="101">
        <v>-2192.8000000000002</v>
      </c>
      <c r="F19">
        <v>487625</v>
      </c>
    </row>
    <row r="20" spans="1:6" x14ac:dyDescent="0.25">
      <c r="A20">
        <v>50</v>
      </c>
      <c r="B20" s="100">
        <v>44965</v>
      </c>
      <c r="C20" t="s">
        <v>211</v>
      </c>
      <c r="D20" t="s">
        <v>288</v>
      </c>
      <c r="E20" s="101">
        <v>-1976.94</v>
      </c>
      <c r="F20">
        <v>56527</v>
      </c>
    </row>
    <row r="21" spans="1:6" x14ac:dyDescent="0.25">
      <c r="A21">
        <v>51</v>
      </c>
      <c r="B21" s="100">
        <v>44965</v>
      </c>
      <c r="C21" t="s">
        <v>211</v>
      </c>
      <c r="D21" t="s">
        <v>347</v>
      </c>
      <c r="E21" s="101">
        <v>-26068.560000000001</v>
      </c>
      <c r="F21">
        <v>901973</v>
      </c>
    </row>
    <row r="22" spans="1:6" x14ac:dyDescent="0.25">
      <c r="A22">
        <v>66</v>
      </c>
      <c r="B22" s="100">
        <v>44958</v>
      </c>
      <c r="C22" t="s">
        <v>211</v>
      </c>
      <c r="D22" t="s">
        <v>228</v>
      </c>
      <c r="E22" s="101">
        <v>-3500</v>
      </c>
      <c r="F22">
        <v>835279</v>
      </c>
    </row>
    <row r="23" spans="1:6" x14ac:dyDescent="0.25">
      <c r="A23">
        <v>53</v>
      </c>
      <c r="B23" s="100">
        <v>44964</v>
      </c>
      <c r="C23" t="s">
        <v>211</v>
      </c>
      <c r="D23" t="s">
        <v>371</v>
      </c>
      <c r="E23" s="101">
        <v>-2000</v>
      </c>
      <c r="F23">
        <v>92762</v>
      </c>
    </row>
    <row r="24" spans="1:6" x14ac:dyDescent="0.25">
      <c r="A24">
        <v>54</v>
      </c>
      <c r="B24" s="100">
        <v>44964</v>
      </c>
      <c r="C24" t="s">
        <v>211</v>
      </c>
      <c r="D24" t="s">
        <v>339</v>
      </c>
      <c r="E24" s="101">
        <v>-1120</v>
      </c>
      <c r="F24">
        <v>869150</v>
      </c>
    </row>
    <row r="25" spans="1:6" x14ac:dyDescent="0.25">
      <c r="A25">
        <v>55</v>
      </c>
      <c r="B25" s="100">
        <v>44963</v>
      </c>
      <c r="C25" t="s">
        <v>211</v>
      </c>
      <c r="D25" t="s">
        <v>246</v>
      </c>
      <c r="E25" s="101">
        <v>-462.1</v>
      </c>
      <c r="F25">
        <v>407053</v>
      </c>
    </row>
    <row r="26" spans="1:6" x14ac:dyDescent="0.25">
      <c r="A26">
        <v>45</v>
      </c>
      <c r="B26" s="100">
        <v>44967</v>
      </c>
      <c r="C26" t="s">
        <v>211</v>
      </c>
      <c r="D26" t="s">
        <v>280</v>
      </c>
      <c r="E26" s="101">
        <v>-4328.25</v>
      </c>
      <c r="F26">
        <v>459376</v>
      </c>
    </row>
    <row r="27" spans="1:6" x14ac:dyDescent="0.25">
      <c r="A27">
        <v>46</v>
      </c>
      <c r="B27" s="100">
        <v>44967</v>
      </c>
      <c r="C27" t="s">
        <v>211</v>
      </c>
      <c r="D27" t="s">
        <v>242</v>
      </c>
      <c r="E27" s="101">
        <v>-250</v>
      </c>
      <c r="F27">
        <v>67144</v>
      </c>
    </row>
    <row r="28" spans="1:6" x14ac:dyDescent="0.25">
      <c r="A28">
        <v>36</v>
      </c>
      <c r="B28" s="100">
        <v>44970</v>
      </c>
      <c r="C28" t="s">
        <v>211</v>
      </c>
      <c r="D28" t="s">
        <v>372</v>
      </c>
      <c r="E28" s="101">
        <v>-1350</v>
      </c>
      <c r="F28">
        <v>17539</v>
      </c>
    </row>
    <row r="29" spans="1:6" x14ac:dyDescent="0.25">
      <c r="A29">
        <v>69</v>
      </c>
      <c r="B29" s="100">
        <v>44958</v>
      </c>
      <c r="C29" t="s">
        <v>211</v>
      </c>
      <c r="D29" t="s">
        <v>280</v>
      </c>
      <c r="E29" s="101">
        <v>-837.9</v>
      </c>
      <c r="F29">
        <v>645648</v>
      </c>
    </row>
    <row r="30" spans="1:6" x14ac:dyDescent="0.25">
      <c r="A30">
        <v>3</v>
      </c>
      <c r="B30" s="100">
        <v>44984</v>
      </c>
      <c r="C30" t="s">
        <v>211</v>
      </c>
      <c r="D30" t="s">
        <v>373</v>
      </c>
      <c r="E30" s="101">
        <v>-461.55</v>
      </c>
      <c r="F30">
        <v>494337</v>
      </c>
    </row>
    <row r="31" spans="1:6" x14ac:dyDescent="0.25">
      <c r="A31">
        <v>4</v>
      </c>
      <c r="B31" s="100">
        <v>44984</v>
      </c>
      <c r="C31" t="s">
        <v>211</v>
      </c>
      <c r="D31" t="s">
        <v>347</v>
      </c>
      <c r="E31" s="101">
        <v>-3876.79</v>
      </c>
      <c r="F31">
        <v>455845</v>
      </c>
    </row>
    <row r="32" spans="1:6" x14ac:dyDescent="0.25">
      <c r="A32">
        <v>5</v>
      </c>
      <c r="B32" s="100">
        <v>44984</v>
      </c>
      <c r="C32" t="s">
        <v>211</v>
      </c>
      <c r="D32" t="s">
        <v>246</v>
      </c>
      <c r="E32" s="101">
        <v>-2140.9699999999998</v>
      </c>
      <c r="F32">
        <v>301823</v>
      </c>
    </row>
    <row r="33" spans="1:6" x14ac:dyDescent="0.25">
      <c r="A33">
        <v>6</v>
      </c>
      <c r="B33" s="100">
        <v>44984</v>
      </c>
      <c r="C33" t="s">
        <v>211</v>
      </c>
      <c r="D33" t="s">
        <v>374</v>
      </c>
      <c r="E33" s="101">
        <v>-11050</v>
      </c>
      <c r="F33">
        <v>19380</v>
      </c>
    </row>
    <row r="34" spans="1:6" x14ac:dyDescent="0.25">
      <c r="A34">
        <v>7</v>
      </c>
      <c r="B34" s="100">
        <v>44984</v>
      </c>
      <c r="C34" t="s">
        <v>211</v>
      </c>
      <c r="D34" t="s">
        <v>288</v>
      </c>
      <c r="E34" s="101">
        <v>-9107.7999999999993</v>
      </c>
      <c r="F34">
        <v>56893</v>
      </c>
    </row>
    <row r="35" spans="1:6" x14ac:dyDescent="0.25">
      <c r="A35">
        <v>71</v>
      </c>
      <c r="B35" s="100">
        <v>44958</v>
      </c>
      <c r="C35" t="s">
        <v>211</v>
      </c>
      <c r="D35" t="s">
        <v>212</v>
      </c>
      <c r="E35" s="101">
        <v>-1100</v>
      </c>
      <c r="F35">
        <v>339283</v>
      </c>
    </row>
    <row r="36" spans="1:6" x14ac:dyDescent="0.25">
      <c r="A36">
        <v>10</v>
      </c>
      <c r="B36" s="100">
        <v>44981</v>
      </c>
      <c r="C36" t="s">
        <v>211</v>
      </c>
      <c r="D36" t="s">
        <v>269</v>
      </c>
      <c r="E36" s="101">
        <v>-1570</v>
      </c>
      <c r="F36">
        <v>498484</v>
      </c>
    </row>
    <row r="37" spans="1:6" x14ac:dyDescent="0.25">
      <c r="A37">
        <v>11</v>
      </c>
      <c r="B37" s="100">
        <v>44981</v>
      </c>
      <c r="C37" t="s">
        <v>211</v>
      </c>
      <c r="D37" t="s">
        <v>269</v>
      </c>
      <c r="E37" s="101">
        <v>-2000</v>
      </c>
      <c r="F37">
        <v>216788</v>
      </c>
    </row>
    <row r="38" spans="1:6" x14ac:dyDescent="0.25">
      <c r="A38">
        <v>12</v>
      </c>
      <c r="B38" s="100">
        <v>44981</v>
      </c>
      <c r="C38" t="s">
        <v>211</v>
      </c>
      <c r="D38" t="s">
        <v>283</v>
      </c>
      <c r="E38" s="101">
        <v>-900</v>
      </c>
      <c r="F38">
        <v>69073</v>
      </c>
    </row>
    <row r="39" spans="1:6" x14ac:dyDescent="0.25">
      <c r="A39">
        <v>13</v>
      </c>
      <c r="B39" s="100">
        <v>44981</v>
      </c>
      <c r="C39" t="s">
        <v>211</v>
      </c>
      <c r="D39" t="s">
        <v>283</v>
      </c>
      <c r="E39" s="101">
        <v>-6390</v>
      </c>
      <c r="F39">
        <v>69072</v>
      </c>
    </row>
    <row r="40" spans="1:6" x14ac:dyDescent="0.25">
      <c r="A40">
        <v>26</v>
      </c>
      <c r="B40" s="100">
        <v>44973</v>
      </c>
      <c r="C40" t="s">
        <v>211</v>
      </c>
      <c r="D40" t="s">
        <v>332</v>
      </c>
      <c r="E40" s="101">
        <v>-3675</v>
      </c>
      <c r="F40">
        <v>26610</v>
      </c>
    </row>
    <row r="41" spans="1:6" x14ac:dyDescent="0.25">
      <c r="A41">
        <v>16</v>
      </c>
      <c r="B41" s="100">
        <v>44980</v>
      </c>
      <c r="C41" t="s">
        <v>211</v>
      </c>
      <c r="D41" t="s">
        <v>330</v>
      </c>
      <c r="E41" s="101">
        <v>-2588</v>
      </c>
      <c r="F41">
        <v>517475</v>
      </c>
    </row>
    <row r="42" spans="1:6" x14ac:dyDescent="0.25">
      <c r="A42">
        <v>17</v>
      </c>
      <c r="B42" s="100">
        <v>44980</v>
      </c>
      <c r="C42" t="s">
        <v>211</v>
      </c>
      <c r="D42" t="s">
        <v>216</v>
      </c>
      <c r="E42" s="101">
        <v>-4174.29</v>
      </c>
      <c r="F42">
        <v>572383</v>
      </c>
    </row>
    <row r="43" spans="1:6" x14ac:dyDescent="0.25">
      <c r="A43">
        <v>68</v>
      </c>
      <c r="B43" s="100">
        <v>44958</v>
      </c>
      <c r="C43" t="s">
        <v>211</v>
      </c>
      <c r="D43" t="s">
        <v>346</v>
      </c>
      <c r="E43" s="101">
        <v>-1930</v>
      </c>
      <c r="F43">
        <v>58647</v>
      </c>
    </row>
    <row r="44" spans="1:6" x14ac:dyDescent="0.25">
      <c r="A44">
        <v>21</v>
      </c>
      <c r="B44" s="100">
        <v>44979</v>
      </c>
      <c r="C44" t="s">
        <v>211</v>
      </c>
      <c r="D44" t="s">
        <v>245</v>
      </c>
      <c r="E44" s="101">
        <v>-1152</v>
      </c>
      <c r="F44">
        <v>58312</v>
      </c>
    </row>
    <row r="45" spans="1:6" x14ac:dyDescent="0.25">
      <c r="A45">
        <v>18</v>
      </c>
      <c r="B45" s="100">
        <v>44979</v>
      </c>
      <c r="C45" t="s">
        <v>211</v>
      </c>
      <c r="D45" t="s">
        <v>375</v>
      </c>
      <c r="E45" s="101">
        <v>-883.7</v>
      </c>
      <c r="F45">
        <v>120262</v>
      </c>
    </row>
    <row r="46" spans="1:6" x14ac:dyDescent="0.25">
      <c r="A46">
        <v>19</v>
      </c>
      <c r="B46" s="100">
        <v>44979</v>
      </c>
      <c r="C46" t="s">
        <v>211</v>
      </c>
      <c r="D46" t="s">
        <v>376</v>
      </c>
      <c r="E46" s="101">
        <v>-1550</v>
      </c>
      <c r="F46">
        <v>399461</v>
      </c>
    </row>
    <row r="47" spans="1:6" x14ac:dyDescent="0.25">
      <c r="A47">
        <v>20</v>
      </c>
      <c r="B47" s="100">
        <v>44979</v>
      </c>
      <c r="C47" t="s">
        <v>211</v>
      </c>
      <c r="D47" t="s">
        <v>270</v>
      </c>
      <c r="E47" s="101">
        <v>-420</v>
      </c>
      <c r="F47">
        <v>50219</v>
      </c>
    </row>
    <row r="48" spans="1:6" x14ac:dyDescent="0.25">
      <c r="A48">
        <v>70</v>
      </c>
      <c r="B48" s="100">
        <v>44958</v>
      </c>
      <c r="C48" t="s">
        <v>211</v>
      </c>
      <c r="D48" t="s">
        <v>242</v>
      </c>
      <c r="E48" s="101">
        <v>-4610</v>
      </c>
      <c r="F48">
        <v>66722</v>
      </c>
    </row>
    <row r="49" spans="1:6" x14ac:dyDescent="0.25">
      <c r="A49">
        <v>22</v>
      </c>
      <c r="B49" s="100">
        <v>44979</v>
      </c>
      <c r="C49" t="s">
        <v>211</v>
      </c>
      <c r="D49" t="s">
        <v>372</v>
      </c>
      <c r="E49" s="101">
        <v>-800</v>
      </c>
      <c r="F49">
        <v>75975</v>
      </c>
    </row>
    <row r="50" spans="1:6" x14ac:dyDescent="0.25">
      <c r="A50">
        <v>57</v>
      </c>
      <c r="B50" s="100">
        <v>44963</v>
      </c>
      <c r="C50" t="s">
        <v>221</v>
      </c>
      <c r="D50" t="s">
        <v>377</v>
      </c>
      <c r="E50" s="101">
        <v>2000</v>
      </c>
      <c r="F50">
        <v>507303</v>
      </c>
    </row>
    <row r="51" spans="1:6" x14ac:dyDescent="0.25">
      <c r="A51">
        <v>33</v>
      </c>
      <c r="B51" s="100">
        <v>44971</v>
      </c>
      <c r="C51" t="s">
        <v>221</v>
      </c>
      <c r="D51" t="s">
        <v>257</v>
      </c>
      <c r="E51" s="101">
        <v>2798</v>
      </c>
      <c r="F51">
        <v>401330</v>
      </c>
    </row>
    <row r="52" spans="1:6" x14ac:dyDescent="0.25">
      <c r="A52">
        <v>8</v>
      </c>
      <c r="B52" s="100">
        <v>44984</v>
      </c>
      <c r="C52" t="s">
        <v>221</v>
      </c>
      <c r="D52" t="s">
        <v>257</v>
      </c>
      <c r="E52" s="101">
        <v>2000</v>
      </c>
      <c r="F52">
        <v>34722</v>
      </c>
    </row>
    <row r="53" spans="1:6" x14ac:dyDescent="0.25">
      <c r="A53">
        <v>61</v>
      </c>
      <c r="B53" s="100">
        <v>44960</v>
      </c>
      <c r="C53" t="s">
        <v>221</v>
      </c>
      <c r="D53" t="s">
        <v>257</v>
      </c>
      <c r="E53" s="101">
        <v>7000</v>
      </c>
      <c r="F53">
        <v>193965</v>
      </c>
    </row>
    <row r="54" spans="1:6" x14ac:dyDescent="0.25">
      <c r="A54">
        <v>59</v>
      </c>
      <c r="B54" s="100">
        <v>44963</v>
      </c>
      <c r="C54" t="s">
        <v>222</v>
      </c>
      <c r="D54" t="s">
        <v>223</v>
      </c>
      <c r="E54" s="101">
        <v>-281087.05</v>
      </c>
      <c r="F54">
        <v>230203</v>
      </c>
    </row>
    <row r="55" spans="1:6" x14ac:dyDescent="0.25">
      <c r="A55">
        <v>60</v>
      </c>
      <c r="B55" s="100">
        <v>44963</v>
      </c>
      <c r="C55" t="s">
        <v>258</v>
      </c>
      <c r="E55" s="101">
        <v>-500000</v>
      </c>
      <c r="F55">
        <v>5</v>
      </c>
    </row>
    <row r="56" spans="1:6" x14ac:dyDescent="0.25">
      <c r="A56">
        <v>14</v>
      </c>
      <c r="B56" s="100">
        <v>44981</v>
      </c>
      <c r="C56" t="s">
        <v>229</v>
      </c>
      <c r="D56" t="s">
        <v>230</v>
      </c>
      <c r="E56" s="101">
        <v>-13000</v>
      </c>
      <c r="F56">
        <v>1880</v>
      </c>
    </row>
    <row r="57" spans="1:6" x14ac:dyDescent="0.25">
      <c r="A57">
        <v>48</v>
      </c>
      <c r="B57" s="100">
        <v>44967</v>
      </c>
      <c r="C57" t="s">
        <v>229</v>
      </c>
      <c r="D57" t="s">
        <v>230</v>
      </c>
      <c r="E57" s="101">
        <v>-14000</v>
      </c>
      <c r="F57">
        <v>9835</v>
      </c>
    </row>
    <row r="58" spans="1:6" x14ac:dyDescent="0.25">
      <c r="A58">
        <v>72</v>
      </c>
      <c r="B58" s="100">
        <v>44958</v>
      </c>
      <c r="C58" t="s">
        <v>229</v>
      </c>
      <c r="D58" t="s">
        <v>230</v>
      </c>
      <c r="E58" s="101">
        <v>-14000</v>
      </c>
      <c r="F58">
        <v>7605</v>
      </c>
    </row>
    <row r="59" spans="1:6" x14ac:dyDescent="0.25">
      <c r="A59">
        <v>41</v>
      </c>
      <c r="B59" s="100">
        <v>44970</v>
      </c>
      <c r="C59" t="s">
        <v>378</v>
      </c>
      <c r="D59" t="s">
        <v>379</v>
      </c>
      <c r="E59" s="101">
        <v>-10000</v>
      </c>
      <c r="F59">
        <v>4526</v>
      </c>
    </row>
    <row r="60" spans="1:6" x14ac:dyDescent="0.25">
      <c r="A60">
        <v>34</v>
      </c>
      <c r="B60" s="100">
        <v>44971</v>
      </c>
      <c r="C60" t="s">
        <v>378</v>
      </c>
      <c r="D60" t="s">
        <v>380</v>
      </c>
      <c r="E60" s="101">
        <v>-15000</v>
      </c>
      <c r="F60">
        <v>9426</v>
      </c>
    </row>
    <row r="61" spans="1:6" x14ac:dyDescent="0.25">
      <c r="A61">
        <v>39</v>
      </c>
      <c r="B61" s="100">
        <v>44970</v>
      </c>
      <c r="C61" t="s">
        <v>378</v>
      </c>
      <c r="D61" t="s">
        <v>379</v>
      </c>
      <c r="E61" s="101">
        <v>-10000</v>
      </c>
      <c r="F61">
        <v>4528</v>
      </c>
    </row>
    <row r="62" spans="1:6" x14ac:dyDescent="0.25">
      <c r="A62">
        <v>30</v>
      </c>
      <c r="B62" s="100">
        <v>44972</v>
      </c>
      <c r="C62" t="s">
        <v>378</v>
      </c>
      <c r="D62" t="s">
        <v>381</v>
      </c>
      <c r="E62" s="101">
        <v>-10000</v>
      </c>
      <c r="F62">
        <v>384</v>
      </c>
    </row>
    <row r="63" spans="1:6" x14ac:dyDescent="0.25">
      <c r="A63">
        <v>40</v>
      </c>
      <c r="B63" s="100">
        <v>44970</v>
      </c>
      <c r="C63" t="s">
        <v>378</v>
      </c>
      <c r="D63" t="s">
        <v>379</v>
      </c>
      <c r="E63" s="101">
        <v>-10000</v>
      </c>
      <c r="F63">
        <v>4527</v>
      </c>
    </row>
    <row r="64" spans="1:6" x14ac:dyDescent="0.25">
      <c r="A64">
        <v>1</v>
      </c>
      <c r="B64" s="100">
        <v>44985</v>
      </c>
      <c r="C64" t="s">
        <v>215</v>
      </c>
      <c r="E64" s="101">
        <v>-437.54</v>
      </c>
      <c r="F64">
        <v>0</v>
      </c>
    </row>
    <row r="65" spans="1:6" x14ac:dyDescent="0.25">
      <c r="A65">
        <v>73</v>
      </c>
      <c r="B65" s="100">
        <v>44958</v>
      </c>
      <c r="C65" t="s">
        <v>231</v>
      </c>
      <c r="E65" s="101">
        <v>48.19</v>
      </c>
      <c r="F65">
        <v>0</v>
      </c>
    </row>
    <row r="66" spans="1:6" x14ac:dyDescent="0.25">
      <c r="A66">
        <v>0</v>
      </c>
      <c r="B66" s="100">
        <v>44985</v>
      </c>
      <c r="C66" t="s">
        <v>214</v>
      </c>
      <c r="E66" s="101">
        <v>-2083.5300000000002</v>
      </c>
      <c r="F66">
        <v>0</v>
      </c>
    </row>
    <row r="67" spans="1:6" x14ac:dyDescent="0.25">
      <c r="A67">
        <v>64</v>
      </c>
      <c r="B67" s="100">
        <v>44960</v>
      </c>
      <c r="C67" t="s">
        <v>218</v>
      </c>
      <c r="D67" t="s">
        <v>278</v>
      </c>
      <c r="E67" s="101">
        <v>-14661.46</v>
      </c>
      <c r="F67">
        <v>750282</v>
      </c>
    </row>
    <row r="68" spans="1:6" x14ac:dyDescent="0.25">
      <c r="A68">
        <v>65</v>
      </c>
      <c r="B68" s="100">
        <v>44959</v>
      </c>
      <c r="C68" t="s">
        <v>224</v>
      </c>
      <c r="D68" t="s">
        <v>225</v>
      </c>
      <c r="E68" s="101">
        <v>-45893.18</v>
      </c>
      <c r="F68">
        <v>503252</v>
      </c>
    </row>
    <row r="69" spans="1:6" x14ac:dyDescent="0.25">
      <c r="A69">
        <v>52</v>
      </c>
      <c r="B69" s="100">
        <v>44965</v>
      </c>
      <c r="C69" t="s">
        <v>217</v>
      </c>
      <c r="D69" t="s">
        <v>382</v>
      </c>
      <c r="E69" s="101">
        <v>-2040</v>
      </c>
      <c r="F69">
        <v>228580</v>
      </c>
    </row>
    <row r="70" spans="1:6" x14ac:dyDescent="0.25">
      <c r="A70">
        <v>42</v>
      </c>
      <c r="B70" s="100">
        <v>44970</v>
      </c>
      <c r="C70" t="s">
        <v>217</v>
      </c>
      <c r="D70" t="s">
        <v>383</v>
      </c>
      <c r="E70" s="101">
        <v>-36800</v>
      </c>
      <c r="F70">
        <v>526054</v>
      </c>
    </row>
    <row r="71" spans="1:6" x14ac:dyDescent="0.25">
      <c r="A71">
        <v>31</v>
      </c>
      <c r="B71" s="100">
        <v>44972</v>
      </c>
      <c r="C71" t="s">
        <v>217</v>
      </c>
      <c r="D71" t="s">
        <v>384</v>
      </c>
      <c r="E71" s="101">
        <v>-8500</v>
      </c>
      <c r="F71">
        <v>653558</v>
      </c>
    </row>
    <row r="72" spans="1:6" x14ac:dyDescent="0.25">
      <c r="A72">
        <v>24</v>
      </c>
      <c r="B72" s="100">
        <v>44979</v>
      </c>
      <c r="C72" t="s">
        <v>217</v>
      </c>
      <c r="D72" t="s">
        <v>271</v>
      </c>
      <c r="E72" s="101">
        <v>-4000</v>
      </c>
      <c r="F72">
        <v>901955</v>
      </c>
    </row>
    <row r="73" spans="1:6" x14ac:dyDescent="0.25">
      <c r="A73">
        <v>23</v>
      </c>
      <c r="B73" s="100">
        <v>44979</v>
      </c>
      <c r="C73" t="s">
        <v>217</v>
      </c>
      <c r="D73" t="s">
        <v>252</v>
      </c>
      <c r="E73" s="101">
        <v>-20000</v>
      </c>
      <c r="F73">
        <v>923248</v>
      </c>
    </row>
    <row r="74" spans="1:6" x14ac:dyDescent="0.25">
      <c r="A74">
        <v>9</v>
      </c>
      <c r="B74" s="100">
        <v>44984</v>
      </c>
      <c r="C74" t="s">
        <v>217</v>
      </c>
      <c r="D74" t="s">
        <v>385</v>
      </c>
      <c r="E74" s="101">
        <v>-2000</v>
      </c>
      <c r="F74">
        <v>112923</v>
      </c>
    </row>
    <row r="75" spans="1:6" x14ac:dyDescent="0.25">
      <c r="A75">
        <v>63</v>
      </c>
      <c r="B75" s="100">
        <v>44960</v>
      </c>
      <c r="C75" t="s">
        <v>217</v>
      </c>
      <c r="D75" t="s">
        <v>382</v>
      </c>
      <c r="E75" s="101">
        <v>-11500</v>
      </c>
      <c r="F75">
        <v>485149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90F8-87BE-4CAB-919E-A2110AA444CF}">
  <dimension ref="A1:J71"/>
  <sheetViews>
    <sheetView topLeftCell="A52" zoomScale="90" zoomScaleNormal="90" workbookViewId="0">
      <selection activeCell="G68" sqref="G6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44</v>
      </c>
      <c r="B2" s="100">
        <v>44967</v>
      </c>
      <c r="C2" t="s">
        <v>211</v>
      </c>
      <c r="D2" t="s">
        <v>213</v>
      </c>
      <c r="E2" s="101">
        <v>-14.7</v>
      </c>
    </row>
    <row r="3" spans="1:10" x14ac:dyDescent="0.25">
      <c r="A3">
        <v>27</v>
      </c>
      <c r="B3" s="100">
        <v>44972</v>
      </c>
      <c r="C3" t="s">
        <v>211</v>
      </c>
      <c r="D3" t="s">
        <v>330</v>
      </c>
      <c r="E3" s="101">
        <v>-217.99</v>
      </c>
    </row>
    <row r="4" spans="1:10" x14ac:dyDescent="0.25">
      <c r="A4">
        <v>28</v>
      </c>
      <c r="B4" s="100">
        <v>44972</v>
      </c>
      <c r="C4" t="s">
        <v>211</v>
      </c>
      <c r="D4" t="s">
        <v>330</v>
      </c>
      <c r="E4" s="101">
        <v>-217.99</v>
      </c>
    </row>
    <row r="5" spans="1:10" x14ac:dyDescent="0.25">
      <c r="A5">
        <v>38</v>
      </c>
      <c r="B5" s="100">
        <v>44970</v>
      </c>
      <c r="C5" t="s">
        <v>211</v>
      </c>
      <c r="D5" t="s">
        <v>370</v>
      </c>
      <c r="E5" s="101">
        <v>-250</v>
      </c>
    </row>
    <row r="6" spans="1:10" x14ac:dyDescent="0.25">
      <c r="A6">
        <v>46</v>
      </c>
      <c r="B6" s="100">
        <v>44967</v>
      </c>
      <c r="C6" t="s">
        <v>211</v>
      </c>
      <c r="D6" t="s">
        <v>242</v>
      </c>
      <c r="E6" s="101">
        <v>-250</v>
      </c>
    </row>
    <row r="7" spans="1:10" x14ac:dyDescent="0.25">
      <c r="A7">
        <v>20</v>
      </c>
      <c r="B7" s="100">
        <v>44979</v>
      </c>
      <c r="C7" t="s">
        <v>211</v>
      </c>
      <c r="D7" t="s">
        <v>270</v>
      </c>
      <c r="E7" s="101">
        <v>-420</v>
      </c>
    </row>
    <row r="8" spans="1:10" x14ac:dyDescent="0.25">
      <c r="A8">
        <v>1</v>
      </c>
      <c r="B8" s="100">
        <v>44985</v>
      </c>
      <c r="C8" t="s">
        <v>215</v>
      </c>
      <c r="E8" s="101">
        <v>-437.54</v>
      </c>
    </row>
    <row r="9" spans="1:10" x14ac:dyDescent="0.25">
      <c r="A9">
        <v>3</v>
      </c>
      <c r="B9" s="100">
        <v>44984</v>
      </c>
      <c r="C9" t="s">
        <v>211</v>
      </c>
      <c r="D9" t="s">
        <v>373</v>
      </c>
      <c r="E9" s="101">
        <v>-461.55</v>
      </c>
    </row>
    <row r="10" spans="1:10" x14ac:dyDescent="0.25">
      <c r="A10">
        <v>55</v>
      </c>
      <c r="B10" s="100">
        <v>44963</v>
      </c>
      <c r="C10" t="s">
        <v>211</v>
      </c>
      <c r="D10" t="s">
        <v>246</v>
      </c>
      <c r="E10" s="101">
        <v>-462.1</v>
      </c>
    </row>
    <row r="11" spans="1:10" x14ac:dyDescent="0.25">
      <c r="A11">
        <v>37</v>
      </c>
      <c r="B11" s="100">
        <v>44970</v>
      </c>
      <c r="C11" t="s">
        <v>211</v>
      </c>
      <c r="D11" t="s">
        <v>330</v>
      </c>
      <c r="E11" s="101">
        <v>-536.30999999999995</v>
      </c>
    </row>
    <row r="12" spans="1:10" x14ac:dyDescent="0.25">
      <c r="A12">
        <v>32</v>
      </c>
      <c r="B12" s="100">
        <v>44971</v>
      </c>
      <c r="C12" t="s">
        <v>211</v>
      </c>
      <c r="D12" t="s">
        <v>330</v>
      </c>
      <c r="E12" s="101">
        <v>-747.74</v>
      </c>
    </row>
    <row r="13" spans="1:10" x14ac:dyDescent="0.25">
      <c r="A13">
        <v>22</v>
      </c>
      <c r="B13" s="100">
        <v>44979</v>
      </c>
      <c r="C13" t="s">
        <v>211</v>
      </c>
      <c r="D13" t="s">
        <v>372</v>
      </c>
      <c r="E13" s="101">
        <v>-800</v>
      </c>
    </row>
    <row r="14" spans="1:10" x14ac:dyDescent="0.25">
      <c r="A14">
        <v>69</v>
      </c>
      <c r="B14" s="100">
        <v>44958</v>
      </c>
      <c r="C14" t="s">
        <v>211</v>
      </c>
      <c r="D14" t="s">
        <v>280</v>
      </c>
      <c r="E14" s="101">
        <v>-837.9</v>
      </c>
    </row>
    <row r="15" spans="1:10" x14ac:dyDescent="0.25">
      <c r="A15">
        <v>18</v>
      </c>
      <c r="B15" s="100">
        <v>44979</v>
      </c>
      <c r="C15" t="s">
        <v>211</v>
      </c>
      <c r="D15" t="s">
        <v>375</v>
      </c>
      <c r="E15" s="101">
        <v>-883.7</v>
      </c>
    </row>
    <row r="16" spans="1:10" x14ac:dyDescent="0.25">
      <c r="A16">
        <v>12</v>
      </c>
      <c r="B16" s="100">
        <v>44981</v>
      </c>
      <c r="C16" t="s">
        <v>211</v>
      </c>
      <c r="D16" t="s">
        <v>283</v>
      </c>
      <c r="E16" s="101">
        <v>-900</v>
      </c>
    </row>
    <row r="17" spans="1:5" x14ac:dyDescent="0.25">
      <c r="A17">
        <v>71</v>
      </c>
      <c r="B17" s="100">
        <v>44958</v>
      </c>
      <c r="C17" t="s">
        <v>211</v>
      </c>
      <c r="D17" t="s">
        <v>212</v>
      </c>
      <c r="E17" s="101">
        <v>-1100</v>
      </c>
    </row>
    <row r="18" spans="1:5" x14ac:dyDescent="0.25">
      <c r="A18">
        <v>56</v>
      </c>
      <c r="B18" s="100">
        <v>44963</v>
      </c>
      <c r="C18" t="s">
        <v>211</v>
      </c>
      <c r="D18" t="s">
        <v>368</v>
      </c>
      <c r="E18" s="101">
        <v>-1118</v>
      </c>
    </row>
    <row r="19" spans="1:5" x14ac:dyDescent="0.25">
      <c r="A19">
        <v>54</v>
      </c>
      <c r="B19" s="100">
        <v>44964</v>
      </c>
      <c r="C19" t="s">
        <v>211</v>
      </c>
      <c r="D19" t="s">
        <v>339</v>
      </c>
      <c r="E19" s="101">
        <v>-1120</v>
      </c>
    </row>
    <row r="20" spans="1:5" x14ac:dyDescent="0.25">
      <c r="A20">
        <v>21</v>
      </c>
      <c r="B20" s="100">
        <v>44979</v>
      </c>
      <c r="C20" t="s">
        <v>211</v>
      </c>
      <c r="D20" t="s">
        <v>245</v>
      </c>
      <c r="E20" s="101">
        <v>-1152</v>
      </c>
    </row>
    <row r="21" spans="1:5" x14ac:dyDescent="0.25">
      <c r="A21">
        <v>36</v>
      </c>
      <c r="B21" s="100">
        <v>44970</v>
      </c>
      <c r="C21" t="s">
        <v>211</v>
      </c>
      <c r="D21" t="s">
        <v>372</v>
      </c>
      <c r="E21" s="101">
        <v>-1350</v>
      </c>
    </row>
    <row r="22" spans="1:5" x14ac:dyDescent="0.25">
      <c r="A22">
        <v>43</v>
      </c>
      <c r="B22" s="100">
        <v>44967</v>
      </c>
      <c r="C22" t="s">
        <v>211</v>
      </c>
      <c r="D22" t="s">
        <v>213</v>
      </c>
      <c r="E22" s="101">
        <v>-1455</v>
      </c>
    </row>
    <row r="23" spans="1:5" x14ac:dyDescent="0.25">
      <c r="A23">
        <v>29</v>
      </c>
      <c r="B23" s="100">
        <v>44972</v>
      </c>
      <c r="C23" t="s">
        <v>211</v>
      </c>
      <c r="D23" t="s">
        <v>369</v>
      </c>
      <c r="E23" s="101">
        <v>-1500</v>
      </c>
    </row>
    <row r="24" spans="1:5" x14ac:dyDescent="0.25">
      <c r="A24">
        <v>19</v>
      </c>
      <c r="B24" s="100">
        <v>44979</v>
      </c>
      <c r="C24" t="s">
        <v>211</v>
      </c>
      <c r="D24" t="s">
        <v>376</v>
      </c>
      <c r="E24" s="101">
        <v>-1550</v>
      </c>
    </row>
    <row r="25" spans="1:5" x14ac:dyDescent="0.25">
      <c r="A25">
        <v>10</v>
      </c>
      <c r="B25" s="100">
        <v>44981</v>
      </c>
      <c r="C25" t="s">
        <v>211</v>
      </c>
      <c r="D25" t="s">
        <v>269</v>
      </c>
      <c r="E25" s="101">
        <v>-1570</v>
      </c>
    </row>
    <row r="26" spans="1:5" x14ac:dyDescent="0.25">
      <c r="A26">
        <v>68</v>
      </c>
      <c r="B26" s="100">
        <v>44958</v>
      </c>
      <c r="C26" t="s">
        <v>211</v>
      </c>
      <c r="D26" t="s">
        <v>346</v>
      </c>
      <c r="E26" s="101">
        <v>-1930</v>
      </c>
    </row>
    <row r="27" spans="1:5" x14ac:dyDescent="0.25">
      <c r="A27">
        <v>50</v>
      </c>
      <c r="B27" s="100">
        <v>44965</v>
      </c>
      <c r="C27" t="s">
        <v>211</v>
      </c>
      <c r="D27" t="s">
        <v>288</v>
      </c>
      <c r="E27" s="101">
        <v>-1976.94</v>
      </c>
    </row>
    <row r="28" spans="1:5" x14ac:dyDescent="0.25">
      <c r="A28">
        <v>9</v>
      </c>
      <c r="B28" s="100">
        <v>44984</v>
      </c>
      <c r="C28" t="s">
        <v>217</v>
      </c>
      <c r="D28" t="s">
        <v>385</v>
      </c>
      <c r="E28" s="101">
        <v>-2000</v>
      </c>
    </row>
    <row r="29" spans="1:5" x14ac:dyDescent="0.25">
      <c r="A29">
        <v>11</v>
      </c>
      <c r="B29" s="100">
        <v>44981</v>
      </c>
      <c r="C29" t="s">
        <v>211</v>
      </c>
      <c r="D29" t="s">
        <v>269</v>
      </c>
      <c r="E29" s="101">
        <v>-2000</v>
      </c>
    </row>
    <row r="30" spans="1:5" x14ac:dyDescent="0.25">
      <c r="A30">
        <v>53</v>
      </c>
      <c r="B30" s="100">
        <v>44964</v>
      </c>
      <c r="C30" t="s">
        <v>211</v>
      </c>
      <c r="D30" t="s">
        <v>371</v>
      </c>
      <c r="E30" s="101">
        <v>-2000</v>
      </c>
    </row>
    <row r="31" spans="1:5" x14ac:dyDescent="0.25">
      <c r="A31">
        <v>52</v>
      </c>
      <c r="B31" s="100">
        <v>44965</v>
      </c>
      <c r="C31" t="s">
        <v>217</v>
      </c>
      <c r="D31" t="s">
        <v>382</v>
      </c>
      <c r="E31" s="101">
        <v>-2040</v>
      </c>
    </row>
    <row r="32" spans="1:5" x14ac:dyDescent="0.25">
      <c r="A32">
        <v>0</v>
      </c>
      <c r="B32" s="100">
        <v>44985</v>
      </c>
      <c r="C32" t="s">
        <v>214</v>
      </c>
      <c r="E32" s="101">
        <v>-2083.5300000000002</v>
      </c>
    </row>
    <row r="33" spans="1:5" x14ac:dyDescent="0.25">
      <c r="A33">
        <v>5</v>
      </c>
      <c r="B33" s="100">
        <v>44984</v>
      </c>
      <c r="C33" t="s">
        <v>211</v>
      </c>
      <c r="D33" t="s">
        <v>246</v>
      </c>
      <c r="E33" s="101">
        <v>-2140.9699999999998</v>
      </c>
    </row>
    <row r="34" spans="1:5" x14ac:dyDescent="0.25">
      <c r="A34">
        <v>49</v>
      </c>
      <c r="B34" s="100">
        <v>44966</v>
      </c>
      <c r="C34" t="s">
        <v>211</v>
      </c>
      <c r="D34" t="s">
        <v>347</v>
      </c>
      <c r="E34" s="101">
        <v>-2192.8000000000002</v>
      </c>
    </row>
    <row r="35" spans="1:5" x14ac:dyDescent="0.25">
      <c r="A35">
        <v>16</v>
      </c>
      <c r="B35" s="100">
        <v>44980</v>
      </c>
      <c r="C35" t="s">
        <v>211</v>
      </c>
      <c r="D35" t="s">
        <v>330</v>
      </c>
      <c r="E35" s="101">
        <v>-2588</v>
      </c>
    </row>
    <row r="36" spans="1:5" x14ac:dyDescent="0.25">
      <c r="A36">
        <v>67</v>
      </c>
      <c r="B36" s="100">
        <v>44958</v>
      </c>
      <c r="C36" t="s">
        <v>211</v>
      </c>
      <c r="D36" t="s">
        <v>216</v>
      </c>
      <c r="E36" s="101">
        <v>-2873.61</v>
      </c>
    </row>
    <row r="37" spans="1:5" x14ac:dyDescent="0.25">
      <c r="A37">
        <v>47</v>
      </c>
      <c r="B37" s="100">
        <v>44967</v>
      </c>
      <c r="C37" t="s">
        <v>211</v>
      </c>
      <c r="D37" t="s">
        <v>269</v>
      </c>
      <c r="E37" s="101">
        <v>-3330</v>
      </c>
    </row>
    <row r="38" spans="1:5" x14ac:dyDescent="0.25">
      <c r="A38">
        <v>66</v>
      </c>
      <c r="B38" s="100">
        <v>44958</v>
      </c>
      <c r="C38" t="s">
        <v>211</v>
      </c>
      <c r="D38" t="s">
        <v>228</v>
      </c>
      <c r="E38" s="101">
        <v>-3500</v>
      </c>
    </row>
    <row r="39" spans="1:5" x14ac:dyDescent="0.25">
      <c r="A39">
        <v>26</v>
      </c>
      <c r="B39" s="100">
        <v>44973</v>
      </c>
      <c r="C39" t="s">
        <v>211</v>
      </c>
      <c r="D39" t="s">
        <v>332</v>
      </c>
      <c r="E39" s="101">
        <v>-3675</v>
      </c>
    </row>
    <row r="40" spans="1:5" x14ac:dyDescent="0.25">
      <c r="A40">
        <v>4</v>
      </c>
      <c r="B40" s="100">
        <v>44984</v>
      </c>
      <c r="C40" t="s">
        <v>211</v>
      </c>
      <c r="D40" t="s">
        <v>347</v>
      </c>
      <c r="E40" s="101">
        <v>-3876.79</v>
      </c>
    </row>
    <row r="41" spans="1:5" x14ac:dyDescent="0.25">
      <c r="A41">
        <v>24</v>
      </c>
      <c r="B41" s="100">
        <v>44979</v>
      </c>
      <c r="C41" t="s">
        <v>217</v>
      </c>
      <c r="D41" t="s">
        <v>271</v>
      </c>
      <c r="E41" s="101">
        <v>-4000</v>
      </c>
    </row>
    <row r="42" spans="1:5" x14ac:dyDescent="0.25">
      <c r="A42">
        <v>17</v>
      </c>
      <c r="B42" s="100">
        <v>44980</v>
      </c>
      <c r="C42" t="s">
        <v>211</v>
      </c>
      <c r="D42" t="s">
        <v>216</v>
      </c>
      <c r="E42" s="101">
        <v>-4174.29</v>
      </c>
    </row>
    <row r="43" spans="1:5" x14ac:dyDescent="0.25">
      <c r="A43">
        <v>45</v>
      </c>
      <c r="B43" s="100">
        <v>44967</v>
      </c>
      <c r="C43" t="s">
        <v>211</v>
      </c>
      <c r="D43" t="s">
        <v>280</v>
      </c>
      <c r="E43" s="101">
        <v>-4328.25</v>
      </c>
    </row>
    <row r="44" spans="1:5" x14ac:dyDescent="0.25">
      <c r="A44">
        <v>70</v>
      </c>
      <c r="B44" s="100">
        <v>44958</v>
      </c>
      <c r="C44" t="s">
        <v>211</v>
      </c>
      <c r="D44" t="s">
        <v>242</v>
      </c>
      <c r="E44" s="101">
        <v>-4610</v>
      </c>
    </row>
    <row r="45" spans="1:5" x14ac:dyDescent="0.25">
      <c r="A45">
        <v>35</v>
      </c>
      <c r="B45" s="100">
        <v>44970</v>
      </c>
      <c r="C45" t="s">
        <v>211</v>
      </c>
      <c r="D45" t="s">
        <v>347</v>
      </c>
      <c r="E45" s="101">
        <v>-6074.19</v>
      </c>
    </row>
    <row r="46" spans="1:5" x14ac:dyDescent="0.25">
      <c r="A46">
        <v>13</v>
      </c>
      <c r="B46" s="100">
        <v>44981</v>
      </c>
      <c r="C46" t="s">
        <v>211</v>
      </c>
      <c r="D46" t="s">
        <v>283</v>
      </c>
      <c r="E46" s="101">
        <v>-6390</v>
      </c>
    </row>
    <row r="47" spans="1:5" x14ac:dyDescent="0.25">
      <c r="A47">
        <v>31</v>
      </c>
      <c r="B47" s="100">
        <v>44972</v>
      </c>
      <c r="C47" t="s">
        <v>217</v>
      </c>
      <c r="D47" t="s">
        <v>384</v>
      </c>
      <c r="E47" s="101">
        <v>-8500</v>
      </c>
    </row>
    <row r="48" spans="1:5" x14ac:dyDescent="0.25">
      <c r="A48">
        <v>7</v>
      </c>
      <c r="B48" s="100">
        <v>44984</v>
      </c>
      <c r="C48" t="s">
        <v>211</v>
      </c>
      <c r="D48" t="s">
        <v>288</v>
      </c>
      <c r="E48" s="101">
        <v>-9107.7999999999993</v>
      </c>
    </row>
    <row r="49" spans="1:9" x14ac:dyDescent="0.25">
      <c r="A49">
        <v>6</v>
      </c>
      <c r="B49" s="100">
        <v>44984</v>
      </c>
      <c r="C49" t="s">
        <v>211</v>
      </c>
      <c r="D49" t="s">
        <v>374</v>
      </c>
      <c r="E49" s="101">
        <v>-11050</v>
      </c>
    </row>
    <row r="50" spans="1:9" x14ac:dyDescent="0.25">
      <c r="A50">
        <v>63</v>
      </c>
      <c r="B50" s="100">
        <v>44960</v>
      </c>
      <c r="C50" t="s">
        <v>217</v>
      </c>
      <c r="D50" t="s">
        <v>382</v>
      </c>
      <c r="E50" s="101">
        <v>-11500</v>
      </c>
    </row>
    <row r="51" spans="1:9" x14ac:dyDescent="0.25">
      <c r="A51">
        <v>64</v>
      </c>
      <c r="B51" s="100">
        <v>44960</v>
      </c>
      <c r="C51" t="s">
        <v>218</v>
      </c>
      <c r="D51" t="s">
        <v>278</v>
      </c>
      <c r="E51" s="101">
        <v>-14661.46</v>
      </c>
    </row>
    <row r="52" spans="1:9" x14ac:dyDescent="0.25">
      <c r="A52">
        <v>23</v>
      </c>
      <c r="B52" s="100">
        <v>44979</v>
      </c>
      <c r="C52" t="s">
        <v>217</v>
      </c>
      <c r="D52" t="s">
        <v>252</v>
      </c>
      <c r="E52" s="101">
        <v>-20000</v>
      </c>
    </row>
    <row r="53" spans="1:9" x14ac:dyDescent="0.25">
      <c r="A53">
        <v>51</v>
      </c>
      <c r="B53" s="100">
        <v>44965</v>
      </c>
      <c r="C53" t="s">
        <v>211</v>
      </c>
      <c r="D53" t="s">
        <v>347</v>
      </c>
      <c r="E53" s="101">
        <v>-26068.560000000001</v>
      </c>
    </row>
    <row r="54" spans="1:9" x14ac:dyDescent="0.25">
      <c r="A54">
        <v>42</v>
      </c>
      <c r="B54" s="100">
        <v>44970</v>
      </c>
      <c r="C54" t="s">
        <v>217</v>
      </c>
      <c r="D54" t="s">
        <v>383</v>
      </c>
      <c r="E54" s="101">
        <v>-36800</v>
      </c>
    </row>
    <row r="55" spans="1:9" x14ac:dyDescent="0.25">
      <c r="A55">
        <v>65</v>
      </c>
      <c r="B55" s="100">
        <v>44959</v>
      </c>
      <c r="C55" t="s">
        <v>224</v>
      </c>
      <c r="D55" t="s">
        <v>225</v>
      </c>
      <c r="F55" s="101">
        <v>-45893.18</v>
      </c>
    </row>
    <row r="56" spans="1:9" x14ac:dyDescent="0.25">
      <c r="A56">
        <v>59</v>
      </c>
      <c r="B56" s="100">
        <v>44963</v>
      </c>
      <c r="C56" t="s">
        <v>222</v>
      </c>
      <c r="D56" t="s">
        <v>223</v>
      </c>
      <c r="F56" s="101">
        <v>-281087.05</v>
      </c>
    </row>
    <row r="57" spans="1:9" x14ac:dyDescent="0.25">
      <c r="A57">
        <v>60</v>
      </c>
      <c r="B57" s="100">
        <v>44963</v>
      </c>
      <c r="C57" t="s">
        <v>258</v>
      </c>
      <c r="H57" s="101">
        <v>-500000</v>
      </c>
    </row>
    <row r="58" spans="1:9" x14ac:dyDescent="0.25">
      <c r="A58">
        <v>30</v>
      </c>
      <c r="B58" s="100">
        <v>44972</v>
      </c>
      <c r="C58" t="s">
        <v>378</v>
      </c>
      <c r="D58" t="s">
        <v>381</v>
      </c>
      <c r="I58" s="101">
        <v>-10000</v>
      </c>
    </row>
    <row r="59" spans="1:9" x14ac:dyDescent="0.25">
      <c r="A59">
        <v>39</v>
      </c>
      <c r="B59" s="100">
        <v>44970</v>
      </c>
      <c r="C59" t="s">
        <v>378</v>
      </c>
      <c r="D59" t="s">
        <v>379</v>
      </c>
      <c r="I59" s="101">
        <v>-10000</v>
      </c>
    </row>
    <row r="60" spans="1:9" x14ac:dyDescent="0.25">
      <c r="A60">
        <v>40</v>
      </c>
      <c r="B60" s="100">
        <v>44970</v>
      </c>
      <c r="C60" t="s">
        <v>378</v>
      </c>
      <c r="D60" t="s">
        <v>379</v>
      </c>
      <c r="I60" s="101">
        <v>-10000</v>
      </c>
    </row>
    <row r="61" spans="1:9" x14ac:dyDescent="0.25">
      <c r="A61">
        <v>41</v>
      </c>
      <c r="B61" s="100">
        <v>44970</v>
      </c>
      <c r="C61" t="s">
        <v>378</v>
      </c>
      <c r="D61" t="s">
        <v>379</v>
      </c>
      <c r="I61" s="101">
        <v>-10000</v>
      </c>
    </row>
    <row r="62" spans="1:9" x14ac:dyDescent="0.25">
      <c r="A62">
        <v>14</v>
      </c>
      <c r="B62" s="100">
        <v>44981</v>
      </c>
      <c r="C62" t="s">
        <v>229</v>
      </c>
      <c r="D62" t="s">
        <v>230</v>
      </c>
      <c r="I62" s="101">
        <v>-13000</v>
      </c>
    </row>
    <row r="63" spans="1:9" x14ac:dyDescent="0.25">
      <c r="A63">
        <v>48</v>
      </c>
      <c r="B63" s="100">
        <v>44967</v>
      </c>
      <c r="C63" t="s">
        <v>229</v>
      </c>
      <c r="D63" t="s">
        <v>230</v>
      </c>
      <c r="I63" s="101">
        <v>-14000</v>
      </c>
    </row>
    <row r="64" spans="1:9" x14ac:dyDescent="0.25">
      <c r="A64">
        <v>72</v>
      </c>
      <c r="B64" s="100">
        <v>44958</v>
      </c>
      <c r="C64" t="s">
        <v>229</v>
      </c>
      <c r="D64" t="s">
        <v>230</v>
      </c>
      <c r="I64" s="101">
        <v>-14000</v>
      </c>
    </row>
    <row r="65" spans="1:10" x14ac:dyDescent="0.25">
      <c r="A65">
        <v>34</v>
      </c>
      <c r="B65" s="100">
        <v>44971</v>
      </c>
      <c r="C65" t="s">
        <v>378</v>
      </c>
      <c r="D65" t="s">
        <v>380</v>
      </c>
      <c r="I65" s="101">
        <v>-15000</v>
      </c>
    </row>
    <row r="66" spans="1:10" x14ac:dyDescent="0.25">
      <c r="A66" s="106"/>
      <c r="B66" s="105">
        <v>44963</v>
      </c>
      <c r="C66" s="106" t="s">
        <v>282</v>
      </c>
      <c r="D66" s="106"/>
      <c r="E66" s="102"/>
      <c r="F66" s="102"/>
      <c r="G66" s="102">
        <v>-10269</v>
      </c>
    </row>
    <row r="67" spans="1:10" x14ac:dyDescent="0.25">
      <c r="A67" s="106"/>
      <c r="B67" s="105">
        <v>44963</v>
      </c>
      <c r="C67" s="106" t="s">
        <v>253</v>
      </c>
      <c r="D67" s="106"/>
      <c r="E67" s="102"/>
      <c r="F67" s="102">
        <v>10269</v>
      </c>
    </row>
    <row r="68" spans="1:10" x14ac:dyDescent="0.25">
      <c r="E68" s="101">
        <f>SUBTOTAL(109,Feb_Debitos[Gastos])</f>
        <v>-224824.71</v>
      </c>
      <c r="F68" s="101">
        <f>SUBTOTAL(109,Feb_Debitos[Tarjetas])</f>
        <v>-316711.23</v>
      </c>
      <c r="G68" s="101">
        <f>SUBTOTAL(109,Feb_Debitos[Impuestos])</f>
        <v>-10269</v>
      </c>
      <c r="H68" s="101">
        <f>SUBTOTAL(109,Feb_Debitos[Inversiones])</f>
        <v>-500000</v>
      </c>
      <c r="I68" s="101">
        <f>SUBTOTAL(109,Feb_Debitos[Extracciones])</f>
        <v>-96000</v>
      </c>
      <c r="J68">
        <f>SUBTOTAL(103,Feb_Debitos[Comentarios])</f>
        <v>0</v>
      </c>
    </row>
    <row r="70" spans="1:10" x14ac:dyDescent="0.25">
      <c r="C70" t="s">
        <v>209</v>
      </c>
      <c r="D70" t="s">
        <v>210</v>
      </c>
      <c r="E70" s="101" t="s">
        <v>233</v>
      </c>
      <c r="F70" s="101" t="s">
        <v>234</v>
      </c>
      <c r="G70" s="101" t="s">
        <v>235</v>
      </c>
      <c r="H70" s="101" t="s">
        <v>236</v>
      </c>
      <c r="I70" s="101" t="s">
        <v>237</v>
      </c>
      <c r="J70" t="s">
        <v>238</v>
      </c>
    </row>
    <row r="71" spans="1:10" x14ac:dyDescent="0.25">
      <c r="B71" s="100">
        <v>44985</v>
      </c>
      <c r="C71" t="s">
        <v>254</v>
      </c>
      <c r="E71" s="101">
        <v>-224824.71</v>
      </c>
      <c r="F71" s="101">
        <v>-316711.23</v>
      </c>
      <c r="G71" s="101">
        <v>-10269</v>
      </c>
      <c r="H71" s="101">
        <v>-500000</v>
      </c>
      <c r="I71" s="101">
        <v>-96000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B46-9A65-40C2-AF8E-00676CCC03DD}">
  <dimension ref="A1:G15"/>
  <sheetViews>
    <sheetView workbookViewId="0">
      <selection activeCell="E12" sqref="E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01" customWidth="1"/>
  </cols>
  <sheetData>
    <row r="1" spans="1:7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</row>
    <row r="2" spans="1:7" x14ac:dyDescent="0.25">
      <c r="A2">
        <v>15</v>
      </c>
      <c r="B2" s="100">
        <v>44981</v>
      </c>
      <c r="C2" t="s">
        <v>226</v>
      </c>
      <c r="D2" t="s">
        <v>227</v>
      </c>
      <c r="E2" s="101">
        <v>14261</v>
      </c>
    </row>
    <row r="3" spans="1:7" x14ac:dyDescent="0.25">
      <c r="A3">
        <v>25</v>
      </c>
      <c r="B3" s="100">
        <v>44974</v>
      </c>
      <c r="C3" t="s">
        <v>226</v>
      </c>
      <c r="D3" t="s">
        <v>227</v>
      </c>
      <c r="E3" s="101">
        <v>22818</v>
      </c>
    </row>
    <row r="4" spans="1:7" x14ac:dyDescent="0.25">
      <c r="A4">
        <v>62</v>
      </c>
      <c r="B4" s="100">
        <v>44960</v>
      </c>
      <c r="C4" t="s">
        <v>226</v>
      </c>
      <c r="D4" t="s">
        <v>227</v>
      </c>
      <c r="E4" s="101">
        <v>82673</v>
      </c>
    </row>
    <row r="5" spans="1:7" x14ac:dyDescent="0.25">
      <c r="A5">
        <v>58</v>
      </c>
      <c r="B5" s="100">
        <v>44963</v>
      </c>
      <c r="C5" t="s">
        <v>226</v>
      </c>
      <c r="D5" t="s">
        <v>227</v>
      </c>
      <c r="E5" s="101">
        <v>338576.37</v>
      </c>
    </row>
    <row r="6" spans="1:7" x14ac:dyDescent="0.25">
      <c r="A6">
        <v>73</v>
      </c>
      <c r="B6" s="100">
        <v>44958</v>
      </c>
      <c r="C6" t="s">
        <v>231</v>
      </c>
      <c r="F6" s="101">
        <v>48.19</v>
      </c>
    </row>
    <row r="7" spans="1:7" x14ac:dyDescent="0.25">
      <c r="A7">
        <v>2</v>
      </c>
      <c r="B7" s="100">
        <v>44984</v>
      </c>
      <c r="C7" t="s">
        <v>327</v>
      </c>
      <c r="D7" t="s">
        <v>281</v>
      </c>
      <c r="F7" s="101">
        <v>2000</v>
      </c>
    </row>
    <row r="8" spans="1:7" x14ac:dyDescent="0.25">
      <c r="A8">
        <v>8</v>
      </c>
      <c r="B8" s="100">
        <v>44984</v>
      </c>
      <c r="C8" t="s">
        <v>221</v>
      </c>
      <c r="D8" t="s">
        <v>257</v>
      </c>
      <c r="F8" s="101">
        <v>2000</v>
      </c>
    </row>
    <row r="9" spans="1:7" x14ac:dyDescent="0.25">
      <c r="A9">
        <v>57</v>
      </c>
      <c r="B9" s="100">
        <v>44963</v>
      </c>
      <c r="C9" t="s">
        <v>221</v>
      </c>
      <c r="D9" t="s">
        <v>377</v>
      </c>
      <c r="F9" s="101">
        <v>2000</v>
      </c>
    </row>
    <row r="10" spans="1:7" x14ac:dyDescent="0.25">
      <c r="A10">
        <v>33</v>
      </c>
      <c r="B10" s="100">
        <v>44971</v>
      </c>
      <c r="C10" t="s">
        <v>221</v>
      </c>
      <c r="D10" t="s">
        <v>257</v>
      </c>
      <c r="F10" s="101">
        <v>2798</v>
      </c>
    </row>
    <row r="11" spans="1:7" x14ac:dyDescent="0.25">
      <c r="A11">
        <v>61</v>
      </c>
      <c r="B11" s="100">
        <v>44960</v>
      </c>
      <c r="C11" t="s">
        <v>221</v>
      </c>
      <c r="D11" t="s">
        <v>257</v>
      </c>
      <c r="F11" s="101">
        <v>7000</v>
      </c>
    </row>
    <row r="12" spans="1:7" x14ac:dyDescent="0.25">
      <c r="E12" s="101">
        <f>SUBTOTAL(109,Feb_Creditos[Haberes])</f>
        <v>458328.37</v>
      </c>
      <c r="F12" s="101">
        <f>SUBTOTAL(109,Feb_Creditos[Extras])</f>
        <v>15846.19</v>
      </c>
      <c r="G12">
        <f>SUBTOTAL(103,Feb_Creditos[Inversiones])</f>
        <v>0</v>
      </c>
    </row>
    <row r="14" spans="1:7" x14ac:dyDescent="0.25">
      <c r="C14" t="s">
        <v>209</v>
      </c>
      <c r="D14" t="s">
        <v>210</v>
      </c>
      <c r="E14" s="101" t="s">
        <v>239</v>
      </c>
      <c r="F14" s="101" t="s">
        <v>240</v>
      </c>
      <c r="G14" s="101" t="s">
        <v>236</v>
      </c>
    </row>
    <row r="15" spans="1:7" x14ac:dyDescent="0.25">
      <c r="B15" s="100">
        <v>44985</v>
      </c>
      <c r="C15" t="s">
        <v>254</v>
      </c>
      <c r="E15" s="101">
        <v>458328.37</v>
      </c>
      <c r="F15" s="101">
        <v>15846.19</v>
      </c>
      <c r="G15" s="10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5C87-1359-4EB0-A17F-D490A44C5E44}">
  <dimension ref="A1:I8"/>
  <sheetViews>
    <sheetView workbookViewId="0">
      <selection activeCell="F5" sqref="F5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44958</v>
      </c>
      <c r="B2" t="s">
        <v>386</v>
      </c>
      <c r="D2" s="101">
        <v>-92590</v>
      </c>
      <c r="E2" s="101">
        <v>0</v>
      </c>
      <c r="F2" s="101">
        <v>0</v>
      </c>
      <c r="G2" s="101">
        <v>0</v>
      </c>
      <c r="H2" s="101">
        <v>57000</v>
      </c>
    </row>
    <row r="3" spans="1:9" x14ac:dyDescent="0.25">
      <c r="A3" s="100">
        <v>44980</v>
      </c>
      <c r="B3" t="s">
        <v>388</v>
      </c>
      <c r="C3" t="s">
        <v>387</v>
      </c>
      <c r="D3" s="101">
        <v>0</v>
      </c>
      <c r="E3" s="101">
        <v>0</v>
      </c>
      <c r="F3" s="101">
        <v>-16281.6</v>
      </c>
      <c r="G3" s="101">
        <v>0</v>
      </c>
      <c r="H3" s="101">
        <v>0</v>
      </c>
    </row>
    <row r="4" spans="1:9" x14ac:dyDescent="0.25">
      <c r="A4" s="100">
        <v>44980</v>
      </c>
      <c r="B4" t="s">
        <v>389</v>
      </c>
      <c r="C4" t="s">
        <v>387</v>
      </c>
      <c r="D4" s="101">
        <v>0</v>
      </c>
      <c r="E4" s="101">
        <v>0</v>
      </c>
      <c r="F4" s="101">
        <v>-4028.92</v>
      </c>
      <c r="G4" s="101">
        <v>0</v>
      </c>
      <c r="H4" s="101">
        <v>0</v>
      </c>
    </row>
    <row r="5" spans="1:9" x14ac:dyDescent="0.25">
      <c r="D5" s="101">
        <f>SUBTOTAL(109,Feb_Efectivo[Gastos])</f>
        <v>-92590</v>
      </c>
      <c r="E5" s="101">
        <f>SUBTOTAL(109,Feb_Efectivo[Tarjetas])</f>
        <v>0</v>
      </c>
      <c r="F5" s="101">
        <f>SUBTOTAL(109,Feb_Efectivo[Impuestos])</f>
        <v>-20310.52</v>
      </c>
      <c r="G5" s="101">
        <f>SUBTOTAL(109,Feb_Efectivo[Inversiones])</f>
        <v>0</v>
      </c>
      <c r="H5" s="101">
        <f>SUBTOTAL(109,Feb_Efectivo[Extras])</f>
        <v>57000</v>
      </c>
      <c r="I5">
        <f>SUBTOTAL(103,Feb_Efectivo[Comentarios])</f>
        <v>0</v>
      </c>
    </row>
    <row r="7" spans="1:9" x14ac:dyDescent="0.25">
      <c r="B7" t="s">
        <v>209</v>
      </c>
      <c r="C7" t="s">
        <v>210</v>
      </c>
      <c r="D7" s="101" t="s">
        <v>233</v>
      </c>
      <c r="E7" s="101" t="s">
        <v>234</v>
      </c>
      <c r="F7" s="101" t="s">
        <v>235</v>
      </c>
      <c r="G7" s="101" t="s">
        <v>236</v>
      </c>
      <c r="H7" s="101" t="s">
        <v>240</v>
      </c>
      <c r="I7" t="s">
        <v>238</v>
      </c>
    </row>
    <row r="8" spans="1:9" x14ac:dyDescent="0.25">
      <c r="A8" s="100">
        <v>44985</v>
      </c>
      <c r="B8" t="s">
        <v>254</v>
      </c>
      <c r="D8" s="101">
        <v>-92590</v>
      </c>
      <c r="E8" s="101">
        <v>0</v>
      </c>
      <c r="F8" s="101">
        <v>-20310.52</v>
      </c>
      <c r="G8" s="101">
        <v>0</v>
      </c>
      <c r="H8" s="101">
        <v>57000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A4D0-9D97-4F4C-9613-9AB1981F796C}">
  <dimension ref="A1:F83"/>
  <sheetViews>
    <sheetView topLeftCell="A46" workbookViewId="0">
      <selection activeCell="D65" sqref="D65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.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36</v>
      </c>
      <c r="B2" s="100">
        <v>45002</v>
      </c>
      <c r="C2" t="s">
        <v>226</v>
      </c>
      <c r="D2" t="s">
        <v>227</v>
      </c>
      <c r="E2" s="101">
        <v>8557</v>
      </c>
      <c r="F2">
        <v>0</v>
      </c>
    </row>
    <row r="3" spans="1:6" x14ac:dyDescent="0.25">
      <c r="A3">
        <v>74</v>
      </c>
      <c r="B3" s="100">
        <v>44988</v>
      </c>
      <c r="C3" t="s">
        <v>226</v>
      </c>
      <c r="D3" t="s">
        <v>227</v>
      </c>
      <c r="E3" s="101">
        <v>2852</v>
      </c>
      <c r="F3">
        <v>0</v>
      </c>
    </row>
    <row r="4" spans="1:6" x14ac:dyDescent="0.25">
      <c r="A4">
        <v>67</v>
      </c>
      <c r="B4" s="100">
        <v>44991</v>
      </c>
      <c r="C4" t="s">
        <v>226</v>
      </c>
      <c r="D4" t="s">
        <v>227</v>
      </c>
      <c r="E4" s="101">
        <v>335293.31</v>
      </c>
      <c r="F4">
        <v>0</v>
      </c>
    </row>
    <row r="5" spans="1:6" x14ac:dyDescent="0.25">
      <c r="A5">
        <v>66</v>
      </c>
      <c r="B5" s="100">
        <v>44991</v>
      </c>
      <c r="C5" t="s">
        <v>226</v>
      </c>
      <c r="D5" t="s">
        <v>227</v>
      </c>
      <c r="E5" s="101">
        <v>21591.89</v>
      </c>
      <c r="F5">
        <v>0</v>
      </c>
    </row>
    <row r="6" spans="1:6" x14ac:dyDescent="0.25">
      <c r="A6">
        <v>11</v>
      </c>
      <c r="B6" s="100">
        <v>45012</v>
      </c>
      <c r="C6" t="s">
        <v>226</v>
      </c>
      <c r="D6" t="s">
        <v>227</v>
      </c>
      <c r="E6" s="101">
        <v>8557</v>
      </c>
      <c r="F6">
        <v>0</v>
      </c>
    </row>
    <row r="7" spans="1:6" x14ac:dyDescent="0.25">
      <c r="A7">
        <v>29</v>
      </c>
      <c r="B7" s="100">
        <v>45005</v>
      </c>
      <c r="C7" t="s">
        <v>226</v>
      </c>
      <c r="D7" t="s">
        <v>227</v>
      </c>
      <c r="E7" s="101">
        <v>1492603.35</v>
      </c>
      <c r="F7">
        <v>0</v>
      </c>
    </row>
    <row r="8" spans="1:6" x14ac:dyDescent="0.25">
      <c r="A8">
        <v>0</v>
      </c>
      <c r="B8" s="100">
        <v>45016</v>
      </c>
      <c r="C8" t="s">
        <v>211</v>
      </c>
      <c r="D8" t="s">
        <v>270</v>
      </c>
      <c r="E8" s="101">
        <v>-770</v>
      </c>
      <c r="F8">
        <v>93181</v>
      </c>
    </row>
    <row r="9" spans="1:6" x14ac:dyDescent="0.25">
      <c r="A9">
        <v>34</v>
      </c>
      <c r="B9" s="100">
        <v>45002</v>
      </c>
      <c r="C9" t="s">
        <v>211</v>
      </c>
      <c r="D9" t="s">
        <v>391</v>
      </c>
      <c r="E9" s="101">
        <v>-2500</v>
      </c>
      <c r="F9">
        <v>80213</v>
      </c>
    </row>
    <row r="10" spans="1:6" x14ac:dyDescent="0.25">
      <c r="A10">
        <v>37</v>
      </c>
      <c r="B10" s="100">
        <v>45001</v>
      </c>
      <c r="C10" t="s">
        <v>211</v>
      </c>
      <c r="D10" t="s">
        <v>392</v>
      </c>
      <c r="E10" s="101">
        <v>-4500</v>
      </c>
      <c r="F10">
        <v>16867</v>
      </c>
    </row>
    <row r="11" spans="1:6" x14ac:dyDescent="0.25">
      <c r="A11">
        <v>38</v>
      </c>
      <c r="B11" s="100">
        <v>45001</v>
      </c>
      <c r="C11" t="s">
        <v>211</v>
      </c>
      <c r="D11" t="s">
        <v>269</v>
      </c>
      <c r="E11" s="101">
        <v>-5320</v>
      </c>
      <c r="F11">
        <v>421428</v>
      </c>
    </row>
    <row r="12" spans="1:6" x14ac:dyDescent="0.25">
      <c r="A12">
        <v>41</v>
      </c>
      <c r="B12" s="100">
        <v>45000</v>
      </c>
      <c r="C12" t="s">
        <v>211</v>
      </c>
      <c r="D12" t="s">
        <v>393</v>
      </c>
      <c r="E12" s="101">
        <v>-11800</v>
      </c>
      <c r="F12">
        <v>357285</v>
      </c>
    </row>
    <row r="13" spans="1:6" x14ac:dyDescent="0.25">
      <c r="A13">
        <v>42</v>
      </c>
      <c r="B13" s="100">
        <v>45000</v>
      </c>
      <c r="C13" t="s">
        <v>211</v>
      </c>
      <c r="D13" t="s">
        <v>280</v>
      </c>
      <c r="E13" s="101">
        <v>-2926</v>
      </c>
      <c r="F13">
        <v>898812</v>
      </c>
    </row>
    <row r="14" spans="1:6" x14ac:dyDescent="0.25">
      <c r="A14">
        <v>43</v>
      </c>
      <c r="B14" s="100">
        <v>44998</v>
      </c>
      <c r="C14" t="s">
        <v>211</v>
      </c>
      <c r="D14" t="s">
        <v>394</v>
      </c>
      <c r="E14" s="101">
        <v>-1310</v>
      </c>
      <c r="F14">
        <v>75613</v>
      </c>
    </row>
    <row r="15" spans="1:6" x14ac:dyDescent="0.25">
      <c r="A15">
        <v>45</v>
      </c>
      <c r="B15" s="100">
        <v>44995</v>
      </c>
      <c r="C15" t="s">
        <v>211</v>
      </c>
      <c r="D15" t="s">
        <v>395</v>
      </c>
      <c r="E15" s="101">
        <v>-2290</v>
      </c>
      <c r="F15">
        <v>20563</v>
      </c>
    </row>
    <row r="16" spans="1:6" x14ac:dyDescent="0.25">
      <c r="A16">
        <v>50</v>
      </c>
      <c r="B16" s="100">
        <v>44994</v>
      </c>
      <c r="C16" t="s">
        <v>211</v>
      </c>
      <c r="D16" t="s">
        <v>242</v>
      </c>
      <c r="E16" s="101">
        <v>-850</v>
      </c>
      <c r="F16">
        <v>68513</v>
      </c>
    </row>
    <row r="17" spans="1:6" x14ac:dyDescent="0.25">
      <c r="A17">
        <v>51</v>
      </c>
      <c r="B17" s="100">
        <v>44994</v>
      </c>
      <c r="C17" t="s">
        <v>211</v>
      </c>
      <c r="D17" t="s">
        <v>396</v>
      </c>
      <c r="E17" s="101">
        <v>-5500</v>
      </c>
      <c r="F17">
        <v>128561</v>
      </c>
    </row>
    <row r="18" spans="1:6" x14ac:dyDescent="0.25">
      <c r="A18">
        <v>60</v>
      </c>
      <c r="B18" s="100">
        <v>44992</v>
      </c>
      <c r="C18" t="s">
        <v>211</v>
      </c>
      <c r="D18" t="s">
        <v>397</v>
      </c>
      <c r="E18" s="101">
        <v>-1670</v>
      </c>
      <c r="F18">
        <v>91941</v>
      </c>
    </row>
    <row r="19" spans="1:6" x14ac:dyDescent="0.25">
      <c r="A19">
        <v>59</v>
      </c>
      <c r="B19" s="100">
        <v>44992</v>
      </c>
      <c r="C19" t="s">
        <v>211</v>
      </c>
      <c r="D19" t="s">
        <v>395</v>
      </c>
      <c r="E19" s="101">
        <v>-1610</v>
      </c>
      <c r="F19">
        <v>58879</v>
      </c>
    </row>
    <row r="20" spans="1:6" x14ac:dyDescent="0.25">
      <c r="A20">
        <v>62</v>
      </c>
      <c r="B20" s="100">
        <v>44991</v>
      </c>
      <c r="C20" t="s">
        <v>211</v>
      </c>
      <c r="D20" t="s">
        <v>245</v>
      </c>
      <c r="E20" s="101">
        <v>-3044.25</v>
      </c>
      <c r="F20">
        <v>25534</v>
      </c>
    </row>
    <row r="21" spans="1:6" x14ac:dyDescent="0.25">
      <c r="A21">
        <v>63</v>
      </c>
      <c r="B21" s="100">
        <v>44991</v>
      </c>
      <c r="C21" t="s">
        <v>211</v>
      </c>
      <c r="D21" t="s">
        <v>269</v>
      </c>
      <c r="E21" s="101">
        <v>-950</v>
      </c>
      <c r="F21">
        <v>965551</v>
      </c>
    </row>
    <row r="22" spans="1:6" x14ac:dyDescent="0.25">
      <c r="A22">
        <v>70</v>
      </c>
      <c r="B22" s="100">
        <v>44988</v>
      </c>
      <c r="C22" t="s">
        <v>211</v>
      </c>
      <c r="D22" t="s">
        <v>398</v>
      </c>
      <c r="E22" s="101">
        <v>-1100</v>
      </c>
      <c r="F22">
        <v>350395</v>
      </c>
    </row>
    <row r="23" spans="1:6" x14ac:dyDescent="0.25">
      <c r="A23">
        <v>71</v>
      </c>
      <c r="B23" s="100">
        <v>44988</v>
      </c>
      <c r="C23" t="s">
        <v>211</v>
      </c>
      <c r="D23" t="s">
        <v>398</v>
      </c>
      <c r="E23" s="101">
        <v>-1000</v>
      </c>
      <c r="F23">
        <v>341815</v>
      </c>
    </row>
    <row r="24" spans="1:6" x14ac:dyDescent="0.25">
      <c r="A24">
        <v>72</v>
      </c>
      <c r="B24" s="100">
        <v>44988</v>
      </c>
      <c r="C24" t="s">
        <v>211</v>
      </c>
      <c r="D24" t="s">
        <v>331</v>
      </c>
      <c r="E24" s="101">
        <v>-700</v>
      </c>
      <c r="F24">
        <v>72514</v>
      </c>
    </row>
    <row r="25" spans="1:6" x14ac:dyDescent="0.25">
      <c r="A25">
        <v>73</v>
      </c>
      <c r="B25" s="100">
        <v>44988</v>
      </c>
      <c r="C25" t="s">
        <v>211</v>
      </c>
      <c r="D25" t="s">
        <v>399</v>
      </c>
      <c r="E25" s="101">
        <v>-480</v>
      </c>
      <c r="F25">
        <v>51607</v>
      </c>
    </row>
    <row r="26" spans="1:6" x14ac:dyDescent="0.25">
      <c r="A26">
        <v>75</v>
      </c>
      <c r="B26" s="100">
        <v>44987</v>
      </c>
      <c r="C26" t="s">
        <v>211</v>
      </c>
      <c r="D26" t="s">
        <v>269</v>
      </c>
      <c r="E26" s="101">
        <v>-1850</v>
      </c>
      <c r="F26">
        <v>707560</v>
      </c>
    </row>
    <row r="27" spans="1:6" x14ac:dyDescent="0.25">
      <c r="A27">
        <v>79</v>
      </c>
      <c r="B27" s="100">
        <v>44986</v>
      </c>
      <c r="C27" t="s">
        <v>211</v>
      </c>
      <c r="D27" t="s">
        <v>280</v>
      </c>
      <c r="E27" s="101">
        <v>-3539</v>
      </c>
      <c r="F27">
        <v>997525</v>
      </c>
    </row>
    <row r="28" spans="1:6" x14ac:dyDescent="0.25">
      <c r="A28">
        <v>56</v>
      </c>
      <c r="B28" s="100">
        <v>44993</v>
      </c>
      <c r="C28" t="s">
        <v>211</v>
      </c>
      <c r="D28" t="s">
        <v>400</v>
      </c>
      <c r="E28" s="101">
        <v>-1000</v>
      </c>
      <c r="F28">
        <v>66846</v>
      </c>
    </row>
    <row r="29" spans="1:6" x14ac:dyDescent="0.25">
      <c r="A29">
        <v>28</v>
      </c>
      <c r="B29" s="100">
        <v>45005</v>
      </c>
      <c r="C29" t="s">
        <v>211</v>
      </c>
      <c r="D29" t="s">
        <v>270</v>
      </c>
      <c r="E29" s="101">
        <v>-560</v>
      </c>
      <c r="F29">
        <v>92642</v>
      </c>
    </row>
    <row r="30" spans="1:6" x14ac:dyDescent="0.25">
      <c r="A30">
        <v>40</v>
      </c>
      <c r="B30" s="100">
        <v>45000</v>
      </c>
      <c r="C30" t="s">
        <v>211</v>
      </c>
      <c r="D30" t="s">
        <v>401</v>
      </c>
      <c r="E30" s="101">
        <v>-3394.07</v>
      </c>
      <c r="F30">
        <v>89559</v>
      </c>
    </row>
    <row r="31" spans="1:6" x14ac:dyDescent="0.25">
      <c r="A31">
        <v>26</v>
      </c>
      <c r="B31" s="100">
        <v>45005</v>
      </c>
      <c r="C31" t="s">
        <v>211</v>
      </c>
      <c r="D31" t="s">
        <v>242</v>
      </c>
      <c r="E31" s="101">
        <v>-970</v>
      </c>
      <c r="F31">
        <v>41287</v>
      </c>
    </row>
    <row r="32" spans="1:6" x14ac:dyDescent="0.25">
      <c r="A32">
        <v>10</v>
      </c>
      <c r="B32" s="100">
        <v>45012</v>
      </c>
      <c r="C32" t="s">
        <v>211</v>
      </c>
      <c r="D32" t="s">
        <v>242</v>
      </c>
      <c r="E32" s="101">
        <v>-630</v>
      </c>
      <c r="F32">
        <v>69250</v>
      </c>
    </row>
    <row r="33" spans="1:6" x14ac:dyDescent="0.25">
      <c r="A33">
        <v>7</v>
      </c>
      <c r="B33" s="100">
        <v>45012</v>
      </c>
      <c r="C33" t="s">
        <v>211</v>
      </c>
      <c r="D33" t="s">
        <v>356</v>
      </c>
      <c r="E33" s="101">
        <v>-2200</v>
      </c>
      <c r="F33">
        <v>72199</v>
      </c>
    </row>
    <row r="34" spans="1:6" x14ac:dyDescent="0.25">
      <c r="A34">
        <v>13</v>
      </c>
      <c r="B34" s="100">
        <v>45008</v>
      </c>
      <c r="C34" t="s">
        <v>211</v>
      </c>
      <c r="D34" t="s">
        <v>395</v>
      </c>
      <c r="E34" s="101">
        <v>-3130</v>
      </c>
      <c r="F34">
        <v>65881</v>
      </c>
    </row>
    <row r="35" spans="1:6" x14ac:dyDescent="0.25">
      <c r="A35">
        <v>14</v>
      </c>
      <c r="B35" s="100">
        <v>45007</v>
      </c>
      <c r="C35" t="s">
        <v>211</v>
      </c>
      <c r="D35" t="s">
        <v>402</v>
      </c>
      <c r="E35" s="101">
        <v>-900</v>
      </c>
      <c r="F35">
        <v>710499</v>
      </c>
    </row>
    <row r="36" spans="1:6" x14ac:dyDescent="0.25">
      <c r="A36">
        <v>15</v>
      </c>
      <c r="B36" s="100">
        <v>45007</v>
      </c>
      <c r="C36" t="s">
        <v>211</v>
      </c>
      <c r="D36" t="s">
        <v>403</v>
      </c>
      <c r="E36" s="101">
        <v>-1560</v>
      </c>
      <c r="F36">
        <v>572143</v>
      </c>
    </row>
    <row r="37" spans="1:6" x14ac:dyDescent="0.25">
      <c r="A37">
        <v>27</v>
      </c>
      <c r="B37" s="100">
        <v>45005</v>
      </c>
      <c r="C37" t="s">
        <v>211</v>
      </c>
      <c r="D37" t="s">
        <v>216</v>
      </c>
      <c r="E37" s="101">
        <v>-3263.9</v>
      </c>
      <c r="F37">
        <v>733879</v>
      </c>
    </row>
    <row r="38" spans="1:6" x14ac:dyDescent="0.25">
      <c r="A38">
        <v>16</v>
      </c>
      <c r="B38" s="100">
        <v>45007</v>
      </c>
      <c r="C38" t="s">
        <v>211</v>
      </c>
      <c r="D38" t="s">
        <v>404</v>
      </c>
      <c r="E38" s="101">
        <v>-2800</v>
      </c>
      <c r="F38">
        <v>525620</v>
      </c>
    </row>
    <row r="39" spans="1:6" x14ac:dyDescent="0.25">
      <c r="A39">
        <v>17</v>
      </c>
      <c r="B39" s="100">
        <v>45007</v>
      </c>
      <c r="C39" t="s">
        <v>211</v>
      </c>
      <c r="D39" t="s">
        <v>403</v>
      </c>
      <c r="E39" s="101">
        <v>-1560</v>
      </c>
      <c r="F39">
        <v>389138</v>
      </c>
    </row>
    <row r="40" spans="1:6" x14ac:dyDescent="0.25">
      <c r="A40">
        <v>9</v>
      </c>
      <c r="B40" s="100">
        <v>45012</v>
      </c>
      <c r="C40" t="s">
        <v>211</v>
      </c>
      <c r="D40" t="s">
        <v>245</v>
      </c>
      <c r="E40" s="101">
        <v>-2630</v>
      </c>
      <c r="F40">
        <v>59705</v>
      </c>
    </row>
    <row r="41" spans="1:6" x14ac:dyDescent="0.25">
      <c r="A41">
        <v>18</v>
      </c>
      <c r="B41" s="100">
        <v>45006</v>
      </c>
      <c r="C41" t="s">
        <v>211</v>
      </c>
      <c r="D41" t="s">
        <v>404</v>
      </c>
      <c r="E41" s="101">
        <v>-4200</v>
      </c>
      <c r="F41">
        <v>99381</v>
      </c>
    </row>
    <row r="42" spans="1:6" x14ac:dyDescent="0.25">
      <c r="A42">
        <v>19</v>
      </c>
      <c r="B42" s="100">
        <v>45006</v>
      </c>
      <c r="C42" t="s">
        <v>211</v>
      </c>
      <c r="D42" t="s">
        <v>405</v>
      </c>
      <c r="E42" s="101">
        <v>-6800</v>
      </c>
      <c r="F42">
        <v>12518</v>
      </c>
    </row>
    <row r="43" spans="1:6" x14ac:dyDescent="0.25">
      <c r="A43">
        <v>20</v>
      </c>
      <c r="B43" s="100">
        <v>45006</v>
      </c>
      <c r="C43" t="s">
        <v>211</v>
      </c>
      <c r="D43" t="s">
        <v>406</v>
      </c>
      <c r="E43" s="101">
        <v>-960</v>
      </c>
      <c r="F43">
        <v>13186</v>
      </c>
    </row>
    <row r="44" spans="1:6" x14ac:dyDescent="0.25">
      <c r="A44">
        <v>8</v>
      </c>
      <c r="B44" s="100">
        <v>45012</v>
      </c>
      <c r="C44" t="s">
        <v>211</v>
      </c>
      <c r="D44" t="s">
        <v>352</v>
      </c>
      <c r="E44" s="101">
        <v>-700</v>
      </c>
      <c r="F44">
        <v>104221</v>
      </c>
    </row>
    <row r="45" spans="1:6" x14ac:dyDescent="0.25">
      <c r="A45">
        <v>6</v>
      </c>
      <c r="B45" s="100">
        <v>45012</v>
      </c>
      <c r="C45" t="s">
        <v>211</v>
      </c>
      <c r="D45" t="s">
        <v>269</v>
      </c>
      <c r="E45" s="101">
        <v>-2040</v>
      </c>
      <c r="F45">
        <v>502736</v>
      </c>
    </row>
    <row r="46" spans="1:6" x14ac:dyDescent="0.25">
      <c r="A46">
        <v>25</v>
      </c>
      <c r="B46" s="100">
        <v>45005</v>
      </c>
      <c r="C46" t="s">
        <v>211</v>
      </c>
      <c r="D46" t="s">
        <v>299</v>
      </c>
      <c r="E46" s="101">
        <v>-1700</v>
      </c>
      <c r="F46">
        <v>68231</v>
      </c>
    </row>
    <row r="47" spans="1:6" x14ac:dyDescent="0.25">
      <c r="A47">
        <v>21</v>
      </c>
      <c r="B47" s="100">
        <v>45005</v>
      </c>
      <c r="C47" t="s">
        <v>211</v>
      </c>
      <c r="D47" t="s">
        <v>402</v>
      </c>
      <c r="E47" s="101">
        <v>-350</v>
      </c>
      <c r="F47">
        <v>824122</v>
      </c>
    </row>
    <row r="48" spans="1:6" x14ac:dyDescent="0.25">
      <c r="A48">
        <v>24</v>
      </c>
      <c r="B48" s="100">
        <v>45005</v>
      </c>
      <c r="C48" t="s">
        <v>211</v>
      </c>
      <c r="D48" t="s">
        <v>242</v>
      </c>
      <c r="E48" s="101">
        <v>-860</v>
      </c>
      <c r="F48">
        <v>41321</v>
      </c>
    </row>
    <row r="49" spans="1:6" x14ac:dyDescent="0.25">
      <c r="A49">
        <v>23</v>
      </c>
      <c r="B49" s="100">
        <v>45005</v>
      </c>
      <c r="C49" t="s">
        <v>211</v>
      </c>
      <c r="D49" t="s">
        <v>269</v>
      </c>
      <c r="E49" s="101">
        <v>-940</v>
      </c>
      <c r="F49">
        <v>566088</v>
      </c>
    </row>
    <row r="50" spans="1:6" x14ac:dyDescent="0.25">
      <c r="A50">
        <v>4</v>
      </c>
      <c r="B50" s="100">
        <v>45015</v>
      </c>
      <c r="C50" t="s">
        <v>211</v>
      </c>
      <c r="D50" t="s">
        <v>352</v>
      </c>
      <c r="E50" s="101">
        <v>-951.25</v>
      </c>
      <c r="F50">
        <v>104272</v>
      </c>
    </row>
    <row r="51" spans="1:6" x14ac:dyDescent="0.25">
      <c r="A51">
        <v>22</v>
      </c>
      <c r="B51" s="100">
        <v>45005</v>
      </c>
      <c r="C51" t="s">
        <v>211</v>
      </c>
      <c r="D51" t="s">
        <v>352</v>
      </c>
      <c r="E51" s="101">
        <v>-700</v>
      </c>
      <c r="F51">
        <v>104184</v>
      </c>
    </row>
    <row r="52" spans="1:6" x14ac:dyDescent="0.25">
      <c r="A52">
        <v>58</v>
      </c>
      <c r="B52" s="100">
        <v>44993</v>
      </c>
      <c r="C52" t="s">
        <v>243</v>
      </c>
      <c r="E52" s="101">
        <v>530821.92000000004</v>
      </c>
      <c r="F52">
        <v>470297</v>
      </c>
    </row>
    <row r="53" spans="1:6" x14ac:dyDescent="0.25">
      <c r="A53">
        <v>61</v>
      </c>
      <c r="B53" s="100">
        <v>44992</v>
      </c>
      <c r="C53" t="s">
        <v>221</v>
      </c>
      <c r="D53" t="s">
        <v>257</v>
      </c>
      <c r="E53" s="101">
        <v>7600</v>
      </c>
      <c r="F53">
        <v>389000</v>
      </c>
    </row>
    <row r="54" spans="1:6" x14ac:dyDescent="0.25">
      <c r="A54">
        <v>46</v>
      </c>
      <c r="B54" s="100">
        <v>44995</v>
      </c>
      <c r="C54" t="s">
        <v>221</v>
      </c>
      <c r="D54" t="s">
        <v>407</v>
      </c>
      <c r="E54" s="101">
        <v>855</v>
      </c>
      <c r="F54">
        <v>21551</v>
      </c>
    </row>
    <row r="55" spans="1:6" x14ac:dyDescent="0.25">
      <c r="A55">
        <v>44</v>
      </c>
      <c r="B55" s="100">
        <v>44998</v>
      </c>
      <c r="C55" t="s">
        <v>244</v>
      </c>
      <c r="D55" t="s">
        <v>408</v>
      </c>
      <c r="E55" s="101">
        <v>-15000</v>
      </c>
      <c r="F55">
        <v>425379</v>
      </c>
    </row>
    <row r="56" spans="1:6" x14ac:dyDescent="0.25">
      <c r="A56">
        <v>49</v>
      </c>
      <c r="B56" s="100">
        <v>44995</v>
      </c>
      <c r="C56" t="s">
        <v>222</v>
      </c>
      <c r="D56" t="s">
        <v>223</v>
      </c>
      <c r="E56" s="101">
        <v>-210264.08</v>
      </c>
      <c r="F56">
        <v>230309</v>
      </c>
    </row>
    <row r="57" spans="1:6" x14ac:dyDescent="0.25">
      <c r="A57">
        <v>33</v>
      </c>
      <c r="B57" s="100">
        <v>45005</v>
      </c>
      <c r="C57" t="s">
        <v>258</v>
      </c>
      <c r="E57" s="101">
        <v>-1000000</v>
      </c>
      <c r="F57">
        <v>1</v>
      </c>
    </row>
    <row r="58" spans="1:6" x14ac:dyDescent="0.25">
      <c r="A58">
        <v>52</v>
      </c>
      <c r="B58" s="100">
        <v>44994</v>
      </c>
      <c r="C58" t="s">
        <v>229</v>
      </c>
      <c r="D58" t="s">
        <v>230</v>
      </c>
      <c r="E58" s="101">
        <v>-20000</v>
      </c>
      <c r="F58">
        <v>4595</v>
      </c>
    </row>
    <row r="59" spans="1:6" x14ac:dyDescent="0.25">
      <c r="A59">
        <v>76</v>
      </c>
      <c r="B59" s="100">
        <v>44987</v>
      </c>
      <c r="C59" t="s">
        <v>229</v>
      </c>
      <c r="D59" t="s">
        <v>230</v>
      </c>
      <c r="E59" s="101">
        <v>-5000</v>
      </c>
      <c r="F59">
        <v>3070</v>
      </c>
    </row>
    <row r="60" spans="1:6" x14ac:dyDescent="0.25">
      <c r="A60">
        <v>1</v>
      </c>
      <c r="B60" s="100">
        <v>45016</v>
      </c>
      <c r="C60" t="s">
        <v>229</v>
      </c>
      <c r="D60" t="s">
        <v>230</v>
      </c>
      <c r="E60" s="101">
        <v>-10000</v>
      </c>
      <c r="F60">
        <v>9316</v>
      </c>
    </row>
    <row r="61" spans="1:6" x14ac:dyDescent="0.25">
      <c r="A61">
        <v>39</v>
      </c>
      <c r="B61" s="100">
        <v>45001</v>
      </c>
      <c r="C61" t="s">
        <v>378</v>
      </c>
      <c r="D61" t="s">
        <v>381</v>
      </c>
      <c r="E61" s="101">
        <v>-20000</v>
      </c>
      <c r="F61">
        <v>5314</v>
      </c>
    </row>
    <row r="62" spans="1:6" x14ac:dyDescent="0.25">
      <c r="A62">
        <v>53</v>
      </c>
      <c r="B62" s="100">
        <v>44994</v>
      </c>
      <c r="C62" t="s">
        <v>378</v>
      </c>
      <c r="D62" t="s">
        <v>409</v>
      </c>
      <c r="E62" s="101">
        <v>-100</v>
      </c>
      <c r="F62">
        <v>4954</v>
      </c>
    </row>
    <row r="63" spans="1:6" x14ac:dyDescent="0.25">
      <c r="A63">
        <v>57</v>
      </c>
      <c r="B63" s="100">
        <v>44993</v>
      </c>
      <c r="C63" t="s">
        <v>378</v>
      </c>
      <c r="D63" t="s">
        <v>381</v>
      </c>
      <c r="E63" s="101">
        <v>-1000</v>
      </c>
      <c r="F63">
        <v>948</v>
      </c>
    </row>
    <row r="64" spans="1:6" x14ac:dyDescent="0.25">
      <c r="A64">
        <v>47</v>
      </c>
      <c r="B64" s="100">
        <v>44995</v>
      </c>
      <c r="C64" t="s">
        <v>378</v>
      </c>
      <c r="D64" t="s">
        <v>381</v>
      </c>
      <c r="E64" s="101">
        <v>-20000</v>
      </c>
      <c r="F64">
        <v>4179</v>
      </c>
    </row>
    <row r="65" spans="1:6" x14ac:dyDescent="0.25">
      <c r="A65">
        <v>64</v>
      </c>
      <c r="B65" s="100">
        <v>44991</v>
      </c>
      <c r="C65" t="s">
        <v>378</v>
      </c>
      <c r="D65" t="s">
        <v>410</v>
      </c>
      <c r="E65" s="101">
        <v>-10000</v>
      </c>
      <c r="F65">
        <v>127</v>
      </c>
    </row>
    <row r="66" spans="1:6" x14ac:dyDescent="0.25">
      <c r="A66">
        <v>65</v>
      </c>
      <c r="B66" s="100">
        <v>44991</v>
      </c>
      <c r="C66" t="s">
        <v>378</v>
      </c>
      <c r="D66" t="s">
        <v>410</v>
      </c>
      <c r="E66" s="101">
        <v>-10000</v>
      </c>
      <c r="F66">
        <v>126</v>
      </c>
    </row>
    <row r="67" spans="1:6" x14ac:dyDescent="0.25">
      <c r="A67">
        <v>48</v>
      </c>
      <c r="B67" s="100">
        <v>44995</v>
      </c>
      <c r="C67" t="s">
        <v>378</v>
      </c>
      <c r="D67" t="s">
        <v>381</v>
      </c>
      <c r="E67" s="101">
        <v>-30000</v>
      </c>
      <c r="F67">
        <v>4178</v>
      </c>
    </row>
    <row r="68" spans="1:6" x14ac:dyDescent="0.25">
      <c r="A68">
        <v>54</v>
      </c>
      <c r="B68" s="100">
        <v>44994</v>
      </c>
      <c r="C68" t="s">
        <v>411</v>
      </c>
      <c r="E68" s="101">
        <v>-30000</v>
      </c>
      <c r="F68">
        <v>20</v>
      </c>
    </row>
    <row r="69" spans="1:6" x14ac:dyDescent="0.25">
      <c r="A69">
        <v>3</v>
      </c>
      <c r="B69" s="100">
        <v>45016</v>
      </c>
      <c r="C69" t="s">
        <v>215</v>
      </c>
      <c r="E69" s="101">
        <v>-494.42</v>
      </c>
      <c r="F69">
        <v>0</v>
      </c>
    </row>
    <row r="70" spans="1:6" x14ac:dyDescent="0.25">
      <c r="A70">
        <v>81</v>
      </c>
      <c r="B70" s="100">
        <v>44986</v>
      </c>
      <c r="C70" t="s">
        <v>231</v>
      </c>
      <c r="E70" s="101">
        <v>19.52</v>
      </c>
      <c r="F70">
        <v>0</v>
      </c>
    </row>
    <row r="71" spans="1:6" x14ac:dyDescent="0.25">
      <c r="A71">
        <v>2</v>
      </c>
      <c r="B71" s="100">
        <v>45016</v>
      </c>
      <c r="C71" t="s">
        <v>214</v>
      </c>
      <c r="E71" s="101">
        <v>-2354.39</v>
      </c>
      <c r="F71">
        <v>0</v>
      </c>
    </row>
    <row r="72" spans="1:6" x14ac:dyDescent="0.25">
      <c r="A72">
        <v>55</v>
      </c>
      <c r="B72" s="100">
        <v>44993</v>
      </c>
      <c r="C72" t="s">
        <v>224</v>
      </c>
      <c r="D72" t="s">
        <v>225</v>
      </c>
      <c r="E72" s="101">
        <v>-63386.65</v>
      </c>
      <c r="F72">
        <v>199749</v>
      </c>
    </row>
    <row r="73" spans="1:6" x14ac:dyDescent="0.25">
      <c r="A73">
        <v>77</v>
      </c>
      <c r="B73" s="100">
        <v>44987</v>
      </c>
      <c r="C73" t="s">
        <v>360</v>
      </c>
      <c r="D73" t="s">
        <v>241</v>
      </c>
      <c r="E73" s="101">
        <v>50000</v>
      </c>
      <c r="F73">
        <v>323704</v>
      </c>
    </row>
    <row r="74" spans="1:6" x14ac:dyDescent="0.25">
      <c r="A74">
        <v>69</v>
      </c>
      <c r="B74" s="100">
        <v>44991</v>
      </c>
      <c r="C74" t="s">
        <v>217</v>
      </c>
      <c r="D74" t="s">
        <v>412</v>
      </c>
      <c r="E74" s="101">
        <v>-20000</v>
      </c>
      <c r="F74">
        <v>609357</v>
      </c>
    </row>
    <row r="75" spans="1:6" x14ac:dyDescent="0.25">
      <c r="A75">
        <v>12</v>
      </c>
      <c r="B75" s="100">
        <v>45012</v>
      </c>
      <c r="C75" t="s">
        <v>217</v>
      </c>
      <c r="D75" t="s">
        <v>364</v>
      </c>
      <c r="E75" s="101">
        <v>-39000</v>
      </c>
      <c r="F75">
        <v>504802</v>
      </c>
    </row>
    <row r="76" spans="1:6" x14ac:dyDescent="0.25">
      <c r="A76">
        <v>80</v>
      </c>
      <c r="B76" s="100">
        <v>44986</v>
      </c>
      <c r="C76" t="s">
        <v>217</v>
      </c>
      <c r="D76" t="s">
        <v>413</v>
      </c>
      <c r="E76" s="101">
        <v>-7000</v>
      </c>
      <c r="F76">
        <v>236948</v>
      </c>
    </row>
    <row r="77" spans="1:6" x14ac:dyDescent="0.25">
      <c r="A77">
        <v>5</v>
      </c>
      <c r="B77" s="100">
        <v>45014</v>
      </c>
      <c r="C77" t="s">
        <v>217</v>
      </c>
      <c r="D77" t="s">
        <v>414</v>
      </c>
      <c r="E77" s="101">
        <v>-110000</v>
      </c>
      <c r="F77">
        <v>16333</v>
      </c>
    </row>
    <row r="78" spans="1:6" x14ac:dyDescent="0.25">
      <c r="A78">
        <v>32</v>
      </c>
      <c r="B78" s="100">
        <v>45005</v>
      </c>
      <c r="C78" t="s">
        <v>217</v>
      </c>
      <c r="D78" t="s">
        <v>415</v>
      </c>
      <c r="E78" s="101">
        <v>-15000</v>
      </c>
      <c r="F78">
        <v>510920</v>
      </c>
    </row>
    <row r="79" spans="1:6" x14ac:dyDescent="0.25">
      <c r="A79">
        <v>31</v>
      </c>
      <c r="B79" s="100">
        <v>45005</v>
      </c>
      <c r="C79" t="s">
        <v>217</v>
      </c>
      <c r="D79" t="s">
        <v>364</v>
      </c>
      <c r="E79" s="101">
        <v>-5000</v>
      </c>
      <c r="F79">
        <v>199359</v>
      </c>
    </row>
    <row r="80" spans="1:6" x14ac:dyDescent="0.25">
      <c r="A80">
        <v>78</v>
      </c>
      <c r="B80" s="100">
        <v>44987</v>
      </c>
      <c r="C80" t="s">
        <v>217</v>
      </c>
      <c r="D80" t="s">
        <v>412</v>
      </c>
      <c r="E80" s="101">
        <v>-60000</v>
      </c>
      <c r="F80">
        <v>344327</v>
      </c>
    </row>
    <row r="81" spans="1:6" x14ac:dyDescent="0.25">
      <c r="A81">
        <v>30</v>
      </c>
      <c r="B81" s="100">
        <v>45005</v>
      </c>
      <c r="C81" t="s">
        <v>217</v>
      </c>
      <c r="D81" t="s">
        <v>364</v>
      </c>
      <c r="E81" s="101">
        <v>-15000</v>
      </c>
      <c r="F81">
        <v>544544</v>
      </c>
    </row>
    <row r="82" spans="1:6" x14ac:dyDescent="0.25">
      <c r="A82">
        <v>68</v>
      </c>
      <c r="B82" s="100">
        <v>44991</v>
      </c>
      <c r="C82" t="s">
        <v>217</v>
      </c>
      <c r="D82" t="s">
        <v>241</v>
      </c>
      <c r="E82" s="101">
        <v>-38000</v>
      </c>
      <c r="F82">
        <v>605751</v>
      </c>
    </row>
    <row r="83" spans="1:6" x14ac:dyDescent="0.25">
      <c r="A83">
        <v>35</v>
      </c>
      <c r="B83" s="100">
        <v>45002</v>
      </c>
      <c r="C83" t="s">
        <v>416</v>
      </c>
      <c r="D83" t="s">
        <v>417</v>
      </c>
      <c r="E83" s="101">
        <v>180587.63</v>
      </c>
      <c r="F83">
        <v>2959873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FBDC-3945-4306-AA64-12DC226F7A20}">
  <dimension ref="A1:J77"/>
  <sheetViews>
    <sheetView topLeftCell="A50" zoomScaleNormal="100" workbookViewId="0">
      <selection activeCell="D78" sqref="D7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7.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21</v>
      </c>
      <c r="B2" s="100">
        <v>45005</v>
      </c>
      <c r="C2" t="s">
        <v>211</v>
      </c>
      <c r="D2" t="s">
        <v>402</v>
      </c>
      <c r="E2" s="101">
        <v>-350</v>
      </c>
    </row>
    <row r="3" spans="1:10" x14ac:dyDescent="0.25">
      <c r="A3">
        <v>73</v>
      </c>
      <c r="B3" s="100">
        <v>44988</v>
      </c>
      <c r="C3" t="s">
        <v>211</v>
      </c>
      <c r="D3" t="s">
        <v>399</v>
      </c>
      <c r="E3" s="101">
        <v>-480</v>
      </c>
    </row>
    <row r="4" spans="1:10" x14ac:dyDescent="0.25">
      <c r="A4">
        <v>3</v>
      </c>
      <c r="B4" s="100">
        <v>45016</v>
      </c>
      <c r="C4" t="s">
        <v>215</v>
      </c>
      <c r="E4" s="101">
        <v>-494.42</v>
      </c>
    </row>
    <row r="5" spans="1:10" x14ac:dyDescent="0.25">
      <c r="A5">
        <v>28</v>
      </c>
      <c r="B5" s="100">
        <v>45005</v>
      </c>
      <c r="C5" t="s">
        <v>211</v>
      </c>
      <c r="D5" t="s">
        <v>270</v>
      </c>
      <c r="E5" s="101">
        <v>-560</v>
      </c>
    </row>
    <row r="6" spans="1:10" x14ac:dyDescent="0.25">
      <c r="A6">
        <v>10</v>
      </c>
      <c r="B6" s="100">
        <v>45012</v>
      </c>
      <c r="C6" t="s">
        <v>211</v>
      </c>
      <c r="D6" t="s">
        <v>242</v>
      </c>
      <c r="E6" s="101">
        <v>-630</v>
      </c>
    </row>
    <row r="7" spans="1:10" x14ac:dyDescent="0.25">
      <c r="A7">
        <v>8</v>
      </c>
      <c r="B7" s="100">
        <v>45012</v>
      </c>
      <c r="C7" t="s">
        <v>211</v>
      </c>
      <c r="D7" t="s">
        <v>352</v>
      </c>
      <c r="E7" s="101">
        <v>-700</v>
      </c>
    </row>
    <row r="8" spans="1:10" x14ac:dyDescent="0.25">
      <c r="A8">
        <v>22</v>
      </c>
      <c r="B8" s="100">
        <v>45005</v>
      </c>
      <c r="C8" t="s">
        <v>211</v>
      </c>
      <c r="D8" t="s">
        <v>352</v>
      </c>
      <c r="E8" s="101">
        <v>-700</v>
      </c>
    </row>
    <row r="9" spans="1:10" x14ac:dyDescent="0.25">
      <c r="A9">
        <v>72</v>
      </c>
      <c r="B9" s="100">
        <v>44988</v>
      </c>
      <c r="C9" t="s">
        <v>211</v>
      </c>
      <c r="D9" t="s">
        <v>331</v>
      </c>
      <c r="E9" s="101">
        <v>-700</v>
      </c>
    </row>
    <row r="10" spans="1:10" x14ac:dyDescent="0.25">
      <c r="A10">
        <v>0</v>
      </c>
      <c r="B10" s="100">
        <v>45016</v>
      </c>
      <c r="C10" t="s">
        <v>211</v>
      </c>
      <c r="D10" t="s">
        <v>270</v>
      </c>
      <c r="E10" s="101">
        <v>-770</v>
      </c>
    </row>
    <row r="11" spans="1:10" x14ac:dyDescent="0.25">
      <c r="A11">
        <v>50</v>
      </c>
      <c r="B11" s="100">
        <v>44994</v>
      </c>
      <c r="C11" t="s">
        <v>211</v>
      </c>
      <c r="D11" t="s">
        <v>242</v>
      </c>
      <c r="E11" s="101">
        <v>-850</v>
      </c>
    </row>
    <row r="12" spans="1:10" x14ac:dyDescent="0.25">
      <c r="A12">
        <v>24</v>
      </c>
      <c r="B12" s="100">
        <v>45005</v>
      </c>
      <c r="C12" t="s">
        <v>211</v>
      </c>
      <c r="D12" t="s">
        <v>242</v>
      </c>
      <c r="E12" s="101">
        <v>-860</v>
      </c>
    </row>
    <row r="13" spans="1:10" x14ac:dyDescent="0.25">
      <c r="A13">
        <v>14</v>
      </c>
      <c r="B13" s="100">
        <v>45007</v>
      </c>
      <c r="C13" t="s">
        <v>211</v>
      </c>
      <c r="D13" t="s">
        <v>402</v>
      </c>
      <c r="E13" s="101">
        <v>-900</v>
      </c>
    </row>
    <row r="14" spans="1:10" x14ac:dyDescent="0.25">
      <c r="A14">
        <v>23</v>
      </c>
      <c r="B14" s="100">
        <v>45005</v>
      </c>
      <c r="C14" t="s">
        <v>211</v>
      </c>
      <c r="D14" t="s">
        <v>269</v>
      </c>
      <c r="E14" s="101">
        <v>-940</v>
      </c>
    </row>
    <row r="15" spans="1:10" x14ac:dyDescent="0.25">
      <c r="A15">
        <v>63</v>
      </c>
      <c r="B15" s="100">
        <v>44991</v>
      </c>
      <c r="C15" t="s">
        <v>211</v>
      </c>
      <c r="D15" t="s">
        <v>269</v>
      </c>
      <c r="E15" s="101">
        <v>-950</v>
      </c>
    </row>
    <row r="16" spans="1:10" x14ac:dyDescent="0.25">
      <c r="A16">
        <v>4</v>
      </c>
      <c r="B16" s="100">
        <v>45015</v>
      </c>
      <c r="C16" t="s">
        <v>211</v>
      </c>
      <c r="D16" t="s">
        <v>352</v>
      </c>
      <c r="E16" s="101">
        <v>-951.25</v>
      </c>
    </row>
    <row r="17" spans="1:5" x14ac:dyDescent="0.25">
      <c r="A17">
        <v>20</v>
      </c>
      <c r="B17" s="100">
        <v>45006</v>
      </c>
      <c r="C17" t="s">
        <v>211</v>
      </c>
      <c r="D17" t="s">
        <v>406</v>
      </c>
      <c r="E17" s="101">
        <v>-960</v>
      </c>
    </row>
    <row r="18" spans="1:5" x14ac:dyDescent="0.25">
      <c r="A18">
        <v>26</v>
      </c>
      <c r="B18" s="100">
        <v>45005</v>
      </c>
      <c r="C18" t="s">
        <v>211</v>
      </c>
      <c r="D18" t="s">
        <v>242</v>
      </c>
      <c r="E18" s="101">
        <v>-970</v>
      </c>
    </row>
    <row r="19" spans="1:5" x14ac:dyDescent="0.25">
      <c r="A19">
        <v>56</v>
      </c>
      <c r="B19" s="100">
        <v>44993</v>
      </c>
      <c r="C19" t="s">
        <v>211</v>
      </c>
      <c r="D19" t="s">
        <v>400</v>
      </c>
      <c r="E19" s="101">
        <v>-1000</v>
      </c>
    </row>
    <row r="20" spans="1:5" x14ac:dyDescent="0.25">
      <c r="A20">
        <v>71</v>
      </c>
      <c r="B20" s="100">
        <v>44988</v>
      </c>
      <c r="C20" t="s">
        <v>211</v>
      </c>
      <c r="D20" t="s">
        <v>398</v>
      </c>
      <c r="E20" s="101">
        <v>-1000</v>
      </c>
    </row>
    <row r="21" spans="1:5" x14ac:dyDescent="0.25">
      <c r="A21">
        <v>70</v>
      </c>
      <c r="B21" s="100">
        <v>44988</v>
      </c>
      <c r="C21" t="s">
        <v>211</v>
      </c>
      <c r="D21" t="s">
        <v>398</v>
      </c>
      <c r="E21" s="101">
        <v>-1100</v>
      </c>
    </row>
    <row r="22" spans="1:5" x14ac:dyDescent="0.25">
      <c r="A22">
        <v>43</v>
      </c>
      <c r="B22" s="100">
        <v>44998</v>
      </c>
      <c r="C22" t="s">
        <v>211</v>
      </c>
      <c r="D22" t="s">
        <v>394</v>
      </c>
      <c r="E22" s="101">
        <v>-1310</v>
      </c>
    </row>
    <row r="23" spans="1:5" x14ac:dyDescent="0.25">
      <c r="A23">
        <v>15</v>
      </c>
      <c r="B23" s="100">
        <v>45007</v>
      </c>
      <c r="C23" t="s">
        <v>211</v>
      </c>
      <c r="D23" t="s">
        <v>403</v>
      </c>
      <c r="E23" s="101">
        <v>-1560</v>
      </c>
    </row>
    <row r="24" spans="1:5" x14ac:dyDescent="0.25">
      <c r="A24">
        <v>17</v>
      </c>
      <c r="B24" s="100">
        <v>45007</v>
      </c>
      <c r="C24" t="s">
        <v>211</v>
      </c>
      <c r="D24" t="s">
        <v>403</v>
      </c>
      <c r="E24" s="101">
        <v>-1560</v>
      </c>
    </row>
    <row r="25" spans="1:5" x14ac:dyDescent="0.25">
      <c r="A25">
        <v>59</v>
      </c>
      <c r="B25" s="100">
        <v>44992</v>
      </c>
      <c r="C25" t="s">
        <v>211</v>
      </c>
      <c r="D25" t="s">
        <v>395</v>
      </c>
      <c r="E25" s="101">
        <v>-1610</v>
      </c>
    </row>
    <row r="26" spans="1:5" x14ac:dyDescent="0.25">
      <c r="A26">
        <v>60</v>
      </c>
      <c r="B26" s="100">
        <v>44992</v>
      </c>
      <c r="C26" t="s">
        <v>211</v>
      </c>
      <c r="D26" t="s">
        <v>397</v>
      </c>
      <c r="E26" s="101">
        <v>-1670</v>
      </c>
    </row>
    <row r="27" spans="1:5" x14ac:dyDescent="0.25">
      <c r="A27">
        <v>25</v>
      </c>
      <c r="B27" s="100">
        <v>45005</v>
      </c>
      <c r="C27" t="s">
        <v>211</v>
      </c>
      <c r="D27" t="s">
        <v>299</v>
      </c>
      <c r="E27" s="101">
        <v>-1700</v>
      </c>
    </row>
    <row r="28" spans="1:5" x14ac:dyDescent="0.25">
      <c r="A28">
        <v>75</v>
      </c>
      <c r="B28" s="100">
        <v>44987</v>
      </c>
      <c r="C28" t="s">
        <v>211</v>
      </c>
      <c r="D28" t="s">
        <v>269</v>
      </c>
      <c r="E28" s="101">
        <v>-1850</v>
      </c>
    </row>
    <row r="29" spans="1:5" x14ac:dyDescent="0.25">
      <c r="A29">
        <v>6</v>
      </c>
      <c r="B29" s="100">
        <v>45012</v>
      </c>
      <c r="C29" t="s">
        <v>211</v>
      </c>
      <c r="D29" t="s">
        <v>269</v>
      </c>
      <c r="E29" s="101">
        <v>-2040</v>
      </c>
    </row>
    <row r="30" spans="1:5" x14ac:dyDescent="0.25">
      <c r="A30">
        <v>7</v>
      </c>
      <c r="B30" s="100">
        <v>45012</v>
      </c>
      <c r="C30" t="s">
        <v>211</v>
      </c>
      <c r="D30" t="s">
        <v>356</v>
      </c>
      <c r="E30" s="101">
        <v>-2200</v>
      </c>
    </row>
    <row r="31" spans="1:5" x14ac:dyDescent="0.25">
      <c r="A31">
        <v>45</v>
      </c>
      <c r="B31" s="100">
        <v>44995</v>
      </c>
      <c r="C31" t="s">
        <v>211</v>
      </c>
      <c r="D31" t="s">
        <v>395</v>
      </c>
      <c r="E31" s="101">
        <v>-2290</v>
      </c>
    </row>
    <row r="32" spans="1:5" x14ac:dyDescent="0.25">
      <c r="A32">
        <v>2</v>
      </c>
      <c r="B32" s="100">
        <v>45016</v>
      </c>
      <c r="C32" t="s">
        <v>214</v>
      </c>
      <c r="E32" s="101">
        <v>-2354.39</v>
      </c>
    </row>
    <row r="33" spans="1:5" x14ac:dyDescent="0.25">
      <c r="A33">
        <v>34</v>
      </c>
      <c r="B33" s="100">
        <v>45002</v>
      </c>
      <c r="C33" t="s">
        <v>211</v>
      </c>
      <c r="D33" t="s">
        <v>391</v>
      </c>
      <c r="E33" s="101">
        <v>-2500</v>
      </c>
    </row>
    <row r="34" spans="1:5" x14ac:dyDescent="0.25">
      <c r="A34">
        <v>9</v>
      </c>
      <c r="B34" s="100">
        <v>45012</v>
      </c>
      <c r="C34" t="s">
        <v>211</v>
      </c>
      <c r="D34" t="s">
        <v>245</v>
      </c>
      <c r="E34" s="101">
        <v>-2630</v>
      </c>
    </row>
    <row r="35" spans="1:5" x14ac:dyDescent="0.25">
      <c r="A35">
        <v>16</v>
      </c>
      <c r="B35" s="100">
        <v>45007</v>
      </c>
      <c r="C35" t="s">
        <v>211</v>
      </c>
      <c r="D35" t="s">
        <v>404</v>
      </c>
      <c r="E35" s="101">
        <v>-2800</v>
      </c>
    </row>
    <row r="36" spans="1:5" x14ac:dyDescent="0.25">
      <c r="A36">
        <v>42</v>
      </c>
      <c r="B36" s="100">
        <v>45000</v>
      </c>
      <c r="C36" t="s">
        <v>211</v>
      </c>
      <c r="D36" t="s">
        <v>280</v>
      </c>
      <c r="E36" s="101">
        <v>-2926</v>
      </c>
    </row>
    <row r="37" spans="1:5" x14ac:dyDescent="0.25">
      <c r="A37">
        <v>62</v>
      </c>
      <c r="B37" s="100">
        <v>44991</v>
      </c>
      <c r="C37" t="s">
        <v>211</v>
      </c>
      <c r="D37" t="s">
        <v>245</v>
      </c>
      <c r="E37" s="101">
        <v>-3044.25</v>
      </c>
    </row>
    <row r="38" spans="1:5" x14ac:dyDescent="0.25">
      <c r="A38">
        <v>13</v>
      </c>
      <c r="B38" s="100">
        <v>45008</v>
      </c>
      <c r="C38" t="s">
        <v>211</v>
      </c>
      <c r="D38" t="s">
        <v>395</v>
      </c>
      <c r="E38" s="101">
        <v>-3130</v>
      </c>
    </row>
    <row r="39" spans="1:5" x14ac:dyDescent="0.25">
      <c r="A39">
        <v>27</v>
      </c>
      <c r="B39" s="100">
        <v>45005</v>
      </c>
      <c r="C39" t="s">
        <v>211</v>
      </c>
      <c r="D39" t="s">
        <v>216</v>
      </c>
      <c r="E39" s="101">
        <v>-3263.9</v>
      </c>
    </row>
    <row r="40" spans="1:5" x14ac:dyDescent="0.25">
      <c r="A40">
        <v>40</v>
      </c>
      <c r="B40" s="100">
        <v>45000</v>
      </c>
      <c r="C40" t="s">
        <v>211</v>
      </c>
      <c r="D40" t="s">
        <v>401</v>
      </c>
      <c r="E40" s="101">
        <v>-3394.07</v>
      </c>
    </row>
    <row r="41" spans="1:5" x14ac:dyDescent="0.25">
      <c r="A41">
        <v>79</v>
      </c>
      <c r="B41" s="100">
        <v>44986</v>
      </c>
      <c r="C41" t="s">
        <v>211</v>
      </c>
      <c r="D41" t="s">
        <v>280</v>
      </c>
      <c r="E41" s="101">
        <v>-3539</v>
      </c>
    </row>
    <row r="42" spans="1:5" x14ac:dyDescent="0.25">
      <c r="A42">
        <v>18</v>
      </c>
      <c r="B42" s="100">
        <v>45006</v>
      </c>
      <c r="C42" t="s">
        <v>211</v>
      </c>
      <c r="D42" t="s">
        <v>404</v>
      </c>
      <c r="E42" s="101">
        <v>-4200</v>
      </c>
    </row>
    <row r="43" spans="1:5" x14ac:dyDescent="0.25">
      <c r="A43">
        <v>37</v>
      </c>
      <c r="B43" s="100">
        <v>45001</v>
      </c>
      <c r="C43" t="s">
        <v>211</v>
      </c>
      <c r="D43" t="s">
        <v>392</v>
      </c>
      <c r="E43" s="101">
        <v>-4500</v>
      </c>
    </row>
    <row r="44" spans="1:5" x14ac:dyDescent="0.25">
      <c r="A44">
        <v>31</v>
      </c>
      <c r="B44" s="100">
        <v>45005</v>
      </c>
      <c r="C44" t="s">
        <v>217</v>
      </c>
      <c r="D44" t="s">
        <v>364</v>
      </c>
      <c r="E44" s="101">
        <v>-5000</v>
      </c>
    </row>
    <row r="45" spans="1:5" x14ac:dyDescent="0.25">
      <c r="A45">
        <v>38</v>
      </c>
      <c r="B45" s="100">
        <v>45001</v>
      </c>
      <c r="C45" t="s">
        <v>211</v>
      </c>
      <c r="D45" t="s">
        <v>269</v>
      </c>
      <c r="E45" s="101">
        <v>-5320</v>
      </c>
    </row>
    <row r="46" spans="1:5" x14ac:dyDescent="0.25">
      <c r="A46">
        <v>51</v>
      </c>
      <c r="B46" s="100">
        <v>44994</v>
      </c>
      <c r="C46" t="s">
        <v>211</v>
      </c>
      <c r="D46" t="s">
        <v>396</v>
      </c>
      <c r="E46" s="101">
        <v>-5500</v>
      </c>
    </row>
    <row r="47" spans="1:5" x14ac:dyDescent="0.25">
      <c r="A47">
        <v>19</v>
      </c>
      <c r="B47" s="100">
        <v>45006</v>
      </c>
      <c r="C47" t="s">
        <v>211</v>
      </c>
      <c r="D47" t="s">
        <v>405</v>
      </c>
      <c r="E47" s="101">
        <v>-6800</v>
      </c>
    </row>
    <row r="48" spans="1:5" x14ac:dyDescent="0.25">
      <c r="A48">
        <v>80</v>
      </c>
      <c r="B48" s="100">
        <v>44986</v>
      </c>
      <c r="C48" t="s">
        <v>217</v>
      </c>
      <c r="D48" t="s">
        <v>413</v>
      </c>
      <c r="E48" s="101">
        <v>-7000</v>
      </c>
    </row>
    <row r="49" spans="1:9" x14ac:dyDescent="0.25">
      <c r="A49">
        <v>41</v>
      </c>
      <c r="B49" s="100">
        <v>45000</v>
      </c>
      <c r="C49" t="s">
        <v>211</v>
      </c>
      <c r="D49" t="s">
        <v>393</v>
      </c>
      <c r="E49" s="101">
        <v>-11800</v>
      </c>
    </row>
    <row r="50" spans="1:9" x14ac:dyDescent="0.25">
      <c r="A50">
        <v>30</v>
      </c>
      <c r="B50" s="100">
        <v>45005</v>
      </c>
      <c r="C50" t="s">
        <v>217</v>
      </c>
      <c r="D50" t="s">
        <v>364</v>
      </c>
      <c r="E50" s="101">
        <v>-15000</v>
      </c>
    </row>
    <row r="51" spans="1:9" x14ac:dyDescent="0.25">
      <c r="A51">
        <v>32</v>
      </c>
      <c r="B51" s="100">
        <v>45005</v>
      </c>
      <c r="C51" t="s">
        <v>217</v>
      </c>
      <c r="D51" t="s">
        <v>415</v>
      </c>
      <c r="E51" s="101">
        <v>-15000</v>
      </c>
    </row>
    <row r="52" spans="1:9" x14ac:dyDescent="0.25">
      <c r="A52">
        <v>44</v>
      </c>
      <c r="B52" s="100">
        <v>44998</v>
      </c>
      <c r="C52" t="s">
        <v>244</v>
      </c>
      <c r="D52" t="s">
        <v>408</v>
      </c>
      <c r="E52" s="101">
        <v>-15000</v>
      </c>
    </row>
    <row r="53" spans="1:9" x14ac:dyDescent="0.25">
      <c r="A53">
        <v>69</v>
      </c>
      <c r="B53" s="100">
        <v>44991</v>
      </c>
      <c r="C53" t="s">
        <v>217</v>
      </c>
      <c r="D53" t="s">
        <v>412</v>
      </c>
      <c r="E53" s="101">
        <v>-20000</v>
      </c>
    </row>
    <row r="54" spans="1:9" x14ac:dyDescent="0.25">
      <c r="A54">
        <v>68</v>
      </c>
      <c r="B54" s="100">
        <v>44991</v>
      </c>
      <c r="C54" t="s">
        <v>217</v>
      </c>
      <c r="D54" t="s">
        <v>241</v>
      </c>
      <c r="E54" s="101">
        <v>-38000</v>
      </c>
    </row>
    <row r="55" spans="1:9" x14ac:dyDescent="0.25">
      <c r="A55">
        <v>12</v>
      </c>
      <c r="B55" s="100">
        <v>45012</v>
      </c>
      <c r="C55" t="s">
        <v>217</v>
      </c>
      <c r="D55" t="s">
        <v>364</v>
      </c>
      <c r="E55" s="101">
        <v>-39000</v>
      </c>
    </row>
    <row r="56" spans="1:9" x14ac:dyDescent="0.25">
      <c r="A56">
        <v>78</v>
      </c>
      <c r="B56" s="100">
        <v>44987</v>
      </c>
      <c r="C56" t="s">
        <v>217</v>
      </c>
      <c r="D56" t="s">
        <v>412</v>
      </c>
      <c r="E56" s="101">
        <v>-60000</v>
      </c>
    </row>
    <row r="57" spans="1:9" x14ac:dyDescent="0.25">
      <c r="A57">
        <v>5</v>
      </c>
      <c r="B57" s="100">
        <v>45014</v>
      </c>
      <c r="C57" t="s">
        <v>217</v>
      </c>
      <c r="D57" t="s">
        <v>414</v>
      </c>
      <c r="E57" s="101">
        <v>-110000</v>
      </c>
    </row>
    <row r="58" spans="1:9" x14ac:dyDescent="0.25">
      <c r="A58">
        <v>55</v>
      </c>
      <c r="B58" s="100">
        <v>44993</v>
      </c>
      <c r="C58" t="s">
        <v>224</v>
      </c>
      <c r="D58" t="s">
        <v>225</v>
      </c>
      <c r="F58" s="101">
        <v>-63386.65</v>
      </c>
    </row>
    <row r="59" spans="1:9" x14ac:dyDescent="0.25">
      <c r="A59">
        <v>49</v>
      </c>
      <c r="B59" s="100">
        <v>44995</v>
      </c>
      <c r="C59" t="s">
        <v>222</v>
      </c>
      <c r="D59" t="s">
        <v>223</v>
      </c>
      <c r="F59" s="101">
        <v>-210264.08</v>
      </c>
    </row>
    <row r="60" spans="1:9" x14ac:dyDescent="0.25">
      <c r="A60">
        <v>33</v>
      </c>
      <c r="B60" s="100">
        <v>45005</v>
      </c>
      <c r="C60" t="s">
        <v>258</v>
      </c>
      <c r="H60" s="101">
        <v>-1000000</v>
      </c>
    </row>
    <row r="61" spans="1:9" x14ac:dyDescent="0.25">
      <c r="A61">
        <v>53</v>
      </c>
      <c r="B61" s="100">
        <v>44994</v>
      </c>
      <c r="C61" t="s">
        <v>378</v>
      </c>
      <c r="D61" t="s">
        <v>409</v>
      </c>
      <c r="I61" s="101">
        <v>-100</v>
      </c>
    </row>
    <row r="62" spans="1:9" x14ac:dyDescent="0.25">
      <c r="A62">
        <v>57</v>
      </c>
      <c r="B62" s="100">
        <v>44993</v>
      </c>
      <c r="C62" t="s">
        <v>378</v>
      </c>
      <c r="D62" t="s">
        <v>381</v>
      </c>
      <c r="I62" s="101">
        <v>-1000</v>
      </c>
    </row>
    <row r="63" spans="1:9" x14ac:dyDescent="0.25">
      <c r="A63">
        <v>76</v>
      </c>
      <c r="B63" s="100">
        <v>44987</v>
      </c>
      <c r="C63" t="s">
        <v>229</v>
      </c>
      <c r="D63" t="s">
        <v>230</v>
      </c>
      <c r="I63" s="101">
        <v>-5000</v>
      </c>
    </row>
    <row r="64" spans="1:9" x14ac:dyDescent="0.25">
      <c r="A64">
        <v>1</v>
      </c>
      <c r="B64" s="100">
        <v>45016</v>
      </c>
      <c r="C64" t="s">
        <v>229</v>
      </c>
      <c r="D64" t="s">
        <v>230</v>
      </c>
      <c r="I64" s="101">
        <v>-10000</v>
      </c>
    </row>
    <row r="65" spans="1:10" x14ac:dyDescent="0.25">
      <c r="A65">
        <v>64</v>
      </c>
      <c r="B65" s="100">
        <v>44991</v>
      </c>
      <c r="C65" t="s">
        <v>378</v>
      </c>
      <c r="D65" t="s">
        <v>410</v>
      </c>
      <c r="I65" s="101">
        <v>-10000</v>
      </c>
    </row>
    <row r="66" spans="1:10" x14ac:dyDescent="0.25">
      <c r="A66">
        <v>65</v>
      </c>
      <c r="B66" s="100">
        <v>44991</v>
      </c>
      <c r="C66" t="s">
        <v>378</v>
      </c>
      <c r="D66" t="s">
        <v>410</v>
      </c>
      <c r="I66" s="101">
        <v>-10000</v>
      </c>
    </row>
    <row r="67" spans="1:10" x14ac:dyDescent="0.25">
      <c r="A67">
        <v>39</v>
      </c>
      <c r="B67" s="100">
        <v>45001</v>
      </c>
      <c r="C67" t="s">
        <v>378</v>
      </c>
      <c r="D67" t="s">
        <v>381</v>
      </c>
      <c r="I67" s="101">
        <v>-20000</v>
      </c>
    </row>
    <row r="68" spans="1:10" x14ac:dyDescent="0.25">
      <c r="A68">
        <v>47</v>
      </c>
      <c r="B68" s="100">
        <v>44995</v>
      </c>
      <c r="C68" t="s">
        <v>378</v>
      </c>
      <c r="D68" t="s">
        <v>381</v>
      </c>
      <c r="I68" s="101">
        <v>-20000</v>
      </c>
    </row>
    <row r="69" spans="1:10" x14ac:dyDescent="0.25">
      <c r="A69">
        <v>52</v>
      </c>
      <c r="B69" s="100">
        <v>44994</v>
      </c>
      <c r="C69" t="s">
        <v>229</v>
      </c>
      <c r="D69" t="s">
        <v>230</v>
      </c>
      <c r="I69" s="101">
        <v>-20000</v>
      </c>
    </row>
    <row r="70" spans="1:10" x14ac:dyDescent="0.25">
      <c r="A70">
        <v>48</v>
      </c>
      <c r="B70" s="100">
        <v>44995</v>
      </c>
      <c r="C70" t="s">
        <v>378</v>
      </c>
      <c r="D70" t="s">
        <v>381</v>
      </c>
      <c r="I70" s="101">
        <v>-30000</v>
      </c>
    </row>
    <row r="71" spans="1:10" x14ac:dyDescent="0.25">
      <c r="A71">
        <v>54</v>
      </c>
      <c r="B71" s="100">
        <v>44994</v>
      </c>
      <c r="C71" t="s">
        <v>411</v>
      </c>
      <c r="I71" s="101">
        <v>-30000</v>
      </c>
    </row>
    <row r="72" spans="1:10" x14ac:dyDescent="0.25">
      <c r="A72" s="106"/>
      <c r="B72" s="105">
        <v>44995</v>
      </c>
      <c r="C72" s="106" t="s">
        <v>282</v>
      </c>
      <c r="D72" s="106"/>
      <c r="E72" s="102"/>
      <c r="F72" s="102"/>
      <c r="G72" s="102">
        <v>-20559</v>
      </c>
    </row>
    <row r="73" spans="1:10" x14ac:dyDescent="0.25">
      <c r="A73" s="106"/>
      <c r="B73" s="105">
        <v>44995</v>
      </c>
      <c r="C73" s="106" t="s">
        <v>253</v>
      </c>
      <c r="D73" s="106"/>
      <c r="E73" s="102"/>
      <c r="F73" s="102">
        <v>20559</v>
      </c>
    </row>
    <row r="74" spans="1:10" x14ac:dyDescent="0.25">
      <c r="E74" s="290">
        <f>SUBTOTAL(109,Mar_Debitos[Gastos])</f>
        <v>-425357.28</v>
      </c>
      <c r="F74" s="290">
        <f>SUBTOTAL(109,Mar_Debitos[Tarjetas])</f>
        <v>-253091.72999999998</v>
      </c>
      <c r="G74" s="290">
        <f>SUBTOTAL(109,Mar_Debitos[Impuestos])</f>
        <v>-20559</v>
      </c>
      <c r="H74" s="290">
        <f>SUBTOTAL(109,Mar_Debitos[Inversiones])</f>
        <v>-1000000</v>
      </c>
      <c r="I74" s="290">
        <f>SUBTOTAL(109,Mar_Debitos[Extracciones])</f>
        <v>-156100</v>
      </c>
      <c r="J74">
        <f>SUBTOTAL(103,Mar_Debitos[Comentarios])</f>
        <v>0</v>
      </c>
    </row>
    <row r="76" spans="1:10" x14ac:dyDescent="0.25">
      <c r="C76" t="s">
        <v>209</v>
      </c>
      <c r="D76" t="s">
        <v>210</v>
      </c>
      <c r="E76" s="101" t="s">
        <v>233</v>
      </c>
      <c r="F76" s="101" t="s">
        <v>234</v>
      </c>
      <c r="G76" s="101" t="s">
        <v>235</v>
      </c>
      <c r="H76" s="101" t="s">
        <v>236</v>
      </c>
      <c r="I76" s="101" t="s">
        <v>237</v>
      </c>
      <c r="J76" t="s">
        <v>238</v>
      </c>
    </row>
    <row r="77" spans="1:10" x14ac:dyDescent="0.25">
      <c r="B77" s="100">
        <v>45016</v>
      </c>
      <c r="C77" t="s">
        <v>254</v>
      </c>
      <c r="E77" s="101">
        <v>-425357.27999999997</v>
      </c>
      <c r="F77" s="101">
        <v>-253091.72999999998</v>
      </c>
      <c r="G77" s="101">
        <v>-20559</v>
      </c>
      <c r="H77" s="101">
        <v>-1000000</v>
      </c>
      <c r="I77" s="101">
        <v>-156100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4DE1-EE5B-4AA5-B2A0-65604502C425}">
  <dimension ref="A1:H17"/>
  <sheetViews>
    <sheetView workbookViewId="0">
      <selection activeCell="H14" sqref="H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40" customWidth="1"/>
    <col min="4" max="4" width="40.625" customWidth="1"/>
    <col min="5" max="7" width="12.625" style="101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  <c r="H1" t="s">
        <v>418</v>
      </c>
    </row>
    <row r="2" spans="1:8" x14ac:dyDescent="0.25">
      <c r="A2">
        <v>74</v>
      </c>
      <c r="B2" s="100">
        <v>44988</v>
      </c>
      <c r="C2" t="s">
        <v>226</v>
      </c>
      <c r="D2" t="s">
        <v>227</v>
      </c>
      <c r="E2" s="101">
        <v>2852</v>
      </c>
      <c r="H2" s="101"/>
    </row>
    <row r="3" spans="1:8" x14ac:dyDescent="0.25">
      <c r="A3">
        <v>11</v>
      </c>
      <c r="B3" s="100">
        <v>45012</v>
      </c>
      <c r="C3" t="s">
        <v>226</v>
      </c>
      <c r="D3" t="s">
        <v>227</v>
      </c>
      <c r="E3" s="101">
        <v>8557</v>
      </c>
      <c r="H3" s="101"/>
    </row>
    <row r="4" spans="1:8" x14ac:dyDescent="0.25">
      <c r="A4">
        <v>36</v>
      </c>
      <c r="B4" s="100">
        <v>45002</v>
      </c>
      <c r="C4" t="s">
        <v>226</v>
      </c>
      <c r="D4" t="s">
        <v>227</v>
      </c>
      <c r="E4" s="101">
        <v>8557</v>
      </c>
      <c r="H4" s="101"/>
    </row>
    <row r="5" spans="1:8" x14ac:dyDescent="0.25">
      <c r="A5">
        <v>66</v>
      </c>
      <c r="B5" s="100">
        <v>44991</v>
      </c>
      <c r="C5" t="s">
        <v>226</v>
      </c>
      <c r="D5" t="s">
        <v>227</v>
      </c>
      <c r="E5" s="101">
        <v>21591.89</v>
      </c>
      <c r="H5" s="101"/>
    </row>
    <row r="6" spans="1:8" x14ac:dyDescent="0.25">
      <c r="A6">
        <v>67</v>
      </c>
      <c r="B6" s="100">
        <v>44991</v>
      </c>
      <c r="C6" t="s">
        <v>226</v>
      </c>
      <c r="D6" t="s">
        <v>227</v>
      </c>
      <c r="E6" s="101">
        <v>335293.31</v>
      </c>
      <c r="H6" s="101"/>
    </row>
    <row r="7" spans="1:8" x14ac:dyDescent="0.25">
      <c r="A7">
        <v>29</v>
      </c>
      <c r="B7" s="100">
        <v>45005</v>
      </c>
      <c r="C7" t="s">
        <v>226</v>
      </c>
      <c r="D7" t="s">
        <v>227</v>
      </c>
      <c r="E7" s="101">
        <v>1492603.35</v>
      </c>
      <c r="H7" s="101"/>
    </row>
    <row r="8" spans="1:8" x14ac:dyDescent="0.25">
      <c r="A8">
        <v>81</v>
      </c>
      <c r="B8" s="100">
        <v>44986</v>
      </c>
      <c r="C8" t="s">
        <v>231</v>
      </c>
      <c r="F8" s="101">
        <v>19.52</v>
      </c>
      <c r="H8" s="101"/>
    </row>
    <row r="9" spans="1:8" x14ac:dyDescent="0.25">
      <c r="A9">
        <v>46</v>
      </c>
      <c r="B9" s="100">
        <v>44995</v>
      </c>
      <c r="C9" t="s">
        <v>221</v>
      </c>
      <c r="D9" t="s">
        <v>407</v>
      </c>
      <c r="F9" s="101">
        <v>855</v>
      </c>
      <c r="H9" s="101"/>
    </row>
    <row r="10" spans="1:8" x14ac:dyDescent="0.25">
      <c r="A10">
        <v>61</v>
      </c>
      <c r="B10" s="100">
        <v>44992</v>
      </c>
      <c r="C10" t="s">
        <v>221</v>
      </c>
      <c r="D10" t="s">
        <v>257</v>
      </c>
      <c r="F10" s="101">
        <v>7600</v>
      </c>
      <c r="H10" s="101"/>
    </row>
    <row r="11" spans="1:8" x14ac:dyDescent="0.25">
      <c r="A11">
        <v>77</v>
      </c>
      <c r="B11" s="100">
        <v>44987</v>
      </c>
      <c r="C11" t="s">
        <v>360</v>
      </c>
      <c r="D11" t="s">
        <v>241</v>
      </c>
      <c r="F11" s="101">
        <v>50000</v>
      </c>
      <c r="H11" s="101"/>
    </row>
    <row r="12" spans="1:8" x14ac:dyDescent="0.25">
      <c r="A12">
        <v>35</v>
      </c>
      <c r="B12" s="100">
        <v>45002</v>
      </c>
      <c r="C12" t="s">
        <v>416</v>
      </c>
      <c r="D12" t="s">
        <v>417</v>
      </c>
      <c r="F12" s="101">
        <v>180587.63</v>
      </c>
      <c r="H12" s="101"/>
    </row>
    <row r="13" spans="1:8" x14ac:dyDescent="0.25">
      <c r="A13">
        <v>58</v>
      </c>
      <c r="B13" s="100">
        <v>44993</v>
      </c>
      <c r="C13" t="s">
        <v>243</v>
      </c>
      <c r="G13" s="101">
        <f xml:space="preserve"> 530821.92 - 500000</f>
        <v>30821.920000000042</v>
      </c>
      <c r="H13" s="101"/>
    </row>
    <row r="14" spans="1:8" x14ac:dyDescent="0.25">
      <c r="E14" s="290">
        <f>SUBTOTAL(109,Mar_Creditos[Haberes])</f>
        <v>1869454.55</v>
      </c>
      <c r="F14" s="290">
        <f>SUBTOTAL(109,Mar_Creditos[Extras])</f>
        <v>239062.15000000002</v>
      </c>
      <c r="G14" s="290">
        <f>SUBTOTAL(109,Mar_Creditos[Inversiones])</f>
        <v>30821.920000000042</v>
      </c>
      <c r="H14" s="290">
        <f>Mar_Creditos[[#Totals],[Extras]]+Mar_Creditos[[#Totals],[Inversiones]]</f>
        <v>269884.07000000007</v>
      </c>
    </row>
    <row r="16" spans="1:8" x14ac:dyDescent="0.25">
      <c r="C16" t="s">
        <v>209</v>
      </c>
      <c r="D16" t="s">
        <v>210</v>
      </c>
      <c r="E16" s="101" t="s">
        <v>239</v>
      </c>
      <c r="F16" s="101" t="s">
        <v>240</v>
      </c>
      <c r="G16" s="101" t="s">
        <v>236</v>
      </c>
    </row>
    <row r="17" spans="2:7" x14ac:dyDescent="0.25">
      <c r="B17" s="100">
        <v>45016</v>
      </c>
      <c r="C17" t="s">
        <v>254</v>
      </c>
      <c r="E17" s="101">
        <v>1869454.55</v>
      </c>
      <c r="F17" s="101">
        <v>239062.15000000002</v>
      </c>
      <c r="G17" s="101">
        <v>30821.920000000042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2703-9B27-418D-9F41-C8267275423A}">
  <dimension ref="A1:I6"/>
  <sheetViews>
    <sheetView workbookViewId="0">
      <selection activeCell="I19" sqref="I19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44986</v>
      </c>
      <c r="B2" t="s">
        <v>386</v>
      </c>
      <c r="D2" s="101">
        <v>-67450</v>
      </c>
      <c r="E2" s="101">
        <v>0</v>
      </c>
      <c r="F2" s="101">
        <v>0</v>
      </c>
      <c r="G2" s="101">
        <v>0</v>
      </c>
      <c r="H2" s="101">
        <v>0</v>
      </c>
    </row>
    <row r="3" spans="1:9" x14ac:dyDescent="0.25">
      <c r="D3" s="290">
        <f>SUBTOTAL(109,Mar_Efectivo[Gastos])</f>
        <v>-67450</v>
      </c>
      <c r="E3" s="290">
        <f>SUBTOTAL(109,Mar_Efectivo[Tarjetas])</f>
        <v>0</v>
      </c>
      <c r="F3" s="290">
        <f>SUBTOTAL(109,Mar_Efectivo[Impuestos])</f>
        <v>0</v>
      </c>
      <c r="G3" s="290">
        <f>SUBTOTAL(109,Mar_Efectivo[Inversiones])</f>
        <v>0</v>
      </c>
      <c r="H3" s="290">
        <f>SUBTOTAL(109,Mar_Efectivo[Extras])</f>
        <v>0</v>
      </c>
      <c r="I3">
        <f>SUBTOTAL(103,Mar_Efectivo[Comentarios])</f>
        <v>0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45016</v>
      </c>
      <c r="B6" t="s">
        <v>254</v>
      </c>
      <c r="D6" s="101">
        <v>-67450</v>
      </c>
      <c r="E6" s="101">
        <v>0</v>
      </c>
      <c r="F6" s="101">
        <v>0</v>
      </c>
      <c r="G6" s="101">
        <v>0</v>
      </c>
      <c r="H6" s="101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47F9D-B84B-444F-BCB1-FDA525AE32DD}">
  <dimension ref="A1:F70"/>
  <sheetViews>
    <sheetView topLeftCell="A25" workbookViewId="0">
      <selection activeCell="I37" sqref="I37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01" customWidth="1"/>
    <col min="6" max="6" width="10.625" customWidth="1"/>
  </cols>
  <sheetData>
    <row r="1" spans="1:6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325</v>
      </c>
      <c r="F1" t="s">
        <v>326</v>
      </c>
    </row>
    <row r="2" spans="1:6" x14ac:dyDescent="0.25">
      <c r="A2">
        <v>50</v>
      </c>
      <c r="B2" s="100">
        <v>45026</v>
      </c>
      <c r="C2" t="s">
        <v>226</v>
      </c>
      <c r="D2" t="s">
        <v>227</v>
      </c>
      <c r="E2" s="101">
        <v>393146.75</v>
      </c>
      <c r="F2">
        <v>0</v>
      </c>
    </row>
    <row r="3" spans="1:6" x14ac:dyDescent="0.25">
      <c r="A3">
        <v>49</v>
      </c>
      <c r="B3" s="100">
        <v>45026</v>
      </c>
      <c r="C3" t="s">
        <v>226</v>
      </c>
      <c r="D3" t="s">
        <v>227</v>
      </c>
      <c r="E3" s="101">
        <v>8556</v>
      </c>
      <c r="F3">
        <v>0</v>
      </c>
    </row>
    <row r="4" spans="1:6" x14ac:dyDescent="0.25">
      <c r="A4">
        <v>0</v>
      </c>
      <c r="B4" s="100">
        <v>45044</v>
      </c>
      <c r="C4" t="s">
        <v>211</v>
      </c>
      <c r="D4" t="s">
        <v>421</v>
      </c>
      <c r="E4" s="101">
        <v>-1255</v>
      </c>
      <c r="F4">
        <v>101637</v>
      </c>
    </row>
    <row r="5" spans="1:6" x14ac:dyDescent="0.25">
      <c r="A5">
        <v>21</v>
      </c>
      <c r="B5" s="100">
        <v>45036</v>
      </c>
      <c r="C5" t="s">
        <v>211</v>
      </c>
      <c r="D5" t="s">
        <v>242</v>
      </c>
      <c r="E5" s="101">
        <v>-380</v>
      </c>
      <c r="F5">
        <v>34662</v>
      </c>
    </row>
    <row r="6" spans="1:6" x14ac:dyDescent="0.25">
      <c r="A6">
        <v>45</v>
      </c>
      <c r="B6" s="100">
        <v>45026</v>
      </c>
      <c r="C6" t="s">
        <v>211</v>
      </c>
      <c r="D6" t="s">
        <v>270</v>
      </c>
      <c r="E6" s="101">
        <v>-550</v>
      </c>
      <c r="F6">
        <v>93495</v>
      </c>
    </row>
    <row r="7" spans="1:6" x14ac:dyDescent="0.25">
      <c r="A7">
        <v>23</v>
      </c>
      <c r="B7" s="100">
        <v>45036</v>
      </c>
      <c r="C7" t="s">
        <v>211</v>
      </c>
      <c r="D7" t="s">
        <v>422</v>
      </c>
      <c r="E7" s="101">
        <v>-2400</v>
      </c>
      <c r="F7">
        <v>404535</v>
      </c>
    </row>
    <row r="8" spans="1:6" x14ac:dyDescent="0.25">
      <c r="A8">
        <v>26</v>
      </c>
      <c r="B8" s="100">
        <v>45035</v>
      </c>
      <c r="C8" t="s">
        <v>211</v>
      </c>
      <c r="D8" t="s">
        <v>280</v>
      </c>
      <c r="E8" s="101">
        <v>-3847.76</v>
      </c>
      <c r="F8">
        <v>973593</v>
      </c>
    </row>
    <row r="9" spans="1:6" x14ac:dyDescent="0.25">
      <c r="A9">
        <v>27</v>
      </c>
      <c r="B9" s="100">
        <v>45035</v>
      </c>
      <c r="C9" t="s">
        <v>211</v>
      </c>
      <c r="D9" t="s">
        <v>345</v>
      </c>
      <c r="E9" s="101">
        <v>-51000</v>
      </c>
      <c r="F9">
        <v>702414</v>
      </c>
    </row>
    <row r="10" spans="1:6" x14ac:dyDescent="0.25">
      <c r="A10">
        <v>32</v>
      </c>
      <c r="B10" s="100">
        <v>45034</v>
      </c>
      <c r="C10" t="s">
        <v>211</v>
      </c>
      <c r="D10" t="s">
        <v>423</v>
      </c>
      <c r="E10" s="101">
        <v>-3468.27</v>
      </c>
      <c r="F10">
        <v>578817</v>
      </c>
    </row>
    <row r="11" spans="1:6" x14ac:dyDescent="0.25">
      <c r="A11">
        <v>33</v>
      </c>
      <c r="B11" s="100">
        <v>45034</v>
      </c>
      <c r="C11" t="s">
        <v>211</v>
      </c>
      <c r="D11" t="s">
        <v>270</v>
      </c>
      <c r="E11" s="101">
        <v>-350</v>
      </c>
      <c r="F11">
        <v>93900</v>
      </c>
    </row>
    <row r="12" spans="1:6" x14ac:dyDescent="0.25">
      <c r="A12">
        <v>35</v>
      </c>
      <c r="B12" s="100">
        <v>45033</v>
      </c>
      <c r="C12" t="s">
        <v>211</v>
      </c>
      <c r="D12" t="s">
        <v>400</v>
      </c>
      <c r="E12" s="101">
        <v>-1300</v>
      </c>
      <c r="F12">
        <v>34672</v>
      </c>
    </row>
    <row r="13" spans="1:6" x14ac:dyDescent="0.25">
      <c r="A13">
        <v>36</v>
      </c>
      <c r="B13" s="100">
        <v>45033</v>
      </c>
      <c r="C13" t="s">
        <v>211</v>
      </c>
      <c r="D13" t="s">
        <v>216</v>
      </c>
      <c r="E13" s="101">
        <v>-4446.2</v>
      </c>
      <c r="F13">
        <v>923717</v>
      </c>
    </row>
    <row r="14" spans="1:6" x14ac:dyDescent="0.25">
      <c r="A14">
        <v>38</v>
      </c>
      <c r="B14" s="100">
        <v>45030</v>
      </c>
      <c r="C14" t="s">
        <v>211</v>
      </c>
      <c r="D14" t="s">
        <v>424</v>
      </c>
      <c r="E14" s="101">
        <v>-550</v>
      </c>
      <c r="F14">
        <v>46387</v>
      </c>
    </row>
    <row r="15" spans="1:6" x14ac:dyDescent="0.25">
      <c r="A15">
        <v>39</v>
      </c>
      <c r="B15" s="100">
        <v>45030</v>
      </c>
      <c r="C15" t="s">
        <v>211</v>
      </c>
      <c r="D15" t="s">
        <v>269</v>
      </c>
      <c r="E15" s="101">
        <v>-2300</v>
      </c>
      <c r="F15">
        <v>279635</v>
      </c>
    </row>
    <row r="16" spans="1:6" x14ac:dyDescent="0.25">
      <c r="A16">
        <v>40</v>
      </c>
      <c r="B16" s="100">
        <v>45030</v>
      </c>
      <c r="C16" t="s">
        <v>211</v>
      </c>
      <c r="D16" t="s">
        <v>425</v>
      </c>
      <c r="E16" s="101">
        <v>-2900</v>
      </c>
      <c r="F16">
        <v>264350</v>
      </c>
    </row>
    <row r="17" spans="1:6" x14ac:dyDescent="0.25">
      <c r="A17">
        <v>46</v>
      </c>
      <c r="B17" s="100">
        <v>45026</v>
      </c>
      <c r="C17" t="s">
        <v>211</v>
      </c>
      <c r="D17" t="s">
        <v>280</v>
      </c>
      <c r="E17" s="101">
        <v>-4707.33</v>
      </c>
      <c r="F17">
        <v>751559</v>
      </c>
    </row>
    <row r="18" spans="1:6" x14ac:dyDescent="0.25">
      <c r="A18">
        <v>20</v>
      </c>
      <c r="B18" s="100">
        <v>45036</v>
      </c>
      <c r="C18" t="s">
        <v>211</v>
      </c>
      <c r="D18" t="s">
        <v>396</v>
      </c>
      <c r="E18" s="101">
        <v>-620</v>
      </c>
      <c r="F18">
        <v>128814</v>
      </c>
    </row>
    <row r="19" spans="1:6" x14ac:dyDescent="0.25">
      <c r="A19">
        <v>18</v>
      </c>
      <c r="B19" s="100">
        <v>45040</v>
      </c>
      <c r="C19" t="s">
        <v>211</v>
      </c>
      <c r="D19" t="s">
        <v>269</v>
      </c>
      <c r="E19" s="101">
        <v>-3000</v>
      </c>
      <c r="F19">
        <v>761984</v>
      </c>
    </row>
    <row r="20" spans="1:6" x14ac:dyDescent="0.25">
      <c r="A20">
        <v>22</v>
      </c>
      <c r="B20" s="100">
        <v>45036</v>
      </c>
      <c r="C20" t="s">
        <v>211</v>
      </c>
      <c r="D20" t="s">
        <v>280</v>
      </c>
      <c r="E20" s="101">
        <v>-2550</v>
      </c>
      <c r="F20">
        <v>477163</v>
      </c>
    </row>
    <row r="21" spans="1:6" x14ac:dyDescent="0.25">
      <c r="A21">
        <v>52</v>
      </c>
      <c r="B21" s="100">
        <v>45021</v>
      </c>
      <c r="C21" t="s">
        <v>211</v>
      </c>
      <c r="D21" t="s">
        <v>426</v>
      </c>
      <c r="E21" s="101">
        <v>-9570</v>
      </c>
      <c r="F21">
        <v>53015</v>
      </c>
    </row>
    <row r="22" spans="1:6" x14ac:dyDescent="0.25">
      <c r="A22">
        <v>53</v>
      </c>
      <c r="B22" s="100">
        <v>45021</v>
      </c>
      <c r="C22" t="s">
        <v>211</v>
      </c>
      <c r="D22" t="s">
        <v>427</v>
      </c>
      <c r="E22" s="101">
        <v>-9988.43</v>
      </c>
      <c r="F22">
        <v>175172</v>
      </c>
    </row>
    <row r="23" spans="1:6" x14ac:dyDescent="0.25">
      <c r="A23">
        <v>54</v>
      </c>
      <c r="B23" s="100">
        <v>45021</v>
      </c>
      <c r="C23" t="s">
        <v>211</v>
      </c>
      <c r="D23" t="s">
        <v>428</v>
      </c>
      <c r="E23" s="101">
        <v>-6340</v>
      </c>
      <c r="F23">
        <v>78894</v>
      </c>
    </row>
    <row r="24" spans="1:6" x14ac:dyDescent="0.25">
      <c r="A24">
        <v>58</v>
      </c>
      <c r="B24" s="100">
        <v>45020</v>
      </c>
      <c r="C24" t="s">
        <v>211</v>
      </c>
      <c r="D24" t="s">
        <v>429</v>
      </c>
      <c r="E24" s="101">
        <v>-750</v>
      </c>
      <c r="F24">
        <v>86937</v>
      </c>
    </row>
    <row r="25" spans="1:6" x14ac:dyDescent="0.25">
      <c r="A25">
        <v>64</v>
      </c>
      <c r="B25" s="100">
        <v>45019</v>
      </c>
      <c r="C25" t="s">
        <v>211</v>
      </c>
      <c r="D25" t="s">
        <v>430</v>
      </c>
      <c r="E25" s="101">
        <v>-4100</v>
      </c>
      <c r="F25">
        <v>890812</v>
      </c>
    </row>
    <row r="26" spans="1:6" x14ac:dyDescent="0.25">
      <c r="A26">
        <v>17</v>
      </c>
      <c r="B26" s="100">
        <v>45041</v>
      </c>
      <c r="C26" t="s">
        <v>211</v>
      </c>
      <c r="D26" t="s">
        <v>219</v>
      </c>
      <c r="E26" s="101">
        <v>-1980.29</v>
      </c>
      <c r="F26">
        <v>475708</v>
      </c>
    </row>
    <row r="27" spans="1:6" x14ac:dyDescent="0.25">
      <c r="A27">
        <v>59</v>
      </c>
      <c r="B27" s="100">
        <v>45020</v>
      </c>
      <c r="C27" t="s">
        <v>211</v>
      </c>
      <c r="D27" t="s">
        <v>427</v>
      </c>
      <c r="E27" s="101">
        <v>-1339.46</v>
      </c>
      <c r="F27">
        <v>175106</v>
      </c>
    </row>
    <row r="28" spans="1:6" x14ac:dyDescent="0.25">
      <c r="A28">
        <v>63</v>
      </c>
      <c r="B28" s="100">
        <v>45019</v>
      </c>
      <c r="C28" t="s">
        <v>211</v>
      </c>
      <c r="D28" t="s">
        <v>269</v>
      </c>
      <c r="E28" s="101">
        <v>-4000</v>
      </c>
      <c r="F28">
        <v>861519</v>
      </c>
    </row>
    <row r="29" spans="1:6" x14ac:dyDescent="0.25">
      <c r="A29">
        <v>31</v>
      </c>
      <c r="B29" s="100">
        <v>45035</v>
      </c>
      <c r="C29" t="s">
        <v>243</v>
      </c>
      <c r="E29" s="101">
        <v>1064109.5900000001</v>
      </c>
      <c r="F29">
        <v>484180</v>
      </c>
    </row>
    <row r="30" spans="1:6" x14ac:dyDescent="0.25">
      <c r="A30">
        <v>48</v>
      </c>
      <c r="B30" s="100">
        <v>45026</v>
      </c>
      <c r="C30" t="s">
        <v>431</v>
      </c>
      <c r="D30" t="s">
        <v>432</v>
      </c>
      <c r="E30" s="101">
        <v>-4000</v>
      </c>
      <c r="F30">
        <v>518507</v>
      </c>
    </row>
    <row r="31" spans="1:6" x14ac:dyDescent="0.25">
      <c r="A31">
        <v>57</v>
      </c>
      <c r="B31" s="100">
        <v>45021</v>
      </c>
      <c r="C31" t="s">
        <v>222</v>
      </c>
      <c r="D31" t="s">
        <v>223</v>
      </c>
      <c r="E31" s="101">
        <v>-284555.63</v>
      </c>
      <c r="F31">
        <v>230404</v>
      </c>
    </row>
    <row r="32" spans="1:6" x14ac:dyDescent="0.25">
      <c r="A32">
        <v>66</v>
      </c>
      <c r="B32" s="100">
        <v>45019</v>
      </c>
      <c r="C32" t="s">
        <v>229</v>
      </c>
      <c r="D32" t="s">
        <v>230</v>
      </c>
      <c r="E32" s="101">
        <v>-10000</v>
      </c>
      <c r="F32">
        <v>9756</v>
      </c>
    </row>
    <row r="33" spans="1:6" x14ac:dyDescent="0.25">
      <c r="A33">
        <v>65</v>
      </c>
      <c r="B33" s="100">
        <v>45019</v>
      </c>
      <c r="C33" t="s">
        <v>229</v>
      </c>
      <c r="D33" t="s">
        <v>230</v>
      </c>
      <c r="E33" s="101">
        <v>-10000</v>
      </c>
      <c r="F33">
        <v>9758</v>
      </c>
    </row>
    <row r="34" spans="1:6" x14ac:dyDescent="0.25">
      <c r="A34">
        <v>1</v>
      </c>
      <c r="B34" s="100">
        <v>45044</v>
      </c>
      <c r="C34" t="s">
        <v>378</v>
      </c>
      <c r="D34" t="s">
        <v>381</v>
      </c>
      <c r="E34" s="101">
        <v>-10000</v>
      </c>
      <c r="F34">
        <v>2578</v>
      </c>
    </row>
    <row r="35" spans="1:6" x14ac:dyDescent="0.25">
      <c r="A35">
        <v>47</v>
      </c>
      <c r="B35" s="100">
        <v>45026</v>
      </c>
      <c r="C35" t="s">
        <v>378</v>
      </c>
      <c r="D35" t="s">
        <v>381</v>
      </c>
      <c r="E35" s="101">
        <v>-10000</v>
      </c>
      <c r="F35">
        <v>9097</v>
      </c>
    </row>
    <row r="36" spans="1:6" x14ac:dyDescent="0.25">
      <c r="A36">
        <v>19</v>
      </c>
      <c r="B36" s="100">
        <v>45040</v>
      </c>
      <c r="C36" t="s">
        <v>378</v>
      </c>
      <c r="D36" t="s">
        <v>381</v>
      </c>
      <c r="E36" s="101">
        <v>-500</v>
      </c>
      <c r="F36">
        <v>1701</v>
      </c>
    </row>
    <row r="37" spans="1:6" x14ac:dyDescent="0.25">
      <c r="A37">
        <v>60</v>
      </c>
      <c r="B37" s="100">
        <v>45020</v>
      </c>
      <c r="C37" t="s">
        <v>378</v>
      </c>
      <c r="D37" t="s">
        <v>381</v>
      </c>
      <c r="E37" s="101">
        <v>-10000</v>
      </c>
      <c r="F37">
        <v>8343</v>
      </c>
    </row>
    <row r="38" spans="1:6" x14ac:dyDescent="0.25">
      <c r="A38">
        <v>30</v>
      </c>
      <c r="B38" s="100">
        <v>45035</v>
      </c>
      <c r="C38" t="s">
        <v>378</v>
      </c>
      <c r="D38" t="s">
        <v>381</v>
      </c>
      <c r="E38" s="101">
        <v>-10000</v>
      </c>
      <c r="F38">
        <v>869</v>
      </c>
    </row>
    <row r="39" spans="1:6" x14ac:dyDescent="0.25">
      <c r="A39">
        <v>29</v>
      </c>
      <c r="B39" s="100">
        <v>45035</v>
      </c>
      <c r="C39" t="s">
        <v>378</v>
      </c>
      <c r="D39" t="s">
        <v>381</v>
      </c>
      <c r="E39" s="101">
        <v>-100</v>
      </c>
      <c r="F39">
        <v>873</v>
      </c>
    </row>
    <row r="40" spans="1:6" x14ac:dyDescent="0.25">
      <c r="A40">
        <v>28</v>
      </c>
      <c r="B40" s="100">
        <v>45035</v>
      </c>
      <c r="C40" t="s">
        <v>378</v>
      </c>
      <c r="D40" t="s">
        <v>409</v>
      </c>
      <c r="E40" s="101">
        <v>-4000</v>
      </c>
      <c r="F40">
        <v>8973</v>
      </c>
    </row>
    <row r="41" spans="1:6" x14ac:dyDescent="0.25">
      <c r="A41">
        <v>56</v>
      </c>
      <c r="B41" s="100">
        <v>45021</v>
      </c>
      <c r="C41" t="s">
        <v>378</v>
      </c>
      <c r="D41" t="s">
        <v>381</v>
      </c>
      <c r="E41" s="101">
        <v>-10000</v>
      </c>
      <c r="F41">
        <v>8716</v>
      </c>
    </row>
    <row r="42" spans="1:6" x14ac:dyDescent="0.25">
      <c r="A42">
        <v>55</v>
      </c>
      <c r="B42" s="100">
        <v>45021</v>
      </c>
      <c r="C42" t="s">
        <v>378</v>
      </c>
      <c r="D42" t="s">
        <v>381</v>
      </c>
      <c r="E42" s="101">
        <v>-10000</v>
      </c>
      <c r="F42">
        <v>8717</v>
      </c>
    </row>
    <row r="43" spans="1:6" x14ac:dyDescent="0.25">
      <c r="A43">
        <v>61</v>
      </c>
      <c r="B43" s="100">
        <v>45020</v>
      </c>
      <c r="C43" t="s">
        <v>378</v>
      </c>
      <c r="D43" t="s">
        <v>381</v>
      </c>
      <c r="E43" s="101">
        <v>-20000</v>
      </c>
      <c r="F43">
        <v>8342</v>
      </c>
    </row>
    <row r="44" spans="1:6" x14ac:dyDescent="0.25">
      <c r="A44">
        <v>44</v>
      </c>
      <c r="B44" s="100">
        <v>45027</v>
      </c>
      <c r="C44" t="s">
        <v>378</v>
      </c>
      <c r="D44" t="s">
        <v>381</v>
      </c>
      <c r="E44" s="101">
        <v>-10000</v>
      </c>
      <c r="F44">
        <v>7529</v>
      </c>
    </row>
    <row r="45" spans="1:6" x14ac:dyDescent="0.25">
      <c r="A45">
        <v>25</v>
      </c>
      <c r="B45" s="100">
        <v>45036</v>
      </c>
      <c r="C45" t="s">
        <v>411</v>
      </c>
      <c r="E45" s="101">
        <v>-900000</v>
      </c>
      <c r="F45">
        <v>51</v>
      </c>
    </row>
    <row r="46" spans="1:6" x14ac:dyDescent="0.25">
      <c r="A46">
        <v>3</v>
      </c>
      <c r="B46" s="100">
        <v>45044</v>
      </c>
      <c r="C46" t="s">
        <v>215</v>
      </c>
      <c r="E46" s="101">
        <v>-494.42</v>
      </c>
      <c r="F46">
        <v>0</v>
      </c>
    </row>
    <row r="47" spans="1:6" x14ac:dyDescent="0.25">
      <c r="A47">
        <v>68</v>
      </c>
      <c r="B47" s="100">
        <v>45017</v>
      </c>
      <c r="C47" t="s">
        <v>231</v>
      </c>
      <c r="E47" s="101">
        <v>51.64</v>
      </c>
      <c r="F47">
        <v>0</v>
      </c>
    </row>
    <row r="48" spans="1:6" x14ac:dyDescent="0.25">
      <c r="A48">
        <v>2</v>
      </c>
      <c r="B48" s="100">
        <v>45044</v>
      </c>
      <c r="C48" t="s">
        <v>214</v>
      </c>
      <c r="E48" s="101">
        <v>-2354.39</v>
      </c>
      <c r="F48">
        <v>0</v>
      </c>
    </row>
    <row r="49" spans="1:6" x14ac:dyDescent="0.25">
      <c r="A49">
        <v>62</v>
      </c>
      <c r="B49" s="100">
        <v>45019</v>
      </c>
      <c r="C49" t="s">
        <v>224</v>
      </c>
      <c r="D49" t="s">
        <v>225</v>
      </c>
      <c r="E49" s="101">
        <v>-88912.19</v>
      </c>
      <c r="F49">
        <v>396909</v>
      </c>
    </row>
    <row r="50" spans="1:6" x14ac:dyDescent="0.25">
      <c r="A50">
        <v>11</v>
      </c>
      <c r="B50" s="100">
        <v>45043</v>
      </c>
      <c r="C50" t="s">
        <v>433</v>
      </c>
      <c r="D50" t="s">
        <v>434</v>
      </c>
      <c r="E50" s="101">
        <v>263</v>
      </c>
      <c r="F50">
        <v>59705</v>
      </c>
    </row>
    <row r="51" spans="1:6" x14ac:dyDescent="0.25">
      <c r="A51">
        <v>5</v>
      </c>
      <c r="B51" s="100">
        <v>45043</v>
      </c>
      <c r="C51" t="s">
        <v>433</v>
      </c>
      <c r="D51" t="s">
        <v>435</v>
      </c>
      <c r="E51" s="101">
        <v>35</v>
      </c>
      <c r="F51">
        <v>824122</v>
      </c>
    </row>
    <row r="52" spans="1:6" x14ac:dyDescent="0.25">
      <c r="A52">
        <v>6</v>
      </c>
      <c r="B52" s="100">
        <v>45043</v>
      </c>
      <c r="C52" t="s">
        <v>433</v>
      </c>
      <c r="D52" t="s">
        <v>436</v>
      </c>
      <c r="E52" s="101">
        <v>90</v>
      </c>
      <c r="F52">
        <v>710499</v>
      </c>
    </row>
    <row r="53" spans="1:6" x14ac:dyDescent="0.25">
      <c r="A53">
        <v>7</v>
      </c>
      <c r="B53" s="100">
        <v>45043</v>
      </c>
      <c r="C53" t="s">
        <v>433</v>
      </c>
      <c r="D53" t="s">
        <v>437</v>
      </c>
      <c r="E53" s="101">
        <v>94</v>
      </c>
      <c r="F53">
        <v>566088</v>
      </c>
    </row>
    <row r="54" spans="1:6" x14ac:dyDescent="0.25">
      <c r="A54">
        <v>16</v>
      </c>
      <c r="B54" s="100">
        <v>45043</v>
      </c>
      <c r="C54" t="s">
        <v>433</v>
      </c>
      <c r="D54" t="s">
        <v>438</v>
      </c>
      <c r="E54" s="101">
        <v>532</v>
      </c>
      <c r="F54">
        <v>421428</v>
      </c>
    </row>
    <row r="55" spans="1:6" x14ac:dyDescent="0.25">
      <c r="A55">
        <v>15</v>
      </c>
      <c r="B55" s="100">
        <v>45043</v>
      </c>
      <c r="C55" t="s">
        <v>433</v>
      </c>
      <c r="D55" t="s">
        <v>439</v>
      </c>
      <c r="E55" s="101">
        <v>353.9</v>
      </c>
      <c r="F55">
        <v>997525</v>
      </c>
    </row>
    <row r="56" spans="1:6" x14ac:dyDescent="0.25">
      <c r="A56">
        <v>14</v>
      </c>
      <c r="B56" s="100">
        <v>45043</v>
      </c>
      <c r="C56" t="s">
        <v>433</v>
      </c>
      <c r="D56" t="s">
        <v>440</v>
      </c>
      <c r="E56" s="101">
        <v>326.39</v>
      </c>
      <c r="F56">
        <v>733879</v>
      </c>
    </row>
    <row r="57" spans="1:6" x14ac:dyDescent="0.25">
      <c r="A57">
        <v>13</v>
      </c>
      <c r="B57" s="100">
        <v>45043</v>
      </c>
      <c r="C57" t="s">
        <v>433</v>
      </c>
      <c r="D57" t="s">
        <v>441</v>
      </c>
      <c r="E57" s="101">
        <v>304.42</v>
      </c>
      <c r="F57">
        <v>25534</v>
      </c>
    </row>
    <row r="58" spans="1:6" x14ac:dyDescent="0.25">
      <c r="A58">
        <v>12</v>
      </c>
      <c r="B58" s="100">
        <v>45043</v>
      </c>
      <c r="C58" t="s">
        <v>433</v>
      </c>
      <c r="D58" t="s">
        <v>442</v>
      </c>
      <c r="E58" s="101">
        <v>292.60000000000002</v>
      </c>
      <c r="F58">
        <v>898812</v>
      </c>
    </row>
    <row r="59" spans="1:6" x14ac:dyDescent="0.25">
      <c r="A59">
        <v>8</v>
      </c>
      <c r="B59" s="100">
        <v>45043</v>
      </c>
      <c r="C59" t="s">
        <v>433</v>
      </c>
      <c r="D59" t="s">
        <v>443</v>
      </c>
      <c r="E59" s="101">
        <v>95</v>
      </c>
      <c r="F59">
        <v>965551</v>
      </c>
    </row>
    <row r="60" spans="1:6" x14ac:dyDescent="0.25">
      <c r="A60">
        <v>10</v>
      </c>
      <c r="B60" s="100">
        <v>45043</v>
      </c>
      <c r="C60" t="s">
        <v>433</v>
      </c>
      <c r="D60" t="s">
        <v>444</v>
      </c>
      <c r="E60" s="101">
        <v>185</v>
      </c>
      <c r="F60">
        <v>707560</v>
      </c>
    </row>
    <row r="61" spans="1:6" x14ac:dyDescent="0.25">
      <c r="A61">
        <v>9</v>
      </c>
      <c r="B61" s="100">
        <v>45043</v>
      </c>
      <c r="C61" t="s">
        <v>433</v>
      </c>
      <c r="D61" t="s">
        <v>445</v>
      </c>
      <c r="E61" s="101">
        <v>181.11</v>
      </c>
      <c r="F61">
        <v>502736</v>
      </c>
    </row>
    <row r="62" spans="1:6" x14ac:dyDescent="0.25">
      <c r="A62">
        <v>34</v>
      </c>
      <c r="B62" s="100">
        <v>45034</v>
      </c>
      <c r="C62" t="s">
        <v>360</v>
      </c>
      <c r="D62" t="s">
        <v>361</v>
      </c>
      <c r="E62" s="101">
        <v>6500</v>
      </c>
      <c r="F62">
        <v>365463</v>
      </c>
    </row>
    <row r="63" spans="1:6" x14ac:dyDescent="0.25">
      <c r="A63">
        <v>51</v>
      </c>
      <c r="B63" s="100">
        <v>45026</v>
      </c>
      <c r="C63" t="s">
        <v>217</v>
      </c>
      <c r="D63" t="s">
        <v>384</v>
      </c>
      <c r="E63" s="101">
        <v>-7000</v>
      </c>
      <c r="F63">
        <v>681092</v>
      </c>
    </row>
    <row r="64" spans="1:6" x14ac:dyDescent="0.25">
      <c r="A64">
        <v>24</v>
      </c>
      <c r="B64" s="100">
        <v>45036</v>
      </c>
      <c r="C64" t="s">
        <v>217</v>
      </c>
      <c r="D64" t="s">
        <v>446</v>
      </c>
      <c r="E64" s="101">
        <v>-12000</v>
      </c>
      <c r="F64">
        <v>137155</v>
      </c>
    </row>
    <row r="65" spans="1:6" x14ac:dyDescent="0.25">
      <c r="A65">
        <v>67</v>
      </c>
      <c r="B65" s="100">
        <v>45019</v>
      </c>
      <c r="C65" t="s">
        <v>217</v>
      </c>
      <c r="D65" t="s">
        <v>447</v>
      </c>
      <c r="E65" s="101">
        <v>-20000</v>
      </c>
      <c r="F65">
        <v>861618</v>
      </c>
    </row>
    <row r="66" spans="1:6" x14ac:dyDescent="0.25">
      <c r="A66">
        <v>37</v>
      </c>
      <c r="B66" s="100">
        <v>45033</v>
      </c>
      <c r="C66" t="s">
        <v>217</v>
      </c>
      <c r="D66" t="s">
        <v>447</v>
      </c>
      <c r="E66" s="101">
        <v>-28000</v>
      </c>
      <c r="F66">
        <v>285763</v>
      </c>
    </row>
    <row r="67" spans="1:6" x14ac:dyDescent="0.25">
      <c r="A67">
        <v>4</v>
      </c>
      <c r="B67" s="100">
        <v>45043</v>
      </c>
      <c r="C67" t="s">
        <v>217</v>
      </c>
      <c r="D67" t="s">
        <v>448</v>
      </c>
      <c r="E67" s="101">
        <v>-24111.41</v>
      </c>
      <c r="F67">
        <v>903013</v>
      </c>
    </row>
    <row r="68" spans="1:6" x14ac:dyDescent="0.25">
      <c r="A68">
        <v>41</v>
      </c>
      <c r="B68" s="100">
        <v>45029</v>
      </c>
      <c r="C68" t="s">
        <v>217</v>
      </c>
      <c r="D68" t="s">
        <v>449</v>
      </c>
      <c r="E68" s="101">
        <v>-49000</v>
      </c>
      <c r="F68">
        <v>78520</v>
      </c>
    </row>
    <row r="69" spans="1:6" x14ac:dyDescent="0.25">
      <c r="A69">
        <v>43</v>
      </c>
      <c r="B69" s="100">
        <v>45028</v>
      </c>
      <c r="C69" t="s">
        <v>217</v>
      </c>
      <c r="D69" t="s">
        <v>450</v>
      </c>
      <c r="E69" s="101">
        <v>-9000</v>
      </c>
      <c r="F69">
        <v>970592</v>
      </c>
    </row>
    <row r="70" spans="1:6" x14ac:dyDescent="0.25">
      <c r="A70">
        <v>42</v>
      </c>
      <c r="B70" s="100">
        <v>45029</v>
      </c>
      <c r="C70" t="s">
        <v>217</v>
      </c>
      <c r="D70" t="s">
        <v>451</v>
      </c>
      <c r="E70" s="101">
        <v>-110000</v>
      </c>
      <c r="F70">
        <v>724438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DF12-8FDE-47D0-81D7-42DEF95CACBD}">
  <dimension ref="A1:J59"/>
  <sheetViews>
    <sheetView topLeftCell="A31" workbookViewId="0">
      <selection activeCell="D62" sqref="D6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33</v>
      </c>
      <c r="B2" s="100">
        <v>45034</v>
      </c>
      <c r="C2" t="s">
        <v>211</v>
      </c>
      <c r="D2" t="s">
        <v>270</v>
      </c>
      <c r="E2" s="101">
        <v>-350</v>
      </c>
    </row>
    <row r="3" spans="1:10" x14ac:dyDescent="0.25">
      <c r="A3">
        <v>21</v>
      </c>
      <c r="B3" s="100">
        <v>45036</v>
      </c>
      <c r="C3" t="s">
        <v>211</v>
      </c>
      <c r="D3" t="s">
        <v>242</v>
      </c>
      <c r="E3" s="101">
        <v>-380</v>
      </c>
    </row>
    <row r="4" spans="1:10" x14ac:dyDescent="0.25">
      <c r="A4">
        <v>3</v>
      </c>
      <c r="B4" s="100">
        <v>45044</v>
      </c>
      <c r="C4" t="s">
        <v>215</v>
      </c>
      <c r="E4" s="101">
        <v>-494.42</v>
      </c>
    </row>
    <row r="5" spans="1:10" x14ac:dyDescent="0.25">
      <c r="A5">
        <v>38</v>
      </c>
      <c r="B5" s="100">
        <v>45030</v>
      </c>
      <c r="C5" t="s">
        <v>211</v>
      </c>
      <c r="D5" t="s">
        <v>424</v>
      </c>
      <c r="E5" s="101">
        <v>-550</v>
      </c>
    </row>
    <row r="6" spans="1:10" x14ac:dyDescent="0.25">
      <c r="A6">
        <v>45</v>
      </c>
      <c r="B6" s="100">
        <v>45026</v>
      </c>
      <c r="C6" t="s">
        <v>211</v>
      </c>
      <c r="D6" t="s">
        <v>270</v>
      </c>
      <c r="E6" s="101">
        <v>-550</v>
      </c>
    </row>
    <row r="7" spans="1:10" x14ac:dyDescent="0.25">
      <c r="A7">
        <v>20</v>
      </c>
      <c r="B7" s="100">
        <v>45036</v>
      </c>
      <c r="C7" t="s">
        <v>211</v>
      </c>
      <c r="D7" t="s">
        <v>396</v>
      </c>
      <c r="E7" s="101">
        <v>-620</v>
      </c>
    </row>
    <row r="8" spans="1:10" x14ac:dyDescent="0.25">
      <c r="A8">
        <v>58</v>
      </c>
      <c r="B8" s="100">
        <v>45020</v>
      </c>
      <c r="C8" t="s">
        <v>211</v>
      </c>
      <c r="D8" t="s">
        <v>429</v>
      </c>
      <c r="E8" s="101">
        <v>-750</v>
      </c>
    </row>
    <row r="9" spans="1:10" x14ac:dyDescent="0.25">
      <c r="A9">
        <v>0</v>
      </c>
      <c r="B9" s="100">
        <v>45044</v>
      </c>
      <c r="C9" t="s">
        <v>211</v>
      </c>
      <c r="D9" t="s">
        <v>421</v>
      </c>
      <c r="E9" s="101">
        <v>-1255</v>
      </c>
    </row>
    <row r="10" spans="1:10" x14ac:dyDescent="0.25">
      <c r="A10">
        <v>35</v>
      </c>
      <c r="B10" s="100">
        <v>45033</v>
      </c>
      <c r="C10" t="s">
        <v>211</v>
      </c>
      <c r="D10" t="s">
        <v>400</v>
      </c>
      <c r="E10" s="101">
        <v>-1300</v>
      </c>
    </row>
    <row r="11" spans="1:10" x14ac:dyDescent="0.25">
      <c r="A11">
        <v>59</v>
      </c>
      <c r="B11" s="100">
        <v>45020</v>
      </c>
      <c r="C11" t="s">
        <v>211</v>
      </c>
      <c r="D11" t="s">
        <v>427</v>
      </c>
      <c r="E11" s="101">
        <v>-1339.46</v>
      </c>
    </row>
    <row r="12" spans="1:10" x14ac:dyDescent="0.25">
      <c r="A12">
        <v>17</v>
      </c>
      <c r="B12" s="100">
        <v>45041</v>
      </c>
      <c r="C12" t="s">
        <v>211</v>
      </c>
      <c r="D12" t="s">
        <v>219</v>
      </c>
      <c r="E12" s="101">
        <v>-1980.29</v>
      </c>
    </row>
    <row r="13" spans="1:10" x14ac:dyDescent="0.25">
      <c r="A13">
        <v>39</v>
      </c>
      <c r="B13" s="100">
        <v>45030</v>
      </c>
      <c r="C13" t="s">
        <v>211</v>
      </c>
      <c r="D13" t="s">
        <v>269</v>
      </c>
      <c r="E13" s="101">
        <v>-2300</v>
      </c>
    </row>
    <row r="14" spans="1:10" x14ac:dyDescent="0.25">
      <c r="A14">
        <v>2</v>
      </c>
      <c r="B14" s="100">
        <v>45044</v>
      </c>
      <c r="C14" t="s">
        <v>214</v>
      </c>
      <c r="E14" s="101">
        <v>-2354.39</v>
      </c>
    </row>
    <row r="15" spans="1:10" x14ac:dyDescent="0.25">
      <c r="A15">
        <v>23</v>
      </c>
      <c r="B15" s="100">
        <v>45036</v>
      </c>
      <c r="C15" t="s">
        <v>211</v>
      </c>
      <c r="D15" t="s">
        <v>422</v>
      </c>
      <c r="E15" s="101">
        <v>-2400</v>
      </c>
    </row>
    <row r="16" spans="1:10" x14ac:dyDescent="0.25">
      <c r="A16">
        <v>22</v>
      </c>
      <c r="B16" s="100">
        <v>45036</v>
      </c>
      <c r="C16" t="s">
        <v>211</v>
      </c>
      <c r="D16" t="s">
        <v>280</v>
      </c>
      <c r="E16" s="101">
        <v>-2550</v>
      </c>
    </row>
    <row r="17" spans="1:5" x14ac:dyDescent="0.25">
      <c r="A17">
        <v>40</v>
      </c>
      <c r="B17" s="100">
        <v>45030</v>
      </c>
      <c r="C17" t="s">
        <v>211</v>
      </c>
      <c r="D17" t="s">
        <v>425</v>
      </c>
      <c r="E17" s="101">
        <v>-2900</v>
      </c>
    </row>
    <row r="18" spans="1:5" x14ac:dyDescent="0.25">
      <c r="A18">
        <v>18</v>
      </c>
      <c r="B18" s="100">
        <v>45040</v>
      </c>
      <c r="C18" t="s">
        <v>211</v>
      </c>
      <c r="D18" t="s">
        <v>269</v>
      </c>
      <c r="E18" s="101">
        <v>-3000</v>
      </c>
    </row>
    <row r="19" spans="1:5" x14ac:dyDescent="0.25">
      <c r="A19">
        <v>32</v>
      </c>
      <c r="B19" s="100">
        <v>45034</v>
      </c>
      <c r="C19" t="s">
        <v>211</v>
      </c>
      <c r="D19" t="s">
        <v>423</v>
      </c>
      <c r="E19" s="101">
        <v>-3468.27</v>
      </c>
    </row>
    <row r="20" spans="1:5" x14ac:dyDescent="0.25">
      <c r="A20">
        <v>26</v>
      </c>
      <c r="B20" s="100">
        <v>45035</v>
      </c>
      <c r="C20" t="s">
        <v>211</v>
      </c>
      <c r="D20" t="s">
        <v>280</v>
      </c>
      <c r="E20" s="101">
        <v>-3847.76</v>
      </c>
    </row>
    <row r="21" spans="1:5" x14ac:dyDescent="0.25">
      <c r="A21">
        <v>48</v>
      </c>
      <c r="B21" s="100">
        <v>45026</v>
      </c>
      <c r="C21" t="s">
        <v>431</v>
      </c>
      <c r="D21" t="s">
        <v>432</v>
      </c>
      <c r="E21" s="101">
        <v>-4000</v>
      </c>
    </row>
    <row r="22" spans="1:5" x14ac:dyDescent="0.25">
      <c r="A22">
        <v>63</v>
      </c>
      <c r="B22" s="100">
        <v>45019</v>
      </c>
      <c r="C22" t="s">
        <v>211</v>
      </c>
      <c r="D22" t="s">
        <v>269</v>
      </c>
      <c r="E22" s="101">
        <v>-4000</v>
      </c>
    </row>
    <row r="23" spans="1:5" x14ac:dyDescent="0.25">
      <c r="A23">
        <v>64</v>
      </c>
      <c r="B23" s="100">
        <v>45019</v>
      </c>
      <c r="C23" t="s">
        <v>211</v>
      </c>
      <c r="D23" t="s">
        <v>430</v>
      </c>
      <c r="E23" s="101">
        <v>-4100</v>
      </c>
    </row>
    <row r="24" spans="1:5" x14ac:dyDescent="0.25">
      <c r="A24">
        <v>36</v>
      </c>
      <c r="B24" s="100">
        <v>45033</v>
      </c>
      <c r="C24" t="s">
        <v>211</v>
      </c>
      <c r="D24" t="s">
        <v>216</v>
      </c>
      <c r="E24" s="101">
        <v>-4446.2</v>
      </c>
    </row>
    <row r="25" spans="1:5" x14ac:dyDescent="0.25">
      <c r="A25">
        <v>46</v>
      </c>
      <c r="B25" s="100">
        <v>45026</v>
      </c>
      <c r="C25" t="s">
        <v>211</v>
      </c>
      <c r="D25" t="s">
        <v>280</v>
      </c>
      <c r="E25" s="101">
        <v>-4707.33</v>
      </c>
    </row>
    <row r="26" spans="1:5" x14ac:dyDescent="0.25">
      <c r="A26">
        <v>54</v>
      </c>
      <c r="B26" s="100">
        <v>45021</v>
      </c>
      <c r="C26" t="s">
        <v>211</v>
      </c>
      <c r="D26" t="s">
        <v>428</v>
      </c>
      <c r="E26" s="101">
        <v>-6340</v>
      </c>
    </row>
    <row r="27" spans="1:5" x14ac:dyDescent="0.25">
      <c r="A27">
        <v>51</v>
      </c>
      <c r="B27" s="100">
        <v>45026</v>
      </c>
      <c r="C27" t="s">
        <v>217</v>
      </c>
      <c r="D27" t="s">
        <v>384</v>
      </c>
      <c r="E27" s="101">
        <v>-7000</v>
      </c>
    </row>
    <row r="28" spans="1:5" x14ac:dyDescent="0.25">
      <c r="A28">
        <v>43</v>
      </c>
      <c r="B28" s="100">
        <v>45028</v>
      </c>
      <c r="C28" t="s">
        <v>217</v>
      </c>
      <c r="D28" t="s">
        <v>450</v>
      </c>
      <c r="E28" s="101">
        <v>-9000</v>
      </c>
    </row>
    <row r="29" spans="1:5" x14ac:dyDescent="0.25">
      <c r="A29">
        <v>52</v>
      </c>
      <c r="B29" s="100">
        <v>45021</v>
      </c>
      <c r="C29" t="s">
        <v>211</v>
      </c>
      <c r="D29" t="s">
        <v>426</v>
      </c>
      <c r="E29" s="101">
        <v>-9570</v>
      </c>
    </row>
    <row r="30" spans="1:5" x14ac:dyDescent="0.25">
      <c r="A30">
        <v>53</v>
      </c>
      <c r="B30" s="100">
        <v>45021</v>
      </c>
      <c r="C30" t="s">
        <v>211</v>
      </c>
      <c r="D30" t="s">
        <v>427</v>
      </c>
      <c r="E30" s="101">
        <v>-9988.43</v>
      </c>
    </row>
    <row r="31" spans="1:5" x14ac:dyDescent="0.25">
      <c r="A31">
        <v>24</v>
      </c>
      <c r="B31" s="100">
        <v>45036</v>
      </c>
      <c r="C31" t="s">
        <v>217</v>
      </c>
      <c r="D31" t="s">
        <v>446</v>
      </c>
      <c r="E31" s="101">
        <v>-12000</v>
      </c>
    </row>
    <row r="32" spans="1:5" x14ac:dyDescent="0.25">
      <c r="A32">
        <v>67</v>
      </c>
      <c r="B32" s="100">
        <v>45019</v>
      </c>
      <c r="C32" t="s">
        <v>217</v>
      </c>
      <c r="D32" t="s">
        <v>447</v>
      </c>
      <c r="E32" s="101">
        <v>-20000</v>
      </c>
    </row>
    <row r="33" spans="1:9" x14ac:dyDescent="0.25">
      <c r="A33">
        <v>4</v>
      </c>
      <c r="B33" s="100">
        <v>45043</v>
      </c>
      <c r="C33" t="s">
        <v>217</v>
      </c>
      <c r="D33" t="s">
        <v>448</v>
      </c>
      <c r="E33" s="101">
        <v>-24111.41</v>
      </c>
    </row>
    <row r="34" spans="1:9" x14ac:dyDescent="0.25">
      <c r="A34">
        <v>37</v>
      </c>
      <c r="B34" s="100">
        <v>45033</v>
      </c>
      <c r="C34" t="s">
        <v>217</v>
      </c>
      <c r="D34" t="s">
        <v>447</v>
      </c>
      <c r="E34" s="101">
        <v>-28000</v>
      </c>
    </row>
    <row r="35" spans="1:9" x14ac:dyDescent="0.25">
      <c r="A35">
        <v>41</v>
      </c>
      <c r="B35" s="100">
        <v>45029</v>
      </c>
      <c r="C35" t="s">
        <v>217</v>
      </c>
      <c r="D35" t="s">
        <v>449</v>
      </c>
      <c r="E35" s="101">
        <v>-49000</v>
      </c>
    </row>
    <row r="36" spans="1:9" x14ac:dyDescent="0.25">
      <c r="A36">
        <v>27</v>
      </c>
      <c r="B36" s="100">
        <v>45035</v>
      </c>
      <c r="C36" t="s">
        <v>211</v>
      </c>
      <c r="D36" t="s">
        <v>345</v>
      </c>
      <c r="E36" s="101">
        <v>-51000</v>
      </c>
    </row>
    <row r="37" spans="1:9" x14ac:dyDescent="0.25">
      <c r="A37">
        <v>42</v>
      </c>
      <c r="B37" s="100">
        <v>45029</v>
      </c>
      <c r="C37" t="s">
        <v>217</v>
      </c>
      <c r="D37" t="s">
        <v>451</v>
      </c>
      <c r="E37" s="101">
        <v>-110000</v>
      </c>
    </row>
    <row r="38" spans="1:9" x14ac:dyDescent="0.25">
      <c r="A38">
        <v>62</v>
      </c>
      <c r="B38" s="100">
        <v>45019</v>
      </c>
      <c r="C38" t="s">
        <v>224</v>
      </c>
      <c r="D38" t="s">
        <v>225</v>
      </c>
      <c r="F38" s="101">
        <v>-88912.19</v>
      </c>
    </row>
    <row r="39" spans="1:9" x14ac:dyDescent="0.25">
      <c r="A39">
        <v>57</v>
      </c>
      <c r="B39" s="100">
        <v>45021</v>
      </c>
      <c r="C39" t="s">
        <v>222</v>
      </c>
      <c r="D39" t="s">
        <v>223</v>
      </c>
      <c r="F39" s="101">
        <v>-284555.63</v>
      </c>
    </row>
    <row r="40" spans="1:9" x14ac:dyDescent="0.25">
      <c r="A40">
        <v>29</v>
      </c>
      <c r="B40" s="100">
        <v>45035</v>
      </c>
      <c r="C40" t="s">
        <v>378</v>
      </c>
      <c r="D40" t="s">
        <v>381</v>
      </c>
      <c r="I40" s="101">
        <v>-100</v>
      </c>
    </row>
    <row r="41" spans="1:9" x14ac:dyDescent="0.25">
      <c r="A41">
        <v>19</v>
      </c>
      <c r="B41" s="100">
        <v>45040</v>
      </c>
      <c r="C41" t="s">
        <v>378</v>
      </c>
      <c r="D41" t="s">
        <v>381</v>
      </c>
      <c r="I41" s="101">
        <v>-500</v>
      </c>
    </row>
    <row r="42" spans="1:9" x14ac:dyDescent="0.25">
      <c r="A42">
        <v>28</v>
      </c>
      <c r="B42" s="100">
        <v>45035</v>
      </c>
      <c r="C42" t="s">
        <v>378</v>
      </c>
      <c r="D42" t="s">
        <v>409</v>
      </c>
      <c r="I42" s="101">
        <v>-4000</v>
      </c>
    </row>
    <row r="43" spans="1:9" x14ac:dyDescent="0.25">
      <c r="A43">
        <v>1</v>
      </c>
      <c r="B43" s="100">
        <v>45044</v>
      </c>
      <c r="C43" t="s">
        <v>378</v>
      </c>
      <c r="D43" t="s">
        <v>381</v>
      </c>
      <c r="I43" s="101">
        <v>-10000</v>
      </c>
    </row>
    <row r="44" spans="1:9" x14ac:dyDescent="0.25">
      <c r="A44">
        <v>30</v>
      </c>
      <c r="B44" s="100">
        <v>45035</v>
      </c>
      <c r="C44" t="s">
        <v>378</v>
      </c>
      <c r="D44" t="s">
        <v>381</v>
      </c>
      <c r="I44" s="101">
        <v>-10000</v>
      </c>
    </row>
    <row r="45" spans="1:9" x14ac:dyDescent="0.25">
      <c r="A45">
        <v>44</v>
      </c>
      <c r="B45" s="100">
        <v>45027</v>
      </c>
      <c r="C45" t="s">
        <v>378</v>
      </c>
      <c r="D45" t="s">
        <v>381</v>
      </c>
      <c r="I45" s="101">
        <v>-10000</v>
      </c>
    </row>
    <row r="46" spans="1:9" x14ac:dyDescent="0.25">
      <c r="A46">
        <v>47</v>
      </c>
      <c r="B46" s="100">
        <v>45026</v>
      </c>
      <c r="C46" t="s">
        <v>378</v>
      </c>
      <c r="D46" t="s">
        <v>381</v>
      </c>
      <c r="I46" s="101">
        <v>-10000</v>
      </c>
    </row>
    <row r="47" spans="1:9" x14ac:dyDescent="0.25">
      <c r="A47">
        <v>55</v>
      </c>
      <c r="B47" s="100">
        <v>45021</v>
      </c>
      <c r="C47" t="s">
        <v>378</v>
      </c>
      <c r="D47" t="s">
        <v>381</v>
      </c>
      <c r="I47" s="101">
        <v>-10000</v>
      </c>
    </row>
    <row r="48" spans="1:9" x14ac:dyDescent="0.25">
      <c r="A48">
        <v>56</v>
      </c>
      <c r="B48" s="100">
        <v>45021</v>
      </c>
      <c r="C48" t="s">
        <v>378</v>
      </c>
      <c r="D48" t="s">
        <v>381</v>
      </c>
      <c r="I48" s="101">
        <v>-10000</v>
      </c>
    </row>
    <row r="49" spans="1:10" x14ac:dyDescent="0.25">
      <c r="A49">
        <v>60</v>
      </c>
      <c r="B49" s="100">
        <v>45020</v>
      </c>
      <c r="C49" t="s">
        <v>378</v>
      </c>
      <c r="D49" t="s">
        <v>381</v>
      </c>
      <c r="I49" s="101">
        <v>-10000</v>
      </c>
    </row>
    <row r="50" spans="1:10" x14ac:dyDescent="0.25">
      <c r="A50">
        <v>65</v>
      </c>
      <c r="B50" s="100">
        <v>45019</v>
      </c>
      <c r="C50" t="s">
        <v>229</v>
      </c>
      <c r="D50" t="s">
        <v>230</v>
      </c>
      <c r="I50" s="101">
        <v>-10000</v>
      </c>
    </row>
    <row r="51" spans="1:10" x14ac:dyDescent="0.25">
      <c r="A51">
        <v>66</v>
      </c>
      <c r="B51" s="100">
        <v>45019</v>
      </c>
      <c r="C51" t="s">
        <v>229</v>
      </c>
      <c r="D51" t="s">
        <v>230</v>
      </c>
      <c r="I51" s="101">
        <v>-10000</v>
      </c>
    </row>
    <row r="52" spans="1:10" x14ac:dyDescent="0.25">
      <c r="A52">
        <v>61</v>
      </c>
      <c r="B52" s="100">
        <v>45020</v>
      </c>
      <c r="C52" t="s">
        <v>378</v>
      </c>
      <c r="D52" t="s">
        <v>381</v>
      </c>
      <c r="I52" s="101">
        <v>-20000</v>
      </c>
    </row>
    <row r="53" spans="1:10" x14ac:dyDescent="0.25">
      <c r="A53">
        <v>25</v>
      </c>
      <c r="B53" s="100">
        <v>45036</v>
      </c>
      <c r="C53" t="s">
        <v>411</v>
      </c>
      <c r="I53" s="101">
        <v>-900000</v>
      </c>
    </row>
    <row r="54" spans="1:10" x14ac:dyDescent="0.25">
      <c r="A54" s="106"/>
      <c r="B54" s="105">
        <v>45021</v>
      </c>
      <c r="C54" s="106" t="s">
        <v>282</v>
      </c>
      <c r="D54" s="106"/>
      <c r="E54" s="102"/>
      <c r="F54" s="102"/>
      <c r="G54" s="102">
        <v>-23029</v>
      </c>
    </row>
    <row r="55" spans="1:10" x14ac:dyDescent="0.25">
      <c r="A55" s="106"/>
      <c r="B55" s="105">
        <v>45021</v>
      </c>
      <c r="C55" s="106" t="s">
        <v>253</v>
      </c>
      <c r="D55" s="106"/>
      <c r="E55" s="102"/>
      <c r="F55" s="102">
        <v>23029</v>
      </c>
    </row>
    <row r="56" spans="1:10" x14ac:dyDescent="0.25">
      <c r="E56" s="101">
        <f>SUBTOTAL(109,Abr_Debitos[Gastos])</f>
        <v>-389652.95999999996</v>
      </c>
      <c r="F56" s="101">
        <f>SUBTOTAL(109,Abr_Debitos[Tarjetas])</f>
        <v>-350438.82</v>
      </c>
      <c r="G56" s="101">
        <f>SUBTOTAL(109,Abr_Debitos[Impuestos])</f>
        <v>-23029</v>
      </c>
      <c r="H56" s="101">
        <f>SUBTOTAL(109,Abr_Debitos[Inversiones])</f>
        <v>0</v>
      </c>
      <c r="I56" s="101">
        <f>SUBTOTAL(109,Abr_Debitos[Extracciones])</f>
        <v>-1014600</v>
      </c>
    </row>
    <row r="58" spans="1:10" x14ac:dyDescent="0.25">
      <c r="C58" t="s">
        <v>209</v>
      </c>
      <c r="D58" t="s">
        <v>210</v>
      </c>
      <c r="E58" s="101" t="s">
        <v>233</v>
      </c>
      <c r="F58" s="101" t="s">
        <v>234</v>
      </c>
      <c r="G58" s="101" t="s">
        <v>235</v>
      </c>
      <c r="H58" s="101" t="s">
        <v>236</v>
      </c>
      <c r="I58" s="101" t="s">
        <v>237</v>
      </c>
      <c r="J58" t="s">
        <v>238</v>
      </c>
    </row>
    <row r="59" spans="1:10" x14ac:dyDescent="0.25">
      <c r="B59" s="100">
        <v>45046</v>
      </c>
      <c r="C59" t="s">
        <v>254</v>
      </c>
      <c r="E59" s="101">
        <v>-389652.96</v>
      </c>
      <c r="F59" s="101">
        <v>-350438.82</v>
      </c>
      <c r="G59" s="101">
        <v>-23029</v>
      </c>
      <c r="H59" s="101">
        <v>0</v>
      </c>
      <c r="I59" s="101">
        <v>-1014600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3112C-D8DA-4C51-8537-27AE71BDE8A4}">
  <dimension ref="A1:I22"/>
  <sheetViews>
    <sheetView workbookViewId="0">
      <selection activeCell="G18" sqref="G1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01" customWidth="1"/>
  </cols>
  <sheetData>
    <row r="1" spans="1:9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</row>
    <row r="2" spans="1:9" x14ac:dyDescent="0.25">
      <c r="A2">
        <v>49</v>
      </c>
      <c r="B2" s="100">
        <v>45026</v>
      </c>
      <c r="C2" t="s">
        <v>226</v>
      </c>
      <c r="D2" t="s">
        <v>227</v>
      </c>
      <c r="E2" s="101">
        <v>8556</v>
      </c>
    </row>
    <row r="3" spans="1:9" x14ac:dyDescent="0.25">
      <c r="A3">
        <v>50</v>
      </c>
      <c r="B3" s="100">
        <v>45026</v>
      </c>
      <c r="C3" t="s">
        <v>226</v>
      </c>
      <c r="D3" t="s">
        <v>227</v>
      </c>
      <c r="E3" s="101">
        <v>393146.75</v>
      </c>
    </row>
    <row r="4" spans="1:9" x14ac:dyDescent="0.25">
      <c r="A4">
        <v>5</v>
      </c>
      <c r="B4" s="100">
        <v>45043</v>
      </c>
      <c r="C4" t="s">
        <v>433</v>
      </c>
      <c r="D4" t="s">
        <v>435</v>
      </c>
      <c r="F4" s="101">
        <v>35</v>
      </c>
    </row>
    <row r="5" spans="1:9" x14ac:dyDescent="0.25">
      <c r="A5">
        <v>68</v>
      </c>
      <c r="B5" s="100">
        <v>45017</v>
      </c>
      <c r="C5" t="s">
        <v>231</v>
      </c>
      <c r="F5" s="101">
        <v>51.64</v>
      </c>
    </row>
    <row r="6" spans="1:9" x14ac:dyDescent="0.25">
      <c r="A6">
        <v>6</v>
      </c>
      <c r="B6" s="100">
        <v>45043</v>
      </c>
      <c r="C6" t="s">
        <v>433</v>
      </c>
      <c r="D6" t="s">
        <v>436</v>
      </c>
      <c r="F6" s="101">
        <v>90</v>
      </c>
    </row>
    <row r="7" spans="1:9" x14ac:dyDescent="0.25">
      <c r="A7">
        <v>7</v>
      </c>
      <c r="B7" s="100">
        <v>45043</v>
      </c>
      <c r="C7" t="s">
        <v>433</v>
      </c>
      <c r="D7" t="s">
        <v>437</v>
      </c>
      <c r="F7" s="101">
        <v>94</v>
      </c>
    </row>
    <row r="8" spans="1:9" x14ac:dyDescent="0.25">
      <c r="A8">
        <v>8</v>
      </c>
      <c r="B8" s="100">
        <v>45043</v>
      </c>
      <c r="C8" t="s">
        <v>433</v>
      </c>
      <c r="D8" t="s">
        <v>443</v>
      </c>
      <c r="F8" s="101">
        <v>95</v>
      </c>
    </row>
    <row r="9" spans="1:9" x14ac:dyDescent="0.25">
      <c r="A9">
        <v>9</v>
      </c>
      <c r="B9" s="100">
        <v>45043</v>
      </c>
      <c r="C9" t="s">
        <v>433</v>
      </c>
      <c r="D9" t="s">
        <v>445</v>
      </c>
      <c r="F9" s="101">
        <v>181.11</v>
      </c>
    </row>
    <row r="10" spans="1:9" x14ac:dyDescent="0.25">
      <c r="A10">
        <v>10</v>
      </c>
      <c r="B10" s="100">
        <v>45043</v>
      </c>
      <c r="C10" t="s">
        <v>433</v>
      </c>
      <c r="D10" t="s">
        <v>444</v>
      </c>
      <c r="F10" s="101">
        <v>185</v>
      </c>
    </row>
    <row r="11" spans="1:9" x14ac:dyDescent="0.25">
      <c r="A11">
        <v>11</v>
      </c>
      <c r="B11" s="100">
        <v>45043</v>
      </c>
      <c r="C11" t="s">
        <v>433</v>
      </c>
      <c r="D11" t="s">
        <v>434</v>
      </c>
      <c r="F11" s="101">
        <v>263</v>
      </c>
    </row>
    <row r="12" spans="1:9" x14ac:dyDescent="0.25">
      <c r="A12">
        <v>12</v>
      </c>
      <c r="B12" s="100">
        <v>45043</v>
      </c>
      <c r="C12" t="s">
        <v>433</v>
      </c>
      <c r="D12" t="s">
        <v>442</v>
      </c>
      <c r="F12" s="101">
        <v>292.60000000000002</v>
      </c>
    </row>
    <row r="13" spans="1:9" x14ac:dyDescent="0.25">
      <c r="A13">
        <v>13</v>
      </c>
      <c r="B13" s="100">
        <v>45043</v>
      </c>
      <c r="C13" t="s">
        <v>433</v>
      </c>
      <c r="D13" t="s">
        <v>441</v>
      </c>
      <c r="F13" s="101">
        <v>304.42</v>
      </c>
    </row>
    <row r="14" spans="1:9" x14ac:dyDescent="0.25">
      <c r="A14">
        <v>14</v>
      </c>
      <c r="B14" s="100">
        <v>45043</v>
      </c>
      <c r="C14" t="s">
        <v>433</v>
      </c>
      <c r="D14" t="s">
        <v>440</v>
      </c>
      <c r="F14" s="101">
        <v>326.39</v>
      </c>
    </row>
    <row r="15" spans="1:9" x14ac:dyDescent="0.25">
      <c r="A15">
        <v>15</v>
      </c>
      <c r="B15" s="100">
        <v>45043</v>
      </c>
      <c r="C15" t="s">
        <v>433</v>
      </c>
      <c r="D15" t="s">
        <v>439</v>
      </c>
      <c r="F15" s="101">
        <v>353.9</v>
      </c>
    </row>
    <row r="16" spans="1:9" x14ac:dyDescent="0.25">
      <c r="A16">
        <v>16</v>
      </c>
      <c r="B16" s="100">
        <v>45043</v>
      </c>
      <c r="C16" t="s">
        <v>433</v>
      </c>
      <c r="D16" t="s">
        <v>438</v>
      </c>
      <c r="F16" s="101">
        <v>532</v>
      </c>
      <c r="I16" s="101"/>
    </row>
    <row r="17" spans="1:9" x14ac:dyDescent="0.25">
      <c r="A17">
        <v>34</v>
      </c>
      <c r="B17" s="100">
        <v>45034</v>
      </c>
      <c r="C17" t="s">
        <v>360</v>
      </c>
      <c r="D17" t="s">
        <v>361</v>
      </c>
      <c r="F17" s="101">
        <v>6500</v>
      </c>
    </row>
    <row r="18" spans="1:9" x14ac:dyDescent="0.25">
      <c r="A18">
        <v>31</v>
      </c>
      <c r="B18" s="100">
        <v>45035</v>
      </c>
      <c r="C18" t="s">
        <v>243</v>
      </c>
      <c r="G18" s="101">
        <f>1064109.59-1000000</f>
        <v>64109.590000000084</v>
      </c>
    </row>
    <row r="19" spans="1:9" x14ac:dyDescent="0.25">
      <c r="E19" s="101">
        <f>SUBTOTAL(109,Abr_Creditos[Haberes])</f>
        <v>401702.75</v>
      </c>
      <c r="F19" s="101">
        <f>SUBTOTAL(109,Abr_Creditos[Extras])</f>
        <v>9304.06</v>
      </c>
      <c r="G19" s="101">
        <f>SUBTOTAL(109,Abr_Creditos[Inversiones])</f>
        <v>64109.590000000084</v>
      </c>
      <c r="I19" s="101">
        <f>G18+Abr_Creditos[[#Totals],[Extras]]</f>
        <v>73413.650000000081</v>
      </c>
    </row>
    <row r="21" spans="1:9" x14ac:dyDescent="0.25">
      <c r="C21" t="s">
        <v>209</v>
      </c>
      <c r="D21" t="s">
        <v>210</v>
      </c>
      <c r="E21" s="101" t="s">
        <v>239</v>
      </c>
      <c r="F21" s="101" t="s">
        <v>240</v>
      </c>
      <c r="G21" s="101" t="s">
        <v>236</v>
      </c>
    </row>
    <row r="22" spans="1:9" x14ac:dyDescent="0.25">
      <c r="B22" s="100">
        <v>45046</v>
      </c>
      <c r="C22" t="s">
        <v>254</v>
      </c>
      <c r="E22" s="101">
        <v>401702.75</v>
      </c>
      <c r="F22" s="101">
        <v>9304.06</v>
      </c>
      <c r="G22" s="101">
        <v>64109.590000000084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D2979-87B0-4B75-84DB-4E79162635CA}">
  <dimension ref="A1:I6"/>
  <sheetViews>
    <sheetView workbookViewId="0">
      <selection activeCell="C11" sqref="C11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45017</v>
      </c>
      <c r="B2" t="s">
        <v>386</v>
      </c>
      <c r="D2" s="101">
        <v>-186430</v>
      </c>
      <c r="E2" s="101">
        <v>0</v>
      </c>
      <c r="F2" s="101">
        <v>0</v>
      </c>
      <c r="G2" s="101">
        <v>0</v>
      </c>
      <c r="H2" s="101">
        <v>0</v>
      </c>
    </row>
    <row r="3" spans="1:9" x14ac:dyDescent="0.25">
      <c r="D3" s="101">
        <f>SUBTOTAL(109,Abr_Efectivo[Gastos])</f>
        <v>-186430</v>
      </c>
      <c r="E3" s="101">
        <f>SUBTOTAL(109,Abr_Efectivo[Tarjetas])</f>
        <v>0</v>
      </c>
      <c r="F3" s="101">
        <f>SUBTOTAL(109,Abr_Efectivo[Impuestos])</f>
        <v>0</v>
      </c>
      <c r="G3" s="101">
        <f>SUBTOTAL(109,Abr_Efectivo[Inversiones])</f>
        <v>0</v>
      </c>
      <c r="H3" s="101">
        <f>SUBTOTAL(109,Abr_Efectivo[Extras])</f>
        <v>0</v>
      </c>
      <c r="I3">
        <f>SUBTOTAL(103,Abr_Efectivo[Comentarios])</f>
        <v>0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45046</v>
      </c>
      <c r="B6" t="s">
        <v>254</v>
      </c>
      <c r="D6" s="101">
        <v>-186430</v>
      </c>
      <c r="E6" s="101">
        <v>0</v>
      </c>
      <c r="F6" s="101">
        <v>0</v>
      </c>
      <c r="G6" s="101">
        <v>0</v>
      </c>
      <c r="H6" s="101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1:I6"/>
  <sheetViews>
    <sheetView zoomScale="80" zoomScaleNormal="80" workbookViewId="0">
      <selection activeCell="C9" sqref="C9"/>
    </sheetView>
  </sheetViews>
  <sheetFormatPr baseColWidth="10" defaultRowHeight="15.75" x14ac:dyDescent="0.25"/>
  <cols>
    <col min="1" max="1" width="13.75" customWidth="1"/>
    <col min="2" max="2" width="30.625" customWidth="1"/>
    <col min="3" max="3" width="40.625" customWidth="1"/>
    <col min="4" max="8" width="12.625" style="101" customWidth="1"/>
    <col min="9" max="9" width="40.625" customWidth="1"/>
  </cols>
  <sheetData>
    <row r="1" spans="1:9" x14ac:dyDescent="0.25">
      <c r="A1" t="s">
        <v>141</v>
      </c>
      <c r="B1" t="s">
        <v>209</v>
      </c>
      <c r="C1" t="s">
        <v>210</v>
      </c>
      <c r="D1" s="101" t="s">
        <v>233</v>
      </c>
      <c r="E1" s="101" t="s">
        <v>234</v>
      </c>
      <c r="F1" s="101" t="s">
        <v>235</v>
      </c>
      <c r="G1" s="101" t="s">
        <v>236</v>
      </c>
      <c r="H1" s="101" t="s">
        <v>240</v>
      </c>
      <c r="I1" t="s">
        <v>238</v>
      </c>
    </row>
    <row r="2" spans="1:9" x14ac:dyDescent="0.25">
      <c r="A2" s="100">
        <v>44896</v>
      </c>
      <c r="B2" t="s">
        <v>285</v>
      </c>
      <c r="D2" s="101">
        <v>66000</v>
      </c>
      <c r="E2" s="101">
        <v>0</v>
      </c>
      <c r="F2" s="101">
        <v>0</v>
      </c>
      <c r="G2" s="101">
        <v>0</v>
      </c>
      <c r="H2" s="101">
        <v>10000</v>
      </c>
    </row>
    <row r="3" spans="1:9" x14ac:dyDescent="0.25">
      <c r="D3" s="101">
        <f>SUBTOTAL(109,Dic_Efectivo[Gastos])</f>
        <v>66000</v>
      </c>
      <c r="E3" s="101">
        <f>SUBTOTAL(109,Dic_Efectivo[Tarjetas])</f>
        <v>0</v>
      </c>
      <c r="F3" s="101">
        <f>SUBTOTAL(109,Dic_Efectivo[Impuestos])</f>
        <v>0</v>
      </c>
      <c r="G3" s="101">
        <f>SUBTOTAL(109,Dic_Efectivo[Inversiones])</f>
        <v>0</v>
      </c>
      <c r="H3" s="101">
        <f>SUBTOTAL(109,Dic_Efectivo[Extras])</f>
        <v>10000</v>
      </c>
      <c r="I3" t="s">
        <v>317</v>
      </c>
    </row>
    <row r="5" spans="1:9" x14ac:dyDescent="0.25">
      <c r="B5" t="s">
        <v>209</v>
      </c>
      <c r="C5" t="s">
        <v>210</v>
      </c>
      <c r="D5" s="101" t="s">
        <v>233</v>
      </c>
      <c r="E5" s="101" t="s">
        <v>234</v>
      </c>
      <c r="F5" s="101" t="s">
        <v>235</v>
      </c>
      <c r="G5" s="101" t="s">
        <v>236</v>
      </c>
      <c r="H5" s="101" t="s">
        <v>240</v>
      </c>
      <c r="I5" t="s">
        <v>238</v>
      </c>
    </row>
    <row r="6" spans="1:9" x14ac:dyDescent="0.25">
      <c r="A6" s="100">
        <v>44926</v>
      </c>
      <c r="B6" t="s">
        <v>254</v>
      </c>
      <c r="D6" s="101">
        <v>66000</v>
      </c>
      <c r="E6" s="101">
        <v>0</v>
      </c>
      <c r="F6" s="101">
        <v>0</v>
      </c>
      <c r="G6" s="101">
        <v>0</v>
      </c>
      <c r="H6" s="101">
        <v>10000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J82"/>
  <sheetViews>
    <sheetView topLeftCell="A66" workbookViewId="0">
      <selection activeCell="C80" sqref="C8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01" customWidth="1"/>
    <col min="9" max="9" width="14.625" style="101" customWidth="1"/>
    <col min="10" max="10" width="30.625" customWidth="1"/>
  </cols>
  <sheetData>
    <row r="1" spans="1:10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233</v>
      </c>
      <c r="F1" s="101" t="s">
        <v>234</v>
      </c>
      <c r="G1" s="101" t="s">
        <v>235</v>
      </c>
      <c r="H1" s="101" t="s">
        <v>236</v>
      </c>
      <c r="I1" s="101" t="s">
        <v>237</v>
      </c>
      <c r="J1" t="s">
        <v>238</v>
      </c>
    </row>
    <row r="2" spans="1:10" x14ac:dyDescent="0.25">
      <c r="A2">
        <v>36</v>
      </c>
      <c r="B2" s="100">
        <v>44916</v>
      </c>
      <c r="C2" t="s">
        <v>211</v>
      </c>
      <c r="D2" t="s">
        <v>288</v>
      </c>
      <c r="E2" s="101">
        <v>-181.57</v>
      </c>
    </row>
    <row r="3" spans="1:10" x14ac:dyDescent="0.25">
      <c r="A3">
        <v>44</v>
      </c>
      <c r="B3" s="100">
        <v>44914</v>
      </c>
      <c r="C3" t="s">
        <v>211</v>
      </c>
      <c r="D3" t="s">
        <v>294</v>
      </c>
      <c r="E3" s="101">
        <v>-240</v>
      </c>
    </row>
    <row r="4" spans="1:10" x14ac:dyDescent="0.25">
      <c r="A4">
        <v>42</v>
      </c>
      <c r="B4" s="100">
        <v>44914</v>
      </c>
      <c r="C4" t="s">
        <v>211</v>
      </c>
      <c r="D4" t="s">
        <v>242</v>
      </c>
      <c r="E4" s="101">
        <v>-300</v>
      </c>
    </row>
    <row r="5" spans="1:10" x14ac:dyDescent="0.25">
      <c r="A5">
        <v>6</v>
      </c>
      <c r="B5" s="100">
        <v>44925</v>
      </c>
      <c r="C5" t="s">
        <v>215</v>
      </c>
      <c r="E5" s="101">
        <v>-345.88</v>
      </c>
    </row>
    <row r="6" spans="1:10" x14ac:dyDescent="0.25">
      <c r="A6">
        <v>41</v>
      </c>
      <c r="B6" s="100">
        <v>44914</v>
      </c>
      <c r="C6" t="s">
        <v>211</v>
      </c>
      <c r="D6" t="s">
        <v>268</v>
      </c>
      <c r="E6" s="101">
        <v>-400</v>
      </c>
    </row>
    <row r="7" spans="1:10" x14ac:dyDescent="0.25">
      <c r="A7">
        <v>11</v>
      </c>
      <c r="B7" s="100">
        <v>44923</v>
      </c>
      <c r="C7" t="s">
        <v>211</v>
      </c>
      <c r="D7" t="s">
        <v>242</v>
      </c>
      <c r="E7" s="101">
        <v>-470</v>
      </c>
    </row>
    <row r="8" spans="1:10" x14ac:dyDescent="0.25">
      <c r="A8">
        <v>34</v>
      </c>
      <c r="B8" s="100">
        <v>44917</v>
      </c>
      <c r="C8" t="s">
        <v>211</v>
      </c>
      <c r="D8" t="s">
        <v>292</v>
      </c>
      <c r="E8" s="101">
        <v>-480</v>
      </c>
    </row>
    <row r="9" spans="1:10" x14ac:dyDescent="0.25">
      <c r="A9">
        <v>43</v>
      </c>
      <c r="B9" s="100">
        <v>44914</v>
      </c>
      <c r="C9" t="s">
        <v>211</v>
      </c>
      <c r="D9" t="s">
        <v>270</v>
      </c>
      <c r="E9" s="101">
        <v>-500</v>
      </c>
    </row>
    <row r="10" spans="1:10" x14ac:dyDescent="0.25">
      <c r="A10">
        <v>62</v>
      </c>
      <c r="B10" s="100">
        <v>44907</v>
      </c>
      <c r="C10" t="s">
        <v>211</v>
      </c>
      <c r="D10" t="s">
        <v>242</v>
      </c>
      <c r="E10" s="101">
        <v>-500</v>
      </c>
    </row>
    <row r="11" spans="1:10" x14ac:dyDescent="0.25">
      <c r="A11">
        <v>20</v>
      </c>
      <c r="B11" s="100">
        <v>44921</v>
      </c>
      <c r="C11" t="s">
        <v>211</v>
      </c>
      <c r="D11" t="s">
        <v>300</v>
      </c>
      <c r="E11" s="101">
        <v>-560</v>
      </c>
    </row>
    <row r="12" spans="1:10" x14ac:dyDescent="0.25">
      <c r="A12">
        <v>59</v>
      </c>
      <c r="B12" s="100">
        <v>44908</v>
      </c>
      <c r="C12" t="s">
        <v>211</v>
      </c>
      <c r="D12" t="s">
        <v>295</v>
      </c>
      <c r="E12" s="101">
        <v>-599.97</v>
      </c>
    </row>
    <row r="13" spans="1:10" x14ac:dyDescent="0.25">
      <c r="A13">
        <v>21</v>
      </c>
      <c r="B13" s="100">
        <v>44921</v>
      </c>
      <c r="C13" t="s">
        <v>211</v>
      </c>
      <c r="D13" t="s">
        <v>213</v>
      </c>
      <c r="E13" s="101">
        <v>-620</v>
      </c>
    </row>
    <row r="14" spans="1:10" x14ac:dyDescent="0.25">
      <c r="A14">
        <v>9</v>
      </c>
      <c r="B14" s="100">
        <v>44923</v>
      </c>
      <c r="C14" t="s">
        <v>211</v>
      </c>
      <c r="D14" t="s">
        <v>270</v>
      </c>
      <c r="E14" s="101">
        <v>-660</v>
      </c>
    </row>
    <row r="15" spans="1:10" x14ac:dyDescent="0.25">
      <c r="A15">
        <v>68</v>
      </c>
      <c r="B15" s="100">
        <v>44902</v>
      </c>
      <c r="C15" t="s">
        <v>211</v>
      </c>
      <c r="D15" t="s">
        <v>268</v>
      </c>
      <c r="E15" s="101">
        <v>-690</v>
      </c>
    </row>
    <row r="16" spans="1:10" x14ac:dyDescent="0.25">
      <c r="A16">
        <v>31</v>
      </c>
      <c r="B16" s="100">
        <v>44917</v>
      </c>
      <c r="C16" t="s">
        <v>211</v>
      </c>
      <c r="D16" t="s">
        <v>289</v>
      </c>
      <c r="E16" s="101">
        <v>-720</v>
      </c>
    </row>
    <row r="17" spans="1:5" x14ac:dyDescent="0.25">
      <c r="A17">
        <v>17</v>
      </c>
      <c r="B17" s="100">
        <v>44921</v>
      </c>
      <c r="C17" t="s">
        <v>211</v>
      </c>
      <c r="D17" t="s">
        <v>299</v>
      </c>
      <c r="E17" s="101">
        <v>-900</v>
      </c>
    </row>
    <row r="18" spans="1:5" x14ac:dyDescent="0.25">
      <c r="A18">
        <v>61</v>
      </c>
      <c r="B18" s="100">
        <v>44907</v>
      </c>
      <c r="C18" t="s">
        <v>211</v>
      </c>
      <c r="D18" t="s">
        <v>245</v>
      </c>
      <c r="E18" s="101">
        <v>-924.75</v>
      </c>
    </row>
    <row r="19" spans="1:5" x14ac:dyDescent="0.25">
      <c r="A19">
        <v>58</v>
      </c>
      <c r="B19" s="100">
        <v>44908</v>
      </c>
      <c r="C19" t="s">
        <v>211</v>
      </c>
      <c r="D19" t="s">
        <v>246</v>
      </c>
      <c r="E19" s="101">
        <v>-950.43</v>
      </c>
    </row>
    <row r="20" spans="1:5" x14ac:dyDescent="0.25">
      <c r="A20">
        <v>0</v>
      </c>
      <c r="B20" s="100">
        <v>44925</v>
      </c>
      <c r="C20" t="s">
        <v>211</v>
      </c>
      <c r="E20" s="101">
        <v>-1000</v>
      </c>
    </row>
    <row r="21" spans="1:5" x14ac:dyDescent="0.25">
      <c r="A21">
        <v>63</v>
      </c>
      <c r="B21" s="100">
        <v>44907</v>
      </c>
      <c r="C21" t="s">
        <v>211</v>
      </c>
      <c r="D21" t="s">
        <v>298</v>
      </c>
      <c r="E21" s="101">
        <v>-1200</v>
      </c>
    </row>
    <row r="22" spans="1:5" x14ac:dyDescent="0.25">
      <c r="A22">
        <v>64</v>
      </c>
      <c r="B22" s="100">
        <v>44907</v>
      </c>
      <c r="C22" t="s">
        <v>211</v>
      </c>
      <c r="D22" t="s">
        <v>269</v>
      </c>
      <c r="E22" s="101">
        <v>-1350</v>
      </c>
    </row>
    <row r="23" spans="1:5" x14ac:dyDescent="0.25">
      <c r="A23">
        <v>19</v>
      </c>
      <c r="B23" s="100">
        <v>44921</v>
      </c>
      <c r="C23" t="s">
        <v>211</v>
      </c>
      <c r="D23" t="s">
        <v>298</v>
      </c>
      <c r="E23" s="101">
        <v>-1500</v>
      </c>
    </row>
    <row r="24" spans="1:5" x14ac:dyDescent="0.25">
      <c r="A24">
        <v>26</v>
      </c>
      <c r="B24" s="100">
        <v>44921</v>
      </c>
      <c r="C24" t="s">
        <v>217</v>
      </c>
      <c r="D24" t="s">
        <v>305</v>
      </c>
      <c r="E24" s="101">
        <v>-1500</v>
      </c>
    </row>
    <row r="25" spans="1:5" x14ac:dyDescent="0.25">
      <c r="A25">
        <v>45</v>
      </c>
      <c r="B25" s="100">
        <v>44914</v>
      </c>
      <c r="C25" t="s">
        <v>211</v>
      </c>
      <c r="D25" t="s">
        <v>277</v>
      </c>
      <c r="E25" s="101">
        <v>-1600</v>
      </c>
    </row>
    <row r="26" spans="1:5" x14ac:dyDescent="0.25">
      <c r="A26">
        <v>72</v>
      </c>
      <c r="B26" s="100">
        <v>44900</v>
      </c>
      <c r="C26" t="s">
        <v>211</v>
      </c>
      <c r="D26" t="s">
        <v>297</v>
      </c>
      <c r="E26" s="101">
        <v>-1610</v>
      </c>
    </row>
    <row r="27" spans="1:5" x14ac:dyDescent="0.25">
      <c r="A27">
        <v>5</v>
      </c>
      <c r="B27" s="100">
        <v>44925</v>
      </c>
      <c r="C27" t="s">
        <v>214</v>
      </c>
      <c r="E27" s="101">
        <v>-1647.06</v>
      </c>
    </row>
    <row r="28" spans="1:5" x14ac:dyDescent="0.25">
      <c r="A28">
        <v>27</v>
      </c>
      <c r="B28" s="100">
        <v>44921</v>
      </c>
      <c r="C28" t="s">
        <v>218</v>
      </c>
      <c r="D28" t="s">
        <v>278</v>
      </c>
      <c r="E28" s="101">
        <v>-1785.3</v>
      </c>
    </row>
    <row r="29" spans="1:5" x14ac:dyDescent="0.25">
      <c r="A29">
        <v>12</v>
      </c>
      <c r="B29" s="100">
        <v>44923</v>
      </c>
      <c r="C29" t="s">
        <v>211</v>
      </c>
      <c r="D29" t="s">
        <v>280</v>
      </c>
      <c r="E29" s="101">
        <v>-1865.5</v>
      </c>
    </row>
    <row r="30" spans="1:5" x14ac:dyDescent="0.25">
      <c r="A30">
        <v>37</v>
      </c>
      <c r="B30" s="100">
        <v>44916</v>
      </c>
      <c r="C30" t="s">
        <v>211</v>
      </c>
      <c r="D30" t="s">
        <v>220</v>
      </c>
      <c r="E30" s="101">
        <v>-2017</v>
      </c>
    </row>
    <row r="31" spans="1:5" x14ac:dyDescent="0.25">
      <c r="A31">
        <v>55</v>
      </c>
      <c r="B31" s="100">
        <v>44910</v>
      </c>
      <c r="C31" t="s">
        <v>211</v>
      </c>
      <c r="D31" t="s">
        <v>242</v>
      </c>
      <c r="E31" s="101">
        <v>-2120</v>
      </c>
    </row>
    <row r="32" spans="1:5" x14ac:dyDescent="0.25">
      <c r="A32">
        <v>79</v>
      </c>
      <c r="B32" s="100">
        <v>44896</v>
      </c>
      <c r="C32" t="s">
        <v>244</v>
      </c>
      <c r="D32" t="s">
        <v>281</v>
      </c>
      <c r="E32" s="101">
        <v>-2200</v>
      </c>
    </row>
    <row r="33" spans="1:5" x14ac:dyDescent="0.25">
      <c r="A33">
        <v>73</v>
      </c>
      <c r="B33" s="100">
        <v>44900</v>
      </c>
      <c r="C33" t="s">
        <v>211</v>
      </c>
      <c r="D33" t="s">
        <v>269</v>
      </c>
      <c r="E33" s="101">
        <v>-2230</v>
      </c>
    </row>
    <row r="34" spans="1:5" x14ac:dyDescent="0.25">
      <c r="A34">
        <v>54</v>
      </c>
      <c r="B34" s="100">
        <v>44910</v>
      </c>
      <c r="C34" t="s">
        <v>211</v>
      </c>
      <c r="D34" t="s">
        <v>212</v>
      </c>
      <c r="E34" s="101">
        <v>-2250</v>
      </c>
    </row>
    <row r="35" spans="1:5" x14ac:dyDescent="0.25">
      <c r="A35">
        <v>22</v>
      </c>
      <c r="B35" s="100">
        <v>44921</v>
      </c>
      <c r="C35" t="s">
        <v>211</v>
      </c>
      <c r="D35" t="s">
        <v>269</v>
      </c>
      <c r="E35" s="101">
        <v>-2430</v>
      </c>
    </row>
    <row r="36" spans="1:5" x14ac:dyDescent="0.25">
      <c r="A36">
        <v>77</v>
      </c>
      <c r="B36" s="100">
        <v>44900</v>
      </c>
      <c r="C36" t="s">
        <v>244</v>
      </c>
      <c r="D36" t="s">
        <v>281</v>
      </c>
      <c r="E36" s="101">
        <v>-2500</v>
      </c>
    </row>
    <row r="37" spans="1:5" x14ac:dyDescent="0.25">
      <c r="A37">
        <v>7</v>
      </c>
      <c r="B37" s="100">
        <v>44924</v>
      </c>
      <c r="C37" t="s">
        <v>211</v>
      </c>
      <c r="D37" t="s">
        <v>216</v>
      </c>
      <c r="E37" s="101">
        <v>-2560.71</v>
      </c>
    </row>
    <row r="38" spans="1:5" x14ac:dyDescent="0.25">
      <c r="A38">
        <v>33</v>
      </c>
      <c r="B38" s="100">
        <v>44917</v>
      </c>
      <c r="C38" t="s">
        <v>211</v>
      </c>
      <c r="D38" t="s">
        <v>291</v>
      </c>
      <c r="E38" s="101">
        <v>-2600</v>
      </c>
    </row>
    <row r="39" spans="1:5" x14ac:dyDescent="0.25">
      <c r="A39">
        <v>50</v>
      </c>
      <c r="B39" s="100">
        <v>44911</v>
      </c>
      <c r="C39" t="s">
        <v>211</v>
      </c>
      <c r="D39" t="s">
        <v>269</v>
      </c>
      <c r="E39" s="101">
        <v>-2700</v>
      </c>
    </row>
    <row r="40" spans="1:5" x14ac:dyDescent="0.25">
      <c r="A40">
        <v>29</v>
      </c>
      <c r="B40" s="100">
        <v>44917</v>
      </c>
      <c r="C40" t="s">
        <v>211</v>
      </c>
      <c r="D40" t="s">
        <v>288</v>
      </c>
      <c r="E40" s="101">
        <v>-2719.48</v>
      </c>
    </row>
    <row r="41" spans="1:5" x14ac:dyDescent="0.25">
      <c r="A41">
        <v>53</v>
      </c>
      <c r="B41" s="100">
        <v>44910</v>
      </c>
      <c r="C41" t="s">
        <v>211</v>
      </c>
      <c r="D41" t="s">
        <v>283</v>
      </c>
      <c r="E41" s="101">
        <v>-3000</v>
      </c>
    </row>
    <row r="42" spans="1:5" x14ac:dyDescent="0.25">
      <c r="A42">
        <v>65</v>
      </c>
      <c r="B42" s="100">
        <v>44907</v>
      </c>
      <c r="C42" t="s">
        <v>217</v>
      </c>
      <c r="D42" t="s">
        <v>252</v>
      </c>
      <c r="E42" s="101">
        <v>-3000</v>
      </c>
    </row>
    <row r="43" spans="1:5" x14ac:dyDescent="0.25">
      <c r="A43">
        <v>78</v>
      </c>
      <c r="B43" s="100">
        <v>44900</v>
      </c>
      <c r="C43" t="s">
        <v>217</v>
      </c>
      <c r="D43" t="s">
        <v>271</v>
      </c>
      <c r="E43" s="101">
        <v>-3000</v>
      </c>
    </row>
    <row r="44" spans="1:5" x14ac:dyDescent="0.25">
      <c r="A44">
        <v>52</v>
      </c>
      <c r="B44" s="100">
        <v>44910</v>
      </c>
      <c r="C44" t="s">
        <v>211</v>
      </c>
      <c r="D44" t="s">
        <v>280</v>
      </c>
      <c r="E44" s="101">
        <v>-3005.5</v>
      </c>
    </row>
    <row r="45" spans="1:5" x14ac:dyDescent="0.25">
      <c r="A45">
        <v>46</v>
      </c>
      <c r="B45" s="100">
        <v>44914</v>
      </c>
      <c r="C45" t="s">
        <v>211</v>
      </c>
      <c r="D45" t="s">
        <v>245</v>
      </c>
      <c r="E45" s="101">
        <v>-3504.55</v>
      </c>
    </row>
    <row r="46" spans="1:5" x14ac:dyDescent="0.25">
      <c r="A46">
        <v>1</v>
      </c>
      <c r="B46" s="100">
        <v>44925</v>
      </c>
      <c r="C46" t="s">
        <v>211</v>
      </c>
      <c r="D46" t="s">
        <v>269</v>
      </c>
      <c r="E46" s="101">
        <v>-3700</v>
      </c>
    </row>
    <row r="47" spans="1:5" x14ac:dyDescent="0.25">
      <c r="A47">
        <v>10</v>
      </c>
      <c r="B47" s="100">
        <v>44923</v>
      </c>
      <c r="C47" t="s">
        <v>211</v>
      </c>
      <c r="D47" t="s">
        <v>245</v>
      </c>
      <c r="E47" s="101">
        <v>-3892.1</v>
      </c>
    </row>
    <row r="48" spans="1:5" x14ac:dyDescent="0.25">
      <c r="A48">
        <v>14</v>
      </c>
      <c r="B48" s="100">
        <v>44923</v>
      </c>
      <c r="C48" t="s">
        <v>217</v>
      </c>
      <c r="D48" t="s">
        <v>309</v>
      </c>
      <c r="E48" s="101">
        <v>-4465</v>
      </c>
    </row>
    <row r="49" spans="1:5" x14ac:dyDescent="0.25">
      <c r="A49">
        <v>18</v>
      </c>
      <c r="B49" s="100">
        <v>44921</v>
      </c>
      <c r="C49" t="s">
        <v>211</v>
      </c>
      <c r="D49" t="s">
        <v>228</v>
      </c>
      <c r="E49" s="101">
        <v>-4550</v>
      </c>
    </row>
    <row r="50" spans="1:5" x14ac:dyDescent="0.25">
      <c r="A50">
        <v>51</v>
      </c>
      <c r="B50" s="100">
        <v>44911</v>
      </c>
      <c r="C50" t="s">
        <v>217</v>
      </c>
      <c r="D50" t="s">
        <v>308</v>
      </c>
      <c r="E50" s="101">
        <v>-4600</v>
      </c>
    </row>
    <row r="51" spans="1:5" x14ac:dyDescent="0.25">
      <c r="A51">
        <v>30</v>
      </c>
      <c r="B51" s="100">
        <v>44917</v>
      </c>
      <c r="C51" t="s">
        <v>211</v>
      </c>
      <c r="D51" t="s">
        <v>216</v>
      </c>
      <c r="E51" s="101">
        <v>-4651</v>
      </c>
    </row>
    <row r="52" spans="1:5" x14ac:dyDescent="0.25">
      <c r="A52">
        <v>40</v>
      </c>
      <c r="B52" s="100">
        <v>44915</v>
      </c>
      <c r="C52" t="s">
        <v>244</v>
      </c>
      <c r="D52" t="s">
        <v>281</v>
      </c>
      <c r="E52" s="101">
        <v>-5000</v>
      </c>
    </row>
    <row r="53" spans="1:5" x14ac:dyDescent="0.25">
      <c r="A53">
        <v>47</v>
      </c>
      <c r="B53" s="100">
        <v>44914</v>
      </c>
      <c r="C53" t="s">
        <v>211</v>
      </c>
      <c r="D53" t="s">
        <v>274</v>
      </c>
      <c r="E53" s="101">
        <v>-5315.43</v>
      </c>
    </row>
    <row r="54" spans="1:5" x14ac:dyDescent="0.25">
      <c r="A54">
        <v>15</v>
      </c>
      <c r="B54" s="100">
        <v>44923</v>
      </c>
      <c r="C54" t="s">
        <v>217</v>
      </c>
      <c r="D54" t="s">
        <v>306</v>
      </c>
      <c r="E54" s="101">
        <v>-5535</v>
      </c>
    </row>
    <row r="55" spans="1:5" x14ac:dyDescent="0.25">
      <c r="A55">
        <v>38</v>
      </c>
      <c r="B55" s="100">
        <v>44916</v>
      </c>
      <c r="C55" t="s">
        <v>211</v>
      </c>
      <c r="D55" t="s">
        <v>288</v>
      </c>
      <c r="E55" s="101">
        <v>-6270.91</v>
      </c>
    </row>
    <row r="56" spans="1:5" x14ac:dyDescent="0.25">
      <c r="A56">
        <v>32</v>
      </c>
      <c r="B56" s="100">
        <v>44917</v>
      </c>
      <c r="C56" t="s">
        <v>211</v>
      </c>
      <c r="D56" t="s">
        <v>290</v>
      </c>
      <c r="E56" s="101">
        <v>-7580</v>
      </c>
    </row>
    <row r="57" spans="1:5" x14ac:dyDescent="0.25">
      <c r="A57">
        <v>3</v>
      </c>
      <c r="B57" s="100">
        <v>44925</v>
      </c>
      <c r="C57" t="s">
        <v>217</v>
      </c>
      <c r="D57" t="s">
        <v>307</v>
      </c>
      <c r="E57" s="101">
        <v>-8000</v>
      </c>
    </row>
    <row r="58" spans="1:5" x14ac:dyDescent="0.25">
      <c r="A58">
        <v>35</v>
      </c>
      <c r="B58" s="100">
        <v>44916</v>
      </c>
      <c r="C58" t="s">
        <v>211</v>
      </c>
      <c r="D58" t="s">
        <v>293</v>
      </c>
      <c r="E58" s="101">
        <v>-8000</v>
      </c>
    </row>
    <row r="59" spans="1:5" x14ac:dyDescent="0.25">
      <c r="A59">
        <v>60</v>
      </c>
      <c r="B59" s="100">
        <v>44907</v>
      </c>
      <c r="C59" t="s">
        <v>211</v>
      </c>
      <c r="D59" t="s">
        <v>296</v>
      </c>
      <c r="E59" s="101">
        <v>-9000</v>
      </c>
    </row>
    <row r="60" spans="1:5" x14ac:dyDescent="0.25">
      <c r="A60">
        <v>16</v>
      </c>
      <c r="B60" s="100">
        <v>44922</v>
      </c>
      <c r="C60" t="s">
        <v>217</v>
      </c>
      <c r="D60" t="s">
        <v>241</v>
      </c>
      <c r="E60" s="101">
        <v>-10000</v>
      </c>
    </row>
    <row r="61" spans="1:5" x14ac:dyDescent="0.25">
      <c r="A61">
        <v>8</v>
      </c>
      <c r="B61" s="100">
        <v>44924</v>
      </c>
      <c r="C61" t="s">
        <v>244</v>
      </c>
      <c r="D61" t="s">
        <v>302</v>
      </c>
      <c r="E61" s="101">
        <v>-10125</v>
      </c>
    </row>
    <row r="62" spans="1:5" x14ac:dyDescent="0.25">
      <c r="A62">
        <v>25</v>
      </c>
      <c r="B62" s="100">
        <v>44921</v>
      </c>
      <c r="C62" t="s">
        <v>217</v>
      </c>
      <c r="D62" t="s">
        <v>306</v>
      </c>
      <c r="E62" s="101">
        <v>-17965</v>
      </c>
    </row>
    <row r="63" spans="1:5" x14ac:dyDescent="0.25">
      <c r="A63">
        <v>28</v>
      </c>
      <c r="B63" s="100">
        <v>44918</v>
      </c>
      <c r="C63" t="s">
        <v>211</v>
      </c>
      <c r="D63" t="s">
        <v>219</v>
      </c>
      <c r="E63" s="101">
        <v>-31677.75</v>
      </c>
    </row>
    <row r="64" spans="1:5" x14ac:dyDescent="0.25">
      <c r="A64">
        <v>57</v>
      </c>
      <c r="B64" s="100">
        <v>44910</v>
      </c>
      <c r="C64" t="s">
        <v>217</v>
      </c>
      <c r="D64" t="s">
        <v>304</v>
      </c>
      <c r="E64" s="101">
        <v>-40000</v>
      </c>
    </row>
    <row r="65" spans="1:10" x14ac:dyDescent="0.25">
      <c r="A65">
        <v>4</v>
      </c>
      <c r="B65" s="100">
        <v>44925</v>
      </c>
      <c r="C65" t="s">
        <v>217</v>
      </c>
      <c r="D65" t="s">
        <v>310</v>
      </c>
      <c r="E65" s="101">
        <v>-100000</v>
      </c>
    </row>
    <row r="66" spans="1:10" x14ac:dyDescent="0.25">
      <c r="A66">
        <v>71</v>
      </c>
      <c r="B66" s="100">
        <v>44901</v>
      </c>
      <c r="C66" t="s">
        <v>217</v>
      </c>
      <c r="D66" t="s">
        <v>284</v>
      </c>
      <c r="E66" s="101">
        <v>-152000</v>
      </c>
    </row>
    <row r="67" spans="1:10" x14ac:dyDescent="0.25">
      <c r="A67">
        <v>69</v>
      </c>
      <c r="B67" s="100">
        <v>44901</v>
      </c>
      <c r="C67" t="s">
        <v>224</v>
      </c>
      <c r="D67" t="s">
        <v>225</v>
      </c>
      <c r="F67" s="101">
        <v>-76714.92</v>
      </c>
    </row>
    <row r="68" spans="1:10" x14ac:dyDescent="0.25">
      <c r="A68">
        <v>66</v>
      </c>
      <c r="B68" s="100">
        <v>44907</v>
      </c>
      <c r="C68" t="s">
        <v>222</v>
      </c>
      <c r="D68" t="s">
        <v>223</v>
      </c>
      <c r="F68" s="101">
        <v>-86992.14</v>
      </c>
    </row>
    <row r="69" spans="1:10" x14ac:dyDescent="0.25">
      <c r="A69">
        <v>67</v>
      </c>
      <c r="B69" s="100">
        <v>44907</v>
      </c>
      <c r="C69" t="s">
        <v>258</v>
      </c>
      <c r="H69" s="101">
        <v>-350000</v>
      </c>
    </row>
    <row r="70" spans="1:10" x14ac:dyDescent="0.25">
      <c r="A70">
        <v>23</v>
      </c>
      <c r="B70" s="100">
        <v>44921</v>
      </c>
      <c r="C70" t="s">
        <v>229</v>
      </c>
      <c r="D70" t="s">
        <v>230</v>
      </c>
      <c r="I70" s="101">
        <v>-5000</v>
      </c>
    </row>
    <row r="71" spans="1:10" x14ac:dyDescent="0.25">
      <c r="A71">
        <v>24</v>
      </c>
      <c r="B71" s="100">
        <v>44921</v>
      </c>
      <c r="C71" t="s">
        <v>229</v>
      </c>
      <c r="D71" t="s">
        <v>230</v>
      </c>
      <c r="I71" s="101">
        <v>-10000</v>
      </c>
    </row>
    <row r="72" spans="1:10" x14ac:dyDescent="0.25">
      <c r="A72">
        <v>39</v>
      </c>
      <c r="B72" s="100">
        <v>44916</v>
      </c>
      <c r="C72" t="s">
        <v>229</v>
      </c>
      <c r="D72" t="s">
        <v>303</v>
      </c>
      <c r="I72" s="101">
        <v>-10000</v>
      </c>
    </row>
    <row r="73" spans="1:10" x14ac:dyDescent="0.25">
      <c r="A73">
        <v>56</v>
      </c>
      <c r="B73" s="100">
        <v>44910</v>
      </c>
      <c r="C73" t="s">
        <v>229</v>
      </c>
      <c r="D73" t="s">
        <v>230</v>
      </c>
      <c r="I73" s="101">
        <v>-10000</v>
      </c>
    </row>
    <row r="74" spans="1:10" x14ac:dyDescent="0.25">
      <c r="A74">
        <v>2</v>
      </c>
      <c r="B74" s="100">
        <v>44925</v>
      </c>
      <c r="C74" t="s">
        <v>229</v>
      </c>
      <c r="D74" t="s">
        <v>230</v>
      </c>
      <c r="I74" s="101">
        <v>-13000</v>
      </c>
    </row>
    <row r="75" spans="1:10" x14ac:dyDescent="0.25">
      <c r="A75">
        <v>76</v>
      </c>
      <c r="B75" s="100">
        <v>44900</v>
      </c>
      <c r="C75" t="s">
        <v>229</v>
      </c>
      <c r="D75" t="s">
        <v>230</v>
      </c>
      <c r="I75" s="101">
        <v>-15000</v>
      </c>
    </row>
    <row r="76" spans="1:10" x14ac:dyDescent="0.25">
      <c r="A76">
        <v>75</v>
      </c>
      <c r="B76" s="100">
        <v>44900</v>
      </c>
      <c r="C76" t="s">
        <v>229</v>
      </c>
      <c r="D76" t="s">
        <v>230</v>
      </c>
      <c r="I76" s="101">
        <v>-30000</v>
      </c>
    </row>
    <row r="77" spans="1:10" x14ac:dyDescent="0.25">
      <c r="A77" s="106"/>
      <c r="B77" s="105">
        <v>44907</v>
      </c>
      <c r="C77" s="106" t="s">
        <v>282</v>
      </c>
      <c r="D77" s="106"/>
      <c r="E77" s="102"/>
      <c r="F77" s="102"/>
      <c r="G77" s="102">
        <v>-14022</v>
      </c>
    </row>
    <row r="78" spans="1:10" x14ac:dyDescent="0.25">
      <c r="A78" s="106"/>
      <c r="B78" s="105">
        <v>44907</v>
      </c>
      <c r="C78" s="106" t="s">
        <v>253</v>
      </c>
      <c r="D78" s="106"/>
      <c r="E78" s="102"/>
      <c r="F78" s="102">
        <v>14022</v>
      </c>
    </row>
    <row r="79" spans="1:10" x14ac:dyDescent="0.25">
      <c r="E79" s="101">
        <f>SUBTOTAL(109,Dic_Debitos[Gastos])</f>
        <v>-509264.89</v>
      </c>
      <c r="F79" s="101">
        <f>SUBTOTAL(109,Dic_Debitos[Tarjetas])</f>
        <v>-149685.06</v>
      </c>
      <c r="G79" s="101">
        <f>SUBTOTAL(109,Dic_Debitos[Impuestos])</f>
        <v>-14022</v>
      </c>
      <c r="H79" s="101">
        <f>SUBTOTAL(109,Dic_Debitos[Inversiones])</f>
        <v>-350000</v>
      </c>
      <c r="I79" s="101">
        <f>SUBTOTAL(109,Dic_Debitos[Extracciones])</f>
        <v>-93000</v>
      </c>
      <c r="J79">
        <f>SUBTOTAL(103,Dic_Debitos[Comentarios])</f>
        <v>0</v>
      </c>
    </row>
    <row r="81" spans="2:10" x14ac:dyDescent="0.25">
      <c r="C81" t="s">
        <v>209</v>
      </c>
      <c r="D81" t="s">
        <v>210</v>
      </c>
      <c r="E81" s="101" t="s">
        <v>233</v>
      </c>
      <c r="F81" s="101" t="s">
        <v>234</v>
      </c>
      <c r="G81" s="101" t="s">
        <v>235</v>
      </c>
      <c r="H81" s="101" t="s">
        <v>236</v>
      </c>
      <c r="I81" s="101" t="s">
        <v>237</v>
      </c>
      <c r="J81" t="s">
        <v>238</v>
      </c>
    </row>
    <row r="82" spans="2:10" x14ac:dyDescent="0.25">
      <c r="B82" s="100">
        <v>44926</v>
      </c>
      <c r="C82" t="s">
        <v>254</v>
      </c>
      <c r="E82" s="101">
        <v>-509264.89</v>
      </c>
      <c r="F82" s="101">
        <v>-149685.06</v>
      </c>
      <c r="G82" s="101">
        <v>-14022</v>
      </c>
      <c r="H82" s="101">
        <v>-350000</v>
      </c>
      <c r="I82" s="101">
        <v>-93000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A1:H11"/>
  <sheetViews>
    <sheetView workbookViewId="0">
      <selection activeCell="G7" sqref="G7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7" customWidth="1"/>
    <col min="5" max="7" width="12.625" style="101" customWidth="1"/>
    <col min="8" max="8" width="31.875" customWidth="1"/>
  </cols>
  <sheetData>
    <row r="1" spans="1:8" x14ac:dyDescent="0.25">
      <c r="A1" t="s">
        <v>232</v>
      </c>
      <c r="B1" t="s">
        <v>141</v>
      </c>
      <c r="C1" t="s">
        <v>209</v>
      </c>
      <c r="D1" t="s">
        <v>210</v>
      </c>
      <c r="E1" s="101" t="s">
        <v>239</v>
      </c>
      <c r="F1" s="101" t="s">
        <v>240</v>
      </c>
      <c r="G1" s="101" t="s">
        <v>236</v>
      </c>
      <c r="H1" t="s">
        <v>238</v>
      </c>
    </row>
    <row r="2" spans="1:8" x14ac:dyDescent="0.25">
      <c r="A2">
        <v>48</v>
      </c>
      <c r="B2" s="100">
        <v>44914</v>
      </c>
      <c r="C2" t="s">
        <v>226</v>
      </c>
      <c r="D2" t="s">
        <v>227</v>
      </c>
      <c r="E2" s="101">
        <v>209332.82</v>
      </c>
      <c r="H2" s="101"/>
    </row>
    <row r="3" spans="1:8" x14ac:dyDescent="0.25">
      <c r="A3">
        <v>70</v>
      </c>
      <c r="B3" s="100">
        <v>44901</v>
      </c>
      <c r="C3" t="s">
        <v>226</v>
      </c>
      <c r="D3" t="s">
        <v>227</v>
      </c>
      <c r="E3" s="101">
        <v>589385.9</v>
      </c>
      <c r="H3" s="101" t="s">
        <v>318</v>
      </c>
    </row>
    <row r="4" spans="1:8" x14ac:dyDescent="0.25">
      <c r="A4">
        <v>80</v>
      </c>
      <c r="B4" s="100">
        <v>44896</v>
      </c>
      <c r="C4" t="s">
        <v>231</v>
      </c>
      <c r="F4" s="101">
        <v>47.45</v>
      </c>
      <c r="H4" s="101"/>
    </row>
    <row r="5" spans="1:8" x14ac:dyDescent="0.25">
      <c r="A5">
        <v>74</v>
      </c>
      <c r="B5" s="100">
        <v>44900</v>
      </c>
      <c r="C5" t="s">
        <v>221</v>
      </c>
      <c r="D5" t="s">
        <v>257</v>
      </c>
      <c r="F5" s="101">
        <v>3000</v>
      </c>
      <c r="H5" s="101"/>
    </row>
    <row r="6" spans="1:8" x14ac:dyDescent="0.25">
      <c r="A6">
        <v>13</v>
      </c>
      <c r="B6" s="100">
        <v>44923</v>
      </c>
      <c r="C6" t="s">
        <v>221</v>
      </c>
      <c r="D6" t="s">
        <v>301</v>
      </c>
      <c r="F6" s="101">
        <v>32000</v>
      </c>
      <c r="H6" s="101" t="s">
        <v>311</v>
      </c>
    </row>
    <row r="7" spans="1:8" x14ac:dyDescent="0.25">
      <c r="A7">
        <v>49</v>
      </c>
      <c r="B7" s="100">
        <v>44914</v>
      </c>
      <c r="C7" t="s">
        <v>243</v>
      </c>
      <c r="G7" s="101">
        <f>372294.52-350000</f>
        <v>22294.520000000019</v>
      </c>
      <c r="H7" s="101"/>
    </row>
    <row r="8" spans="1:8" x14ac:dyDescent="0.25">
      <c r="E8" s="101">
        <f>SUBTOTAL(109,Dic_Creditos[Haberes])</f>
        <v>798718.72</v>
      </c>
      <c r="F8" s="101">
        <f>SUBTOTAL(109,Dic_Creditos[Extras])</f>
        <v>35047.449999999997</v>
      </c>
      <c r="G8" s="101">
        <f>SUBTOTAL(109,Dic_Creditos[Inversiones])</f>
        <v>22294.520000000019</v>
      </c>
    </row>
    <row r="10" spans="1:8" x14ac:dyDescent="0.25">
      <c r="C10" t="s">
        <v>209</v>
      </c>
      <c r="D10" t="s">
        <v>210</v>
      </c>
      <c r="E10" s="101" t="s">
        <v>239</v>
      </c>
      <c r="F10" s="101" t="s">
        <v>240</v>
      </c>
      <c r="G10" s="101" t="s">
        <v>236</v>
      </c>
    </row>
    <row r="11" spans="1:8" x14ac:dyDescent="0.25">
      <c r="B11" s="100">
        <v>44926</v>
      </c>
      <c r="C11" t="s">
        <v>254</v>
      </c>
      <c r="E11" s="101">
        <v>798718.72</v>
      </c>
      <c r="F11" s="101">
        <v>35047.449999999997</v>
      </c>
      <c r="G11" s="101">
        <v>22294.520000000019</v>
      </c>
      <c r="H11" s="101">
        <f>F11+G11</f>
        <v>57341.970000000016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>
    <tabColor rgb="FFFFFF00"/>
  </sheetPr>
  <dimension ref="A1:R33"/>
  <sheetViews>
    <sheetView topLeftCell="A2" zoomScale="60" zoomScaleNormal="60" workbookViewId="0">
      <selection activeCell="M24" sqref="M24"/>
    </sheetView>
  </sheetViews>
  <sheetFormatPr baseColWidth="10" defaultColWidth="8" defaultRowHeight="15" x14ac:dyDescent="0.25"/>
  <cols>
    <col min="1" max="1" width="20.625" style="9" customWidth="1"/>
    <col min="2" max="2" width="14.625" style="9" customWidth="1"/>
    <col min="3" max="3" width="40.625" style="9" customWidth="1"/>
    <col min="4" max="4" width="20.625" style="11" customWidth="1"/>
    <col min="5" max="5" width="6.875" style="12" customWidth="1"/>
    <col min="6" max="17" width="10.5" style="6" customWidth="1"/>
    <col min="18" max="16384" width="8" style="6"/>
  </cols>
  <sheetData>
    <row r="1" spans="1:18" ht="39.950000000000003" customHeight="1" x14ac:dyDescent="0.3">
      <c r="A1" s="295" t="s">
        <v>22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</row>
    <row r="2" spans="1:18" ht="39.950000000000003" customHeight="1" x14ac:dyDescent="0.25">
      <c r="A2" s="235"/>
      <c r="B2" s="235"/>
      <c r="C2" s="235"/>
      <c r="D2" s="236"/>
      <c r="E2" s="237"/>
      <c r="F2" s="237" t="s">
        <v>23</v>
      </c>
      <c r="G2" s="237" t="s">
        <v>24</v>
      </c>
      <c r="H2" s="237" t="s">
        <v>25</v>
      </c>
      <c r="I2" s="237" t="s">
        <v>26</v>
      </c>
      <c r="J2" s="237" t="s">
        <v>27</v>
      </c>
      <c r="K2" s="237" t="s">
        <v>28</v>
      </c>
      <c r="L2" s="237" t="s">
        <v>29</v>
      </c>
      <c r="M2" s="237" t="s">
        <v>30</v>
      </c>
      <c r="N2" s="237" t="s">
        <v>31</v>
      </c>
      <c r="O2" s="237" t="s">
        <v>32</v>
      </c>
      <c r="P2" s="237" t="s">
        <v>33</v>
      </c>
      <c r="Q2" s="237" t="s">
        <v>34</v>
      </c>
    </row>
    <row r="3" spans="1:18" ht="39.950000000000003" customHeight="1" x14ac:dyDescent="0.25">
      <c r="A3" s="238" t="s">
        <v>35</v>
      </c>
      <c r="B3" s="239" t="s">
        <v>36</v>
      </c>
      <c r="C3" s="239" t="s">
        <v>37</v>
      </c>
      <c r="D3" s="240" t="s">
        <v>38</v>
      </c>
      <c r="E3" s="241" t="s">
        <v>39</v>
      </c>
      <c r="F3" s="241" t="s">
        <v>40</v>
      </c>
      <c r="G3" s="241" t="s">
        <v>41</v>
      </c>
      <c r="H3" s="241" t="s">
        <v>42</v>
      </c>
      <c r="I3" s="241" t="s">
        <v>43</v>
      </c>
      <c r="J3" s="241" t="s">
        <v>44</v>
      </c>
      <c r="K3" s="241" t="s">
        <v>45</v>
      </c>
      <c r="L3" s="241" t="s">
        <v>46</v>
      </c>
      <c r="M3" s="241" t="s">
        <v>47</v>
      </c>
      <c r="N3" s="241" t="s">
        <v>48</v>
      </c>
      <c r="O3" s="241" t="s">
        <v>49</v>
      </c>
      <c r="P3" s="241" t="s">
        <v>50</v>
      </c>
      <c r="Q3" s="242" t="s">
        <v>51</v>
      </c>
    </row>
    <row r="4" spans="1:18" ht="30" customHeight="1" x14ac:dyDescent="0.25">
      <c r="A4" s="218" t="s">
        <v>52</v>
      </c>
      <c r="B4" s="217" t="s">
        <v>53</v>
      </c>
      <c r="C4" s="217" t="s">
        <v>54</v>
      </c>
      <c r="D4" s="219" t="s">
        <v>55</v>
      </c>
      <c r="E4" s="220">
        <v>11</v>
      </c>
      <c r="F4" s="265"/>
      <c r="G4" s="265">
        <v>620</v>
      </c>
      <c r="H4" s="265">
        <v>620</v>
      </c>
      <c r="I4" s="265">
        <v>620</v>
      </c>
      <c r="J4" s="265">
        <v>620</v>
      </c>
      <c r="K4" s="265">
        <v>620</v>
      </c>
      <c r="L4" s="265">
        <v>620</v>
      </c>
      <c r="M4" s="265">
        <v>620</v>
      </c>
      <c r="N4" s="265">
        <v>620</v>
      </c>
      <c r="O4" s="265">
        <v>620</v>
      </c>
      <c r="P4" s="265">
        <v>620</v>
      </c>
      <c r="Q4" s="266">
        <v>620</v>
      </c>
    </row>
    <row r="5" spans="1:18" ht="30" customHeight="1" x14ac:dyDescent="0.25">
      <c r="A5" s="218" t="s">
        <v>52</v>
      </c>
      <c r="B5" s="217" t="s">
        <v>53</v>
      </c>
      <c r="C5" s="217" t="s">
        <v>58</v>
      </c>
      <c r="D5" s="219" t="s">
        <v>59</v>
      </c>
      <c r="E5" s="220">
        <v>11</v>
      </c>
      <c r="F5" s="265"/>
      <c r="G5" s="265">
        <v>1220</v>
      </c>
      <c r="H5" s="265">
        <v>1220</v>
      </c>
      <c r="I5" s="265">
        <v>1220</v>
      </c>
      <c r="J5" s="265">
        <v>1220</v>
      </c>
      <c r="K5" s="265">
        <v>1220</v>
      </c>
      <c r="L5" s="265">
        <v>1220</v>
      </c>
      <c r="M5" s="265">
        <v>1220</v>
      </c>
      <c r="N5" s="265">
        <v>1220</v>
      </c>
      <c r="O5" s="265">
        <v>1220</v>
      </c>
      <c r="P5" s="265">
        <v>1220</v>
      </c>
      <c r="Q5" s="266">
        <v>1220</v>
      </c>
    </row>
    <row r="6" spans="1:18" ht="30" customHeight="1" x14ac:dyDescent="0.25">
      <c r="A6" s="218" t="s">
        <v>52</v>
      </c>
      <c r="B6" s="217" t="s">
        <v>61</v>
      </c>
      <c r="C6" s="217" t="s">
        <v>62</v>
      </c>
      <c r="D6" s="221">
        <v>120106758617</v>
      </c>
      <c r="E6" s="220">
        <v>11</v>
      </c>
      <c r="F6" s="265"/>
      <c r="G6" s="265">
        <v>540</v>
      </c>
      <c r="H6" s="265">
        <v>540</v>
      </c>
      <c r="I6" s="265">
        <v>540</v>
      </c>
      <c r="J6" s="265">
        <v>540</v>
      </c>
      <c r="K6" s="265">
        <v>540</v>
      </c>
      <c r="L6" s="265">
        <v>540</v>
      </c>
      <c r="M6" s="265">
        <v>540</v>
      </c>
      <c r="N6" s="265">
        <v>540</v>
      </c>
      <c r="O6" s="265">
        <v>540</v>
      </c>
      <c r="P6" s="265">
        <v>540</v>
      </c>
      <c r="Q6" s="266">
        <v>540</v>
      </c>
    </row>
    <row r="7" spans="1:18" ht="30" customHeight="1" x14ac:dyDescent="0.25">
      <c r="A7" s="218" t="s">
        <v>52</v>
      </c>
      <c r="B7" s="217" t="s">
        <v>61</v>
      </c>
      <c r="C7" s="217" t="s">
        <v>63</v>
      </c>
      <c r="D7" s="221">
        <v>110109729043</v>
      </c>
      <c r="E7" s="220">
        <v>11</v>
      </c>
      <c r="F7" s="265"/>
      <c r="G7" s="265">
        <v>3700</v>
      </c>
      <c r="H7" s="265">
        <v>3700</v>
      </c>
      <c r="I7" s="265">
        <v>3700</v>
      </c>
      <c r="J7" s="265">
        <v>3700</v>
      </c>
      <c r="K7" s="265">
        <v>3700</v>
      </c>
      <c r="L7" s="265">
        <v>3700</v>
      </c>
      <c r="M7" s="265">
        <v>3700</v>
      </c>
      <c r="N7" s="265">
        <v>3700</v>
      </c>
      <c r="O7" s="265">
        <v>3700</v>
      </c>
      <c r="P7" s="265">
        <v>3700</v>
      </c>
      <c r="Q7" s="266">
        <v>3700</v>
      </c>
    </row>
    <row r="8" spans="1:18" ht="30" customHeight="1" x14ac:dyDescent="0.25">
      <c r="A8" s="218" t="s">
        <v>52</v>
      </c>
      <c r="B8" s="217" t="s">
        <v>61</v>
      </c>
      <c r="C8" s="217" t="s">
        <v>65</v>
      </c>
      <c r="D8" s="221">
        <v>120106758625</v>
      </c>
      <c r="E8" s="220">
        <v>11</v>
      </c>
      <c r="F8" s="265"/>
      <c r="G8" s="265">
        <v>950</v>
      </c>
      <c r="H8" s="265">
        <v>950</v>
      </c>
      <c r="I8" s="265">
        <v>950</v>
      </c>
      <c r="J8" s="265">
        <v>950</v>
      </c>
      <c r="K8" s="265">
        <v>950</v>
      </c>
      <c r="L8" s="265">
        <v>950</v>
      </c>
      <c r="M8" s="265">
        <v>950</v>
      </c>
      <c r="N8" s="265">
        <v>950</v>
      </c>
      <c r="O8" s="265">
        <v>950</v>
      </c>
      <c r="P8" s="265">
        <v>950</v>
      </c>
      <c r="Q8" s="266">
        <v>950</v>
      </c>
    </row>
    <row r="9" spans="1:18" ht="30" customHeight="1" x14ac:dyDescent="0.25">
      <c r="A9" s="218" t="s">
        <v>52</v>
      </c>
      <c r="B9" s="217" t="s">
        <v>61</v>
      </c>
      <c r="C9" s="217" t="s">
        <v>287</v>
      </c>
      <c r="D9" s="221">
        <v>110124049806</v>
      </c>
      <c r="E9" s="220">
        <v>11</v>
      </c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6"/>
    </row>
    <row r="10" spans="1:18" ht="30" customHeight="1" x14ac:dyDescent="0.25">
      <c r="A10" s="222" t="s">
        <v>56</v>
      </c>
      <c r="B10" s="223" t="s">
        <v>53</v>
      </c>
      <c r="C10" s="223" t="s">
        <v>54</v>
      </c>
      <c r="D10" s="224" t="s">
        <v>57</v>
      </c>
      <c r="E10" s="225">
        <v>12</v>
      </c>
      <c r="F10" s="267">
        <f>601+637</f>
        <v>1238</v>
      </c>
      <c r="G10" s="267">
        <v>1238</v>
      </c>
      <c r="H10" s="267">
        <v>1238</v>
      </c>
      <c r="I10" s="267">
        <v>1238</v>
      </c>
      <c r="J10" s="267">
        <v>1238</v>
      </c>
      <c r="K10" s="267">
        <v>1238</v>
      </c>
      <c r="L10" s="267">
        <v>1238</v>
      </c>
      <c r="M10" s="267">
        <v>1238</v>
      </c>
      <c r="N10" s="267">
        <v>1238</v>
      </c>
      <c r="O10" s="267">
        <v>1238</v>
      </c>
      <c r="P10" s="267">
        <v>1238</v>
      </c>
      <c r="Q10" s="268">
        <v>1238</v>
      </c>
    </row>
    <row r="11" spans="1:18" ht="30" customHeight="1" x14ac:dyDescent="0.25">
      <c r="A11" s="222" t="s">
        <v>56</v>
      </c>
      <c r="B11" s="223" t="s">
        <v>53</v>
      </c>
      <c r="C11" s="223" t="s">
        <v>58</v>
      </c>
      <c r="D11" s="224" t="s">
        <v>60</v>
      </c>
      <c r="E11" s="225">
        <v>12</v>
      </c>
      <c r="F11" s="267">
        <f>1075+1139</f>
        <v>2214</v>
      </c>
      <c r="G11" s="267">
        <v>2214</v>
      </c>
      <c r="H11" s="267">
        <v>2214</v>
      </c>
      <c r="I11" s="267">
        <v>2214</v>
      </c>
      <c r="J11" s="267">
        <v>2214</v>
      </c>
      <c r="K11" s="267">
        <v>2214</v>
      </c>
      <c r="L11" s="267">
        <v>2214</v>
      </c>
      <c r="M11" s="267">
        <v>2214</v>
      </c>
      <c r="N11" s="267">
        <v>2214</v>
      </c>
      <c r="O11" s="267">
        <v>2214</v>
      </c>
      <c r="P11" s="267">
        <v>2214</v>
      </c>
      <c r="Q11" s="268">
        <v>2214</v>
      </c>
    </row>
    <row r="12" spans="1:18" ht="30" customHeight="1" x14ac:dyDescent="0.25">
      <c r="A12" s="222" t="s">
        <v>56</v>
      </c>
      <c r="B12" s="223" t="s">
        <v>61</v>
      </c>
      <c r="C12" s="223" t="s">
        <v>64</v>
      </c>
      <c r="D12" s="274" t="s">
        <v>366</v>
      </c>
      <c r="E12" s="225">
        <v>12</v>
      </c>
      <c r="F12" s="267">
        <f>2879+661</f>
        <v>3540</v>
      </c>
      <c r="G12" s="267">
        <v>3540</v>
      </c>
      <c r="H12" s="267">
        <v>3540</v>
      </c>
      <c r="I12" s="267">
        <v>3540</v>
      </c>
      <c r="J12" s="267">
        <v>3540</v>
      </c>
      <c r="K12" s="267">
        <v>3540</v>
      </c>
      <c r="L12" s="267">
        <v>3540</v>
      </c>
      <c r="M12" s="267">
        <v>3540</v>
      </c>
      <c r="N12" s="267">
        <v>3540</v>
      </c>
      <c r="O12" s="267">
        <v>3540</v>
      </c>
      <c r="P12" s="267">
        <v>3540</v>
      </c>
      <c r="Q12" s="268">
        <v>3540</v>
      </c>
      <c r="R12" s="276"/>
    </row>
    <row r="13" spans="1:18" ht="30" customHeight="1" x14ac:dyDescent="0.25">
      <c r="A13" s="222" t="s">
        <v>56</v>
      </c>
      <c r="B13" s="223" t="s">
        <v>61</v>
      </c>
      <c r="C13" s="223" t="s">
        <v>287</v>
      </c>
      <c r="D13" s="275" t="s">
        <v>367</v>
      </c>
      <c r="E13" s="225">
        <v>12</v>
      </c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8"/>
    </row>
    <row r="14" spans="1:18" ht="30" customHeight="1" x14ac:dyDescent="0.25">
      <c r="A14" s="226" t="s">
        <v>66</v>
      </c>
      <c r="B14" s="227" t="s">
        <v>61</v>
      </c>
      <c r="C14" s="227" t="s">
        <v>65</v>
      </c>
      <c r="D14" s="228" t="s">
        <v>67</v>
      </c>
      <c r="E14" s="229">
        <v>1</v>
      </c>
      <c r="F14" s="269"/>
      <c r="G14" s="269">
        <v>15449.4</v>
      </c>
      <c r="H14" s="269"/>
      <c r="I14" s="269"/>
      <c r="J14" s="269"/>
      <c r="K14" s="269"/>
      <c r="L14" s="269"/>
      <c r="M14" s="269"/>
      <c r="N14" s="269"/>
      <c r="O14" s="269"/>
      <c r="P14" s="269"/>
      <c r="Q14" s="270"/>
    </row>
    <row r="15" spans="1:18" ht="30" customHeight="1" x14ac:dyDescent="0.25">
      <c r="A15" s="226" t="s">
        <v>66</v>
      </c>
      <c r="B15" s="227" t="s">
        <v>61</v>
      </c>
      <c r="C15" s="227" t="s">
        <v>62</v>
      </c>
      <c r="D15" s="228" t="s">
        <v>68</v>
      </c>
      <c r="E15" s="229">
        <v>1</v>
      </c>
      <c r="F15" s="269"/>
      <c r="G15" s="269">
        <v>15449.4</v>
      </c>
      <c r="H15" s="269"/>
      <c r="I15" s="269"/>
      <c r="J15" s="269"/>
      <c r="K15" s="269"/>
      <c r="L15" s="269"/>
      <c r="M15" s="269"/>
      <c r="N15" s="269"/>
      <c r="O15" s="269"/>
      <c r="P15" s="269"/>
      <c r="Q15" s="270"/>
    </row>
    <row r="16" spans="1:18" ht="30" customHeight="1" x14ac:dyDescent="0.25">
      <c r="A16" s="230" t="s">
        <v>69</v>
      </c>
      <c r="B16" s="231" t="s">
        <v>70</v>
      </c>
      <c r="C16" s="231" t="s">
        <v>71</v>
      </c>
      <c r="D16" s="232" t="s">
        <v>72</v>
      </c>
      <c r="E16" s="233">
        <v>6</v>
      </c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2"/>
    </row>
    <row r="17" spans="1:17" s="12" customFormat="1" ht="30" customHeight="1" x14ac:dyDescent="0.25">
      <c r="A17" s="234" t="s">
        <v>275</v>
      </c>
      <c r="B17" s="234"/>
      <c r="C17" s="234"/>
      <c r="D17" s="234"/>
      <c r="E17" s="234"/>
      <c r="F17" s="273">
        <f>SUBTOTAL(109,Impuestos[FEB])</f>
        <v>6992</v>
      </c>
      <c r="G17" s="273">
        <f>SUBTOTAL(109,Impuestos[MAR])</f>
        <v>44920.800000000003</v>
      </c>
      <c r="H17" s="273">
        <f>SUBTOTAL(109,Impuestos[ABR])</f>
        <v>14022</v>
      </c>
      <c r="I17" s="273">
        <f>SUBTOTAL(109,Impuestos[MAY])</f>
        <v>14022</v>
      </c>
      <c r="J17" s="273">
        <f>SUBTOTAL(109,Impuestos[JUN])</f>
        <v>14022</v>
      </c>
      <c r="K17" s="273">
        <f>SUBTOTAL(109,Impuestos[JUL])</f>
        <v>14022</v>
      </c>
      <c r="L17" s="273">
        <f>SUBTOTAL(109,Impuestos[AGO])</f>
        <v>14022</v>
      </c>
      <c r="M17" s="273">
        <f>SUBTOTAL(109,Impuestos[SEP])</f>
        <v>14022</v>
      </c>
      <c r="N17" s="273">
        <f>SUBTOTAL(109,Impuestos[OCT])</f>
        <v>14022</v>
      </c>
      <c r="O17" s="273">
        <f>SUBTOTAL(109,Impuestos[NOV])</f>
        <v>14022</v>
      </c>
      <c r="P17" s="273">
        <f>SUBTOTAL(109,Impuestos[DIC])</f>
        <v>14022</v>
      </c>
      <c r="Q17" s="273">
        <f>SUBTOTAL(109,Impuestos[ENE])</f>
        <v>14022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honeticPr fontId="43" type="noConversion"/>
  <pageMargins left="0.75" right="0.75" top="1" bottom="1" header="0.5" footer="0.5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>
    <tabColor rgb="FFFFFF00"/>
  </sheetPr>
  <dimension ref="A1:Q33"/>
  <sheetViews>
    <sheetView zoomScale="60" zoomScaleNormal="60" workbookViewId="0">
      <selection activeCell="H17" sqref="H17"/>
    </sheetView>
  </sheetViews>
  <sheetFormatPr baseColWidth="10" defaultColWidth="8" defaultRowHeight="15" x14ac:dyDescent="0.25"/>
  <cols>
    <col min="1" max="1" width="20.625" style="9" customWidth="1"/>
    <col min="2" max="2" width="14.625" style="9" customWidth="1"/>
    <col min="3" max="3" width="40.625" style="9" customWidth="1"/>
    <col min="4" max="4" width="20.625" style="11" customWidth="1"/>
    <col min="5" max="5" width="6.875" style="12" customWidth="1"/>
    <col min="6" max="17" width="10.5" style="6" customWidth="1"/>
    <col min="18" max="16384" width="8" style="6"/>
  </cols>
  <sheetData>
    <row r="1" spans="1:17" ht="39.950000000000003" customHeight="1" x14ac:dyDescent="0.3">
      <c r="A1" s="295" t="s">
        <v>323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</row>
    <row r="2" spans="1:17" ht="39.950000000000003" customHeight="1" x14ac:dyDescent="0.25">
      <c r="A2" s="235"/>
      <c r="B2" s="235"/>
      <c r="C2" s="235"/>
      <c r="D2" s="236"/>
      <c r="E2" s="237"/>
      <c r="F2" s="237" t="s">
        <v>23</v>
      </c>
      <c r="G2" s="237" t="s">
        <v>24</v>
      </c>
      <c r="H2" s="237" t="s">
        <v>25</v>
      </c>
      <c r="I2" s="237" t="s">
        <v>26</v>
      </c>
      <c r="J2" s="237" t="s">
        <v>27</v>
      </c>
      <c r="K2" s="237" t="s">
        <v>28</v>
      </c>
      <c r="L2" s="237" t="s">
        <v>29</v>
      </c>
      <c r="M2" s="237" t="s">
        <v>30</v>
      </c>
      <c r="N2" s="237" t="s">
        <v>31</v>
      </c>
      <c r="O2" s="237" t="s">
        <v>32</v>
      </c>
      <c r="P2" s="237" t="s">
        <v>33</v>
      </c>
      <c r="Q2" s="237" t="s">
        <v>34</v>
      </c>
    </row>
    <row r="3" spans="1:17" ht="39.950000000000003" customHeight="1" x14ac:dyDescent="0.25">
      <c r="A3" s="238" t="s">
        <v>35</v>
      </c>
      <c r="B3" s="239" t="s">
        <v>36</v>
      </c>
      <c r="C3" s="239" t="s">
        <v>37</v>
      </c>
      <c r="D3" s="240" t="s">
        <v>38</v>
      </c>
      <c r="E3" s="241" t="s">
        <v>39</v>
      </c>
      <c r="F3" s="241" t="s">
        <v>40</v>
      </c>
      <c r="G3" s="241" t="s">
        <v>41</v>
      </c>
      <c r="H3" s="241" t="s">
        <v>42</v>
      </c>
      <c r="I3" s="241" t="s">
        <v>43</v>
      </c>
      <c r="J3" s="241" t="s">
        <v>44</v>
      </c>
      <c r="K3" s="241" t="s">
        <v>45</v>
      </c>
      <c r="L3" s="241" t="s">
        <v>46</v>
      </c>
      <c r="M3" s="241" t="s">
        <v>47</v>
      </c>
      <c r="N3" s="241" t="s">
        <v>48</v>
      </c>
      <c r="O3" s="241" t="s">
        <v>49</v>
      </c>
      <c r="P3" s="241" t="s">
        <v>50</v>
      </c>
      <c r="Q3" s="242" t="s">
        <v>51</v>
      </c>
    </row>
    <row r="4" spans="1:17" ht="30" customHeight="1" x14ac:dyDescent="0.25">
      <c r="A4" s="218" t="s">
        <v>52</v>
      </c>
      <c r="B4" s="217" t="s">
        <v>53</v>
      </c>
      <c r="C4" s="217" t="s">
        <v>54</v>
      </c>
      <c r="D4" s="219" t="s">
        <v>55</v>
      </c>
      <c r="E4" s="220">
        <v>11</v>
      </c>
      <c r="F4" s="265"/>
      <c r="G4" s="265">
        <v>880</v>
      </c>
      <c r="H4" s="265">
        <v>880</v>
      </c>
      <c r="I4" s="265"/>
      <c r="J4" s="265"/>
      <c r="K4" s="265"/>
      <c r="L4" s="265"/>
      <c r="M4" s="265"/>
      <c r="N4" s="265"/>
      <c r="O4" s="265"/>
      <c r="P4" s="265"/>
      <c r="Q4" s="266"/>
    </row>
    <row r="5" spans="1:17" ht="30" customHeight="1" x14ac:dyDescent="0.25">
      <c r="A5" s="218" t="s">
        <v>52</v>
      </c>
      <c r="B5" s="217" t="s">
        <v>53</v>
      </c>
      <c r="C5" s="217" t="s">
        <v>58</v>
      </c>
      <c r="D5" s="219" t="s">
        <v>59</v>
      </c>
      <c r="E5" s="220">
        <v>11</v>
      </c>
      <c r="F5" s="265"/>
      <c r="G5" s="265">
        <v>1670</v>
      </c>
      <c r="H5" s="265">
        <v>1670</v>
      </c>
      <c r="I5" s="265"/>
      <c r="J5" s="265"/>
      <c r="K5" s="265"/>
      <c r="L5" s="265"/>
      <c r="M5" s="265"/>
      <c r="N5" s="265"/>
      <c r="O5" s="265"/>
      <c r="P5" s="265"/>
      <c r="Q5" s="266"/>
    </row>
    <row r="6" spans="1:17" ht="30" customHeight="1" x14ac:dyDescent="0.25">
      <c r="A6" s="218" t="s">
        <v>52</v>
      </c>
      <c r="B6" s="217" t="s">
        <v>61</v>
      </c>
      <c r="C6" s="217" t="s">
        <v>62</v>
      </c>
      <c r="D6" s="221">
        <v>120106758617</v>
      </c>
      <c r="E6" s="220">
        <v>11</v>
      </c>
      <c r="F6" s="265"/>
      <c r="G6" s="265">
        <v>890</v>
      </c>
      <c r="H6" s="265">
        <v>890</v>
      </c>
      <c r="I6" s="265"/>
      <c r="J6" s="265"/>
      <c r="K6" s="265"/>
      <c r="L6" s="265"/>
      <c r="M6" s="265"/>
      <c r="N6" s="265"/>
      <c r="O6" s="265"/>
      <c r="P6" s="265"/>
      <c r="Q6" s="266"/>
    </row>
    <row r="7" spans="1:17" ht="30" customHeight="1" x14ac:dyDescent="0.25">
      <c r="A7" s="218" t="s">
        <v>52</v>
      </c>
      <c r="B7" s="217" t="s">
        <v>61</v>
      </c>
      <c r="C7" s="217" t="s">
        <v>63</v>
      </c>
      <c r="D7" s="221">
        <v>110109729043</v>
      </c>
      <c r="E7" s="220">
        <v>11</v>
      </c>
      <c r="F7" s="265"/>
      <c r="G7" s="265">
        <v>5490</v>
      </c>
      <c r="H7" s="265">
        <v>5490</v>
      </c>
      <c r="I7" s="265"/>
      <c r="J7" s="265"/>
      <c r="K7" s="265"/>
      <c r="L7" s="265"/>
      <c r="M7" s="265"/>
      <c r="N7" s="265"/>
      <c r="O7" s="265"/>
      <c r="P7" s="265"/>
      <c r="Q7" s="266"/>
    </row>
    <row r="8" spans="1:17" ht="30" customHeight="1" x14ac:dyDescent="0.25">
      <c r="A8" s="218" t="s">
        <v>140</v>
      </c>
      <c r="B8" s="217" t="s">
        <v>61</v>
      </c>
      <c r="C8" s="217" t="s">
        <v>65</v>
      </c>
      <c r="D8" s="221">
        <v>120106758625</v>
      </c>
      <c r="E8" s="220">
        <v>11</v>
      </c>
      <c r="F8" s="265"/>
      <c r="G8" s="265">
        <v>1360</v>
      </c>
      <c r="H8" s="265">
        <v>1360</v>
      </c>
      <c r="I8" s="265"/>
      <c r="J8" s="265"/>
      <c r="K8" s="265"/>
      <c r="L8" s="265"/>
      <c r="M8" s="265"/>
      <c r="N8" s="265"/>
      <c r="O8" s="265"/>
      <c r="P8" s="265"/>
      <c r="Q8" s="266"/>
    </row>
    <row r="9" spans="1:17" ht="30" customHeight="1" x14ac:dyDescent="0.25">
      <c r="A9" s="218" t="s">
        <v>52</v>
      </c>
      <c r="B9" s="217" t="s">
        <v>61</v>
      </c>
      <c r="C9" s="217" t="s">
        <v>287</v>
      </c>
      <c r="D9" s="221">
        <v>110124049806</v>
      </c>
      <c r="E9" s="220">
        <v>11</v>
      </c>
      <c r="F9" s="265">
        <v>4028.92</v>
      </c>
      <c r="G9" s="265"/>
      <c r="H9" s="265">
        <v>2470</v>
      </c>
      <c r="I9" s="265"/>
      <c r="J9" s="265"/>
      <c r="K9" s="265"/>
      <c r="L9" s="265"/>
      <c r="M9" s="265"/>
      <c r="N9" s="265"/>
      <c r="O9" s="265"/>
      <c r="P9" s="265"/>
      <c r="Q9" s="266"/>
    </row>
    <row r="10" spans="1:17" ht="30" customHeight="1" x14ac:dyDescent="0.25">
      <c r="A10" s="222" t="s">
        <v>56</v>
      </c>
      <c r="B10" s="223" t="s">
        <v>53</v>
      </c>
      <c r="C10" s="223" t="s">
        <v>54</v>
      </c>
      <c r="D10" s="224" t="s">
        <v>57</v>
      </c>
      <c r="E10" s="225">
        <v>12</v>
      </c>
      <c r="F10" s="267">
        <v>1715</v>
      </c>
      <c r="G10" s="267">
        <v>1715</v>
      </c>
      <c r="H10" s="267">
        <v>1715</v>
      </c>
      <c r="I10" s="267"/>
      <c r="J10" s="267"/>
      <c r="K10" s="267"/>
      <c r="L10" s="267"/>
      <c r="M10" s="267"/>
      <c r="N10" s="267"/>
      <c r="O10" s="267"/>
      <c r="P10" s="267"/>
      <c r="Q10" s="268"/>
    </row>
    <row r="11" spans="1:17" ht="30" customHeight="1" x14ac:dyDescent="0.25">
      <c r="A11" s="222" t="s">
        <v>56</v>
      </c>
      <c r="B11" s="223" t="s">
        <v>53</v>
      </c>
      <c r="C11" s="223" t="s">
        <v>58</v>
      </c>
      <c r="D11" s="224" t="s">
        <v>60</v>
      </c>
      <c r="E11" s="225">
        <v>12</v>
      </c>
      <c r="F11" s="267">
        <v>3067</v>
      </c>
      <c r="G11" s="267">
        <v>3067</v>
      </c>
      <c r="H11" s="267">
        <v>3067</v>
      </c>
      <c r="I11" s="267"/>
      <c r="J11" s="267"/>
      <c r="K11" s="267"/>
      <c r="L11" s="267"/>
      <c r="M11" s="267"/>
      <c r="N11" s="267"/>
      <c r="O11" s="267"/>
      <c r="P11" s="267"/>
      <c r="Q11" s="268"/>
    </row>
    <row r="12" spans="1:17" ht="30" customHeight="1" x14ac:dyDescent="0.25">
      <c r="A12" s="222" t="s">
        <v>56</v>
      </c>
      <c r="B12" s="223" t="s">
        <v>61</v>
      </c>
      <c r="C12" s="223" t="s">
        <v>64</v>
      </c>
      <c r="D12" s="274" t="s">
        <v>366</v>
      </c>
      <c r="E12" s="225">
        <v>12</v>
      </c>
      <c r="F12" s="267">
        <v>5487</v>
      </c>
      <c r="G12" s="267">
        <v>5487</v>
      </c>
      <c r="H12" s="267">
        <v>5487</v>
      </c>
      <c r="I12" s="267"/>
      <c r="J12" s="267"/>
      <c r="K12" s="267"/>
      <c r="L12" s="267"/>
      <c r="M12" s="267"/>
      <c r="N12" s="267"/>
      <c r="O12" s="267"/>
      <c r="P12" s="267"/>
      <c r="Q12" s="268"/>
    </row>
    <row r="13" spans="1:17" ht="30" customHeight="1" x14ac:dyDescent="0.25">
      <c r="A13" s="222" t="s">
        <v>56</v>
      </c>
      <c r="B13" s="223" t="s">
        <v>61</v>
      </c>
      <c r="C13" s="223" t="s">
        <v>287</v>
      </c>
      <c r="D13" s="275" t="s">
        <v>367</v>
      </c>
      <c r="E13" s="225">
        <v>1</v>
      </c>
      <c r="F13" s="267">
        <v>16281.6</v>
      </c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8"/>
    </row>
    <row r="14" spans="1:17" ht="30" customHeight="1" x14ac:dyDescent="0.25">
      <c r="A14" s="226" t="s">
        <v>66</v>
      </c>
      <c r="B14" s="227" t="s">
        <v>61</v>
      </c>
      <c r="C14" s="227" t="s">
        <v>65</v>
      </c>
      <c r="D14" s="228" t="s">
        <v>67</v>
      </c>
      <c r="E14" s="229">
        <v>1</v>
      </c>
      <c r="F14" s="269"/>
      <c r="G14" s="269"/>
      <c r="H14" s="269"/>
      <c r="I14" s="269">
        <v>26653.200000000001</v>
      </c>
      <c r="J14" s="269"/>
      <c r="K14" s="269"/>
      <c r="L14" s="269"/>
      <c r="M14" s="269"/>
      <c r="N14" s="269"/>
      <c r="O14" s="269"/>
      <c r="P14" s="269"/>
      <c r="Q14" s="270"/>
    </row>
    <row r="15" spans="1:17" ht="30" customHeight="1" x14ac:dyDescent="0.25">
      <c r="A15" s="226" t="s">
        <v>66</v>
      </c>
      <c r="B15" s="227" t="s">
        <v>61</v>
      </c>
      <c r="C15" s="227" t="s">
        <v>62</v>
      </c>
      <c r="D15" s="228" t="s">
        <v>68</v>
      </c>
      <c r="E15" s="229">
        <v>1</v>
      </c>
      <c r="F15" s="269"/>
      <c r="G15" s="269"/>
      <c r="H15" s="269"/>
      <c r="I15" s="269">
        <v>26653.200000000001</v>
      </c>
      <c r="J15" s="269"/>
      <c r="K15" s="269"/>
      <c r="L15" s="269"/>
      <c r="M15" s="269"/>
      <c r="N15" s="269"/>
      <c r="O15" s="269"/>
      <c r="P15" s="269"/>
      <c r="Q15" s="270"/>
    </row>
    <row r="16" spans="1:17" ht="30" customHeight="1" x14ac:dyDescent="0.25">
      <c r="A16" s="230" t="s">
        <v>69</v>
      </c>
      <c r="B16" s="231" t="s">
        <v>70</v>
      </c>
      <c r="C16" s="231" t="s">
        <v>71</v>
      </c>
      <c r="D16" s="232" t="s">
        <v>72</v>
      </c>
      <c r="E16" s="233">
        <v>6</v>
      </c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2"/>
    </row>
    <row r="17" spans="1:17" s="12" customFormat="1" ht="30" customHeight="1" x14ac:dyDescent="0.25">
      <c r="A17" s="234" t="s">
        <v>275</v>
      </c>
      <c r="B17" s="234"/>
      <c r="C17" s="234"/>
      <c r="D17" s="234"/>
      <c r="E17" s="234"/>
      <c r="F17" s="273">
        <f>SUBTOTAL(109,Impuestos6[FEB])</f>
        <v>30579.52</v>
      </c>
      <c r="G17" s="273">
        <f>SUBTOTAL(109,Impuestos6[MAR])</f>
        <v>20559</v>
      </c>
      <c r="H17" s="273">
        <f>SUBTOTAL(109,Impuestos6[ABR])</f>
        <v>23029</v>
      </c>
      <c r="I17" s="273">
        <f>SUBTOTAL(109,Impuestos6[MAY])</f>
        <v>53306.400000000001</v>
      </c>
      <c r="J17" s="273">
        <f>SUBTOTAL(109,Impuestos6[JUN])</f>
        <v>0</v>
      </c>
      <c r="K17" s="273">
        <f>SUBTOTAL(109,Impuestos6[JUL])</f>
        <v>0</v>
      </c>
      <c r="L17" s="273">
        <f>SUBTOTAL(109,Impuestos6[AGO])</f>
        <v>0</v>
      </c>
      <c r="M17" s="273">
        <f>SUBTOTAL(109,Impuestos6[SEP])</f>
        <v>0</v>
      </c>
      <c r="N17" s="273">
        <f>SUBTOTAL(109,Impuestos6[OCT])</f>
        <v>0</v>
      </c>
      <c r="O17" s="273">
        <f>SUBTOTAL(109,Impuestos6[NOV])</f>
        <v>0</v>
      </c>
      <c r="P17" s="273">
        <f>SUBTOTAL(109,Impuestos6[DIC])</f>
        <v>0</v>
      </c>
      <c r="Q17" s="273">
        <f>SUBTOTAL(109,Impuestos6[ENE])</f>
        <v>0</v>
      </c>
    </row>
    <row r="18" spans="1:17" ht="30" customHeight="1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ht="30" customHeight="1" x14ac:dyDescent="0.25"/>
    <row r="20" spans="1:17" ht="30" customHeight="1" x14ac:dyDescent="0.25"/>
    <row r="21" spans="1:17" ht="30" customHeight="1" x14ac:dyDescent="0.25"/>
    <row r="22" spans="1:17" ht="30" customHeight="1" x14ac:dyDescent="0.25"/>
    <row r="23" spans="1:17" ht="30" customHeight="1" x14ac:dyDescent="0.25"/>
    <row r="24" spans="1:17" ht="30" customHeight="1" x14ac:dyDescent="0.25"/>
    <row r="25" spans="1:17" ht="30" customHeight="1" x14ac:dyDescent="0.25"/>
    <row r="26" spans="1:17" ht="30" customHeight="1" x14ac:dyDescent="0.25"/>
    <row r="27" spans="1:17" ht="30" customHeight="1" x14ac:dyDescent="0.25"/>
    <row r="28" spans="1:17" ht="30" customHeight="1" x14ac:dyDescent="0.25"/>
    <row r="29" spans="1:17" ht="30" customHeight="1" x14ac:dyDescent="0.25"/>
    <row r="30" spans="1:17" ht="30" customHeight="1" x14ac:dyDescent="0.25"/>
    <row r="31" spans="1:17" ht="30" customHeight="1" x14ac:dyDescent="0.25"/>
    <row r="32" spans="1:17" ht="30" customHeight="1" x14ac:dyDescent="0.25"/>
    <row r="33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rgb="FFFFC000"/>
  </sheetPr>
  <dimension ref="A1:N11"/>
  <sheetViews>
    <sheetView zoomScale="90" zoomScaleNormal="90" workbookViewId="0">
      <selection activeCell="B3" sqref="B3:N7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97" t="s">
        <v>319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9"/>
    </row>
    <row r="2" spans="1:14" ht="39.950000000000003" customHeight="1" thickBot="1" x14ac:dyDescent="0.3">
      <c r="A2" s="13" t="s">
        <v>73</v>
      </c>
      <c r="B2" s="14" t="s">
        <v>74</v>
      </c>
      <c r="C2" s="14" t="s">
        <v>75</v>
      </c>
      <c r="D2" s="14" t="s">
        <v>76</v>
      </c>
      <c r="E2" s="14" t="s">
        <v>77</v>
      </c>
      <c r="F2" s="14" t="s">
        <v>78</v>
      </c>
      <c r="G2" s="14" t="s">
        <v>79</v>
      </c>
      <c r="H2" s="14" t="s">
        <v>80</v>
      </c>
      <c r="I2" s="14" t="s">
        <v>81</v>
      </c>
      <c r="J2" s="14" t="s">
        <v>82</v>
      </c>
      <c r="K2" s="14" t="s">
        <v>83</v>
      </c>
      <c r="L2" s="14" t="s">
        <v>84</v>
      </c>
      <c r="M2" s="14" t="s">
        <v>85</v>
      </c>
      <c r="N2" s="15" t="s">
        <v>86</v>
      </c>
    </row>
    <row r="3" spans="1:14" ht="30" customHeight="1" x14ac:dyDescent="0.25">
      <c r="A3" s="16" t="s">
        <v>87</v>
      </c>
      <c r="B3" s="245">
        <v>-176103.37</v>
      </c>
      <c r="C3" s="245">
        <v>-316711.23</v>
      </c>
      <c r="D3" s="245">
        <v>-253091.72999999998</v>
      </c>
      <c r="E3" s="245">
        <v>-350438.82</v>
      </c>
      <c r="F3" s="245"/>
      <c r="G3" s="245"/>
      <c r="H3" s="245"/>
      <c r="I3" s="245"/>
      <c r="J3" s="245"/>
      <c r="K3" s="245"/>
      <c r="L3" s="245"/>
      <c r="M3" s="245"/>
      <c r="N3" s="246">
        <v>-1096345.1499999999</v>
      </c>
    </row>
    <row r="4" spans="1:14" ht="30" customHeight="1" x14ac:dyDescent="0.25">
      <c r="A4" s="17" t="s">
        <v>88</v>
      </c>
      <c r="B4" s="247">
        <v>-185253.1</v>
      </c>
      <c r="C4" s="247">
        <v>-224824.71</v>
      </c>
      <c r="D4" s="247">
        <v>-425357.27999999997</v>
      </c>
      <c r="E4" s="247">
        <v>-389652.96</v>
      </c>
      <c r="F4" s="247"/>
      <c r="G4" s="247"/>
      <c r="H4" s="247"/>
      <c r="I4" s="247"/>
      <c r="J4" s="247"/>
      <c r="K4" s="247"/>
      <c r="L4" s="247"/>
      <c r="M4" s="247"/>
      <c r="N4" s="248">
        <v>-1225088.05</v>
      </c>
    </row>
    <row r="5" spans="1:14" ht="30" customHeight="1" x14ac:dyDescent="0.25">
      <c r="A5" s="17" t="s">
        <v>89</v>
      </c>
      <c r="B5" s="247">
        <v>-13290</v>
      </c>
      <c r="C5" s="247">
        <v>-92590</v>
      </c>
      <c r="D5" s="247">
        <v>-67450</v>
      </c>
      <c r="E5" s="247">
        <v>-186430</v>
      </c>
      <c r="F5" s="247"/>
      <c r="G5" s="247"/>
      <c r="H5" s="247"/>
      <c r="I5" s="247"/>
      <c r="J5" s="247"/>
      <c r="K5" s="247"/>
      <c r="L5" s="247"/>
      <c r="M5" s="247"/>
      <c r="N5" s="248">
        <v>-359760</v>
      </c>
    </row>
    <row r="6" spans="1:14" ht="30" customHeight="1" thickBot="1" x14ac:dyDescent="0.3">
      <c r="A6" s="18" t="s">
        <v>90</v>
      </c>
      <c r="B6" s="249">
        <v>0</v>
      </c>
      <c r="C6" s="249">
        <v>0</v>
      </c>
      <c r="D6" s="249">
        <v>0</v>
      </c>
      <c r="E6" s="249">
        <v>0</v>
      </c>
      <c r="F6" s="249"/>
      <c r="G6" s="249"/>
      <c r="H6" s="249"/>
      <c r="I6" s="249"/>
      <c r="J6" s="249"/>
      <c r="K6" s="249"/>
      <c r="L6" s="249"/>
      <c r="M6" s="249"/>
      <c r="N6" s="250">
        <v>0</v>
      </c>
    </row>
    <row r="7" spans="1:14" ht="30" customHeight="1" x14ac:dyDescent="0.25">
      <c r="A7" s="108"/>
      <c r="B7" s="251">
        <f>SUBTOTAL(109,Gastos[31-Ene])</f>
        <v>-374646.47</v>
      </c>
      <c r="C7" s="251">
        <f>SUBTOTAL(109,Gastos[28-Feb])</f>
        <v>-634125.93999999994</v>
      </c>
      <c r="D7" s="251">
        <f>SUBTOTAL(109,Gastos[31-Mar])</f>
        <v>-745899.01</v>
      </c>
      <c r="E7" s="251">
        <f>SUBTOTAL(109,Gastos[30-Abr])</f>
        <v>-926521.78</v>
      </c>
      <c r="F7" s="251">
        <f>SUBTOTAL(109,Gastos[31-May])</f>
        <v>0</v>
      </c>
      <c r="G7" s="251">
        <f>SUBTOTAL(109,Gastos[30-Jun])</f>
        <v>0</v>
      </c>
      <c r="H7" s="251">
        <f>SUBTOTAL(109,Gastos[31-Jul])</f>
        <v>0</v>
      </c>
      <c r="I7" s="251">
        <f>SUBTOTAL(109,Gastos[31-Ago])</f>
        <v>0</v>
      </c>
      <c r="J7" s="251">
        <f>SUBTOTAL(109,Gastos[30-Sep])</f>
        <v>0</v>
      </c>
      <c r="K7" s="251">
        <f>SUBTOTAL(109,Gastos[31-Oct])</f>
        <v>0</v>
      </c>
      <c r="L7" s="251">
        <f>SUBTOTAL(109,Gastos[30-Nov])</f>
        <v>0</v>
      </c>
      <c r="M7" s="251">
        <f>SUBTOTAL(109,Gastos[31-Dic])</f>
        <v>0</v>
      </c>
      <c r="N7" s="252">
        <f>SUBTOTAL(109,Gastos[ANUAL])</f>
        <v>-2681193.2000000002</v>
      </c>
    </row>
    <row r="8" spans="1:14" ht="20.100000000000001" customHeight="1" x14ac:dyDescent="0.25">
      <c r="A8" s="19"/>
      <c r="B8" s="20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0"/>
    </row>
    <row r="9" spans="1:14" ht="20.100000000000001" customHeight="1" x14ac:dyDescent="0.25">
      <c r="A9" s="19"/>
      <c r="B9" s="20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0"/>
    </row>
    <row r="10" spans="1:14" ht="20.100000000000001" customHeight="1" x14ac:dyDescent="0.25">
      <c r="A10" s="19"/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0"/>
    </row>
    <row r="11" spans="1:14" ht="30.75" customHeight="1" x14ac:dyDescent="0.25">
      <c r="A11" s="22" t="s">
        <v>91</v>
      </c>
      <c r="B11" s="23"/>
      <c r="C11" s="23"/>
      <c r="D11" s="23">
        <f t="shared" ref="D11:M11" si="0">SUM(D3:D6)</f>
        <v>-745899.01</v>
      </c>
      <c r="E11" s="23">
        <f t="shared" si="0"/>
        <v>-926521.78</v>
      </c>
      <c r="F11" s="23">
        <f t="shared" si="0"/>
        <v>0</v>
      </c>
      <c r="G11" s="23">
        <f t="shared" si="0"/>
        <v>0</v>
      </c>
      <c r="H11" s="23">
        <f t="shared" si="0"/>
        <v>0</v>
      </c>
      <c r="I11" s="23">
        <f t="shared" si="0"/>
        <v>0</v>
      </c>
      <c r="J11" s="23">
        <f t="shared" si="0"/>
        <v>0</v>
      </c>
      <c r="K11" s="23">
        <f t="shared" si="0"/>
        <v>0</v>
      </c>
      <c r="L11" s="23">
        <f t="shared" si="0"/>
        <v>0</v>
      </c>
      <c r="M11" s="23">
        <f t="shared" si="0"/>
        <v>0</v>
      </c>
      <c r="N11" s="23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>
    <tabColor theme="3" tint="0.39997558519241921"/>
  </sheetPr>
  <dimension ref="A1:N14"/>
  <sheetViews>
    <sheetView zoomScale="90" zoomScaleNormal="90" workbookViewId="0">
      <selection activeCell="E9" sqref="E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300" t="s">
        <v>324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2"/>
    </row>
    <row r="2" spans="1:14" ht="39.950000000000003" customHeight="1" thickBot="1" x14ac:dyDescent="0.3">
      <c r="A2" s="24" t="s">
        <v>92</v>
      </c>
      <c r="B2" s="25" t="s">
        <v>74</v>
      </c>
      <c r="C2" s="25" t="s">
        <v>75</v>
      </c>
      <c r="D2" s="25" t="s">
        <v>76</v>
      </c>
      <c r="E2" s="25" t="s">
        <v>77</v>
      </c>
      <c r="F2" s="25" t="s">
        <v>78</v>
      </c>
      <c r="G2" s="25" t="s">
        <v>79</v>
      </c>
      <c r="H2" s="25" t="s">
        <v>80</v>
      </c>
      <c r="I2" s="25" t="s">
        <v>81</v>
      </c>
      <c r="J2" s="25" t="s">
        <v>82</v>
      </c>
      <c r="K2" s="25" t="s">
        <v>83</v>
      </c>
      <c r="L2" s="25" t="s">
        <v>84</v>
      </c>
      <c r="M2" s="25" t="s">
        <v>85</v>
      </c>
      <c r="N2" s="26" t="s">
        <v>86</v>
      </c>
    </row>
    <row r="3" spans="1:14" ht="30" customHeight="1" x14ac:dyDescent="0.25">
      <c r="A3" s="27" t="s">
        <v>93</v>
      </c>
      <c r="B3" s="253">
        <v>157806.07999999999</v>
      </c>
      <c r="C3" s="253">
        <v>458328.37</v>
      </c>
      <c r="D3" s="253">
        <v>1869454.55</v>
      </c>
      <c r="E3" s="253">
        <v>401702.75</v>
      </c>
      <c r="F3" s="253"/>
      <c r="G3" s="253"/>
      <c r="H3" s="253"/>
      <c r="I3" s="253"/>
      <c r="J3" s="253"/>
      <c r="K3" s="253"/>
      <c r="L3" s="253"/>
      <c r="M3" s="253"/>
      <c r="N3" s="254">
        <v>2887291.75</v>
      </c>
    </row>
    <row r="4" spans="1:14" ht="30" customHeight="1" x14ac:dyDescent="0.25">
      <c r="A4" s="28" t="s">
        <v>94</v>
      </c>
      <c r="B4" s="255">
        <v>197390.35000000003</v>
      </c>
      <c r="C4" s="255">
        <v>72846.19</v>
      </c>
      <c r="D4" s="255">
        <v>269884.07000000007</v>
      </c>
      <c r="E4" s="255">
        <v>73413.650000000081</v>
      </c>
      <c r="F4" s="255"/>
      <c r="G4" s="255"/>
      <c r="H4" s="255"/>
      <c r="I4" s="255"/>
      <c r="J4" s="255"/>
      <c r="K4" s="255"/>
      <c r="L4" s="255"/>
      <c r="M4" s="255"/>
      <c r="N4" s="256">
        <v>613534.26000000024</v>
      </c>
    </row>
    <row r="5" spans="1:14" ht="30" customHeight="1" x14ac:dyDescent="0.25">
      <c r="A5" s="29" t="s">
        <v>95</v>
      </c>
      <c r="B5" s="257">
        <v>355196.43</v>
      </c>
      <c r="C5" s="257">
        <v>531174.56000000006</v>
      </c>
      <c r="D5" s="257">
        <v>2139338.62</v>
      </c>
      <c r="E5" s="257">
        <v>475116.40000000008</v>
      </c>
      <c r="F5" s="257"/>
      <c r="G5" s="257"/>
      <c r="H5" s="257"/>
      <c r="I5" s="257"/>
      <c r="J5" s="257"/>
      <c r="K5" s="258"/>
      <c r="L5" s="257"/>
      <c r="M5" s="257"/>
      <c r="N5" s="259">
        <v>3500826.0100000002</v>
      </c>
    </row>
    <row r="6" spans="1:14" ht="30" customHeight="1" x14ac:dyDescent="0.25">
      <c r="A6" s="30" t="s">
        <v>96</v>
      </c>
      <c r="B6" s="260">
        <v>-374646.47</v>
      </c>
      <c r="C6" s="260">
        <v>-634125.93999999994</v>
      </c>
      <c r="D6" s="260">
        <v>-745899.01</v>
      </c>
      <c r="E6" s="260">
        <v>-926521.78</v>
      </c>
      <c r="F6" s="260"/>
      <c r="G6" s="260"/>
      <c r="H6" s="260"/>
      <c r="I6" s="260"/>
      <c r="J6" s="260"/>
      <c r="K6" s="260"/>
      <c r="L6" s="260"/>
      <c r="M6" s="260"/>
      <c r="N6" s="261">
        <v>-2681193.2000000002</v>
      </c>
    </row>
    <row r="7" spans="1:14" ht="30" customHeight="1" x14ac:dyDescent="0.25">
      <c r="A7" s="30" t="s">
        <v>97</v>
      </c>
      <c r="B7" s="260">
        <v>-14022</v>
      </c>
      <c r="C7" s="260">
        <v>-30579.52</v>
      </c>
      <c r="D7" s="260">
        <v>-20559</v>
      </c>
      <c r="E7" s="260">
        <v>-23029</v>
      </c>
      <c r="F7" s="260"/>
      <c r="G7" s="260"/>
      <c r="H7" s="260"/>
      <c r="I7" s="260"/>
      <c r="J7" s="260"/>
      <c r="K7" s="260"/>
      <c r="L7" s="260"/>
      <c r="M7" s="260"/>
      <c r="N7" s="261">
        <v>-88189.52</v>
      </c>
    </row>
    <row r="8" spans="1:14" ht="30" customHeight="1" x14ac:dyDescent="0.25">
      <c r="A8" s="31" t="s">
        <v>98</v>
      </c>
      <c r="B8" s="262">
        <v>-388668.47</v>
      </c>
      <c r="C8" s="262">
        <v>-664705.46</v>
      </c>
      <c r="D8" s="262">
        <v>-766458.01</v>
      </c>
      <c r="E8" s="262">
        <v>-949550.78</v>
      </c>
      <c r="F8" s="262"/>
      <c r="G8" s="262"/>
      <c r="H8" s="262"/>
      <c r="I8" s="262"/>
      <c r="J8" s="262"/>
      <c r="K8" s="262"/>
      <c r="L8" s="262"/>
      <c r="M8" s="262"/>
      <c r="N8" s="263">
        <v>-2769382.7199999997</v>
      </c>
    </row>
    <row r="9" spans="1:14" ht="30" customHeight="1" x14ac:dyDescent="0.25">
      <c r="A9" s="32" t="s">
        <v>99</v>
      </c>
      <c r="B9" s="264">
        <v>-33472.039999999979</v>
      </c>
      <c r="C9" s="264">
        <v>-133530.89999999991</v>
      </c>
      <c r="D9" s="264">
        <v>1372880.61</v>
      </c>
      <c r="E9" s="264">
        <v>-474434.37999999995</v>
      </c>
      <c r="F9" s="264"/>
      <c r="G9" s="264"/>
      <c r="H9" s="264"/>
      <c r="I9" s="264"/>
      <c r="J9" s="264"/>
      <c r="K9" s="264"/>
      <c r="L9" s="264"/>
      <c r="M9" s="264"/>
      <c r="N9" s="264">
        <v>731443.29000000027</v>
      </c>
    </row>
    <row r="12" spans="1:14" ht="32.25" customHeight="1" x14ac:dyDescent="0.25">
      <c r="A12" s="6" t="s">
        <v>100</v>
      </c>
    </row>
    <row r="14" spans="1:14" x14ac:dyDescent="0.25"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>
    <tabColor theme="9" tint="0.59999389629810485"/>
  </sheetPr>
  <dimension ref="B1:Y20"/>
  <sheetViews>
    <sheetView workbookViewId="0">
      <selection activeCell="B5" sqref="B5"/>
    </sheetView>
  </sheetViews>
  <sheetFormatPr baseColWidth="10" defaultColWidth="8" defaultRowHeight="12.75" x14ac:dyDescent="0.2"/>
  <cols>
    <col min="1" max="1" width="3.25" style="35" customWidth="1"/>
    <col min="2" max="2" width="26.875" style="33" customWidth="1"/>
    <col min="3" max="5" width="9.375" style="34" customWidth="1"/>
    <col min="6" max="14" width="9.375" style="35" customWidth="1"/>
    <col min="15" max="15" width="13.75" style="35" customWidth="1"/>
    <col min="16" max="16384" width="8" style="35"/>
  </cols>
  <sheetData>
    <row r="1" spans="2:25" ht="27.75" customHeight="1" thickBot="1" x14ac:dyDescent="0.25">
      <c r="F1" s="310" t="s">
        <v>101</v>
      </c>
      <c r="G1" s="311"/>
      <c r="H1" s="311"/>
      <c r="I1" s="311"/>
      <c r="J1" s="312"/>
    </row>
    <row r="2" spans="2:25" ht="22.5" customHeight="1" thickBot="1" x14ac:dyDescent="0.25">
      <c r="B2" s="313" t="s">
        <v>102</v>
      </c>
      <c r="C2" s="314"/>
      <c r="D2" s="315" t="s">
        <v>103</v>
      </c>
      <c r="E2" s="316"/>
      <c r="F2" s="316"/>
      <c r="G2" s="316"/>
      <c r="H2" s="316"/>
      <c r="I2" s="316"/>
      <c r="J2" s="316"/>
      <c r="K2" s="316"/>
      <c r="L2" s="316"/>
      <c r="M2" s="316"/>
      <c r="N2" s="316"/>
      <c r="O2" s="316"/>
    </row>
    <row r="3" spans="2:25" ht="17.100000000000001" customHeight="1" thickBot="1" x14ac:dyDescent="0.25">
      <c r="E3" s="36"/>
    </row>
    <row r="4" spans="2:25" ht="30" customHeight="1" thickBot="1" x14ac:dyDescent="0.25">
      <c r="B4" s="37">
        <v>2023</v>
      </c>
      <c r="C4" s="38" t="s">
        <v>104</v>
      </c>
      <c r="D4" s="39" t="s">
        <v>105</v>
      </c>
      <c r="E4" s="40" t="s">
        <v>106</v>
      </c>
      <c r="F4" s="39" t="s">
        <v>107</v>
      </c>
      <c r="G4" s="40" t="s">
        <v>108</v>
      </c>
      <c r="H4" s="39" t="s">
        <v>109</v>
      </c>
      <c r="I4" s="40" t="s">
        <v>110</v>
      </c>
      <c r="J4" s="39" t="s">
        <v>111</v>
      </c>
      <c r="K4" s="40" t="s">
        <v>112</v>
      </c>
      <c r="L4" s="39" t="s">
        <v>113</v>
      </c>
      <c r="M4" s="40" t="s">
        <v>114</v>
      </c>
      <c r="N4" s="39" t="s">
        <v>115</v>
      </c>
      <c r="O4" s="41" t="s">
        <v>86</v>
      </c>
    </row>
    <row r="5" spans="2:25" ht="30" customHeight="1" thickBot="1" x14ac:dyDescent="0.25">
      <c r="B5" s="42" t="s">
        <v>116</v>
      </c>
      <c r="C5" s="43"/>
      <c r="D5" s="44"/>
      <c r="E5" s="45"/>
      <c r="F5" s="45"/>
      <c r="G5" s="44"/>
      <c r="H5" s="45"/>
      <c r="I5" s="45"/>
      <c r="J5" s="45"/>
      <c r="K5" s="45"/>
      <c r="L5" s="45"/>
      <c r="M5" s="45"/>
      <c r="N5" s="46"/>
      <c r="O5" s="47">
        <f>SUM(C5:N5)</f>
        <v>0</v>
      </c>
    </row>
    <row r="6" spans="2:25" ht="30" customHeight="1" thickBot="1" x14ac:dyDescent="0.25">
      <c r="B6" s="48" t="s">
        <v>117</v>
      </c>
      <c r="C6" s="49"/>
      <c r="D6" s="50"/>
      <c r="E6" s="51"/>
      <c r="F6" s="51"/>
      <c r="G6" s="50"/>
      <c r="H6" s="51"/>
      <c r="I6" s="51"/>
      <c r="J6" s="51"/>
      <c r="K6" s="51"/>
      <c r="L6" s="51"/>
      <c r="M6" s="51"/>
      <c r="N6" s="52"/>
      <c r="O6" s="53">
        <f>SUM(C6:N6)</f>
        <v>0</v>
      </c>
      <c r="P6" s="306"/>
      <c r="Q6" s="307"/>
      <c r="R6" s="307"/>
      <c r="S6" s="307"/>
      <c r="T6" s="307"/>
      <c r="U6" s="307"/>
      <c r="V6" s="307"/>
      <c r="W6" s="307"/>
      <c r="X6" s="307"/>
      <c r="Y6" s="307"/>
    </row>
    <row r="7" spans="2:25" ht="30" customHeight="1" thickBot="1" x14ac:dyDescent="0.25">
      <c r="B7" s="54"/>
      <c r="C7" s="55"/>
      <c r="D7" s="56"/>
      <c r="E7" s="57"/>
      <c r="F7" s="57"/>
      <c r="G7" s="56"/>
      <c r="H7" s="57"/>
      <c r="I7" s="57"/>
      <c r="J7" s="57"/>
      <c r="K7" s="57"/>
      <c r="L7" s="57"/>
      <c r="M7" s="57"/>
      <c r="N7" s="58"/>
      <c r="O7" s="59">
        <f t="shared" ref="O7:O9" si="0">SUM(C7:N7)</f>
        <v>0</v>
      </c>
      <c r="P7" s="317"/>
      <c r="Q7" s="318"/>
      <c r="R7" s="318"/>
      <c r="S7" s="318"/>
      <c r="T7" s="318"/>
      <c r="U7" s="318"/>
      <c r="V7" s="318"/>
    </row>
    <row r="8" spans="2:25" ht="30" customHeight="1" thickBot="1" x14ac:dyDescent="0.25">
      <c r="B8" s="60"/>
      <c r="C8" s="61"/>
      <c r="D8" s="62"/>
      <c r="E8" s="63"/>
      <c r="F8" s="63"/>
      <c r="G8" s="62"/>
      <c r="H8" s="63"/>
      <c r="I8" s="63"/>
      <c r="J8" s="63"/>
      <c r="K8" s="63"/>
      <c r="L8" s="63"/>
      <c r="M8" s="63"/>
      <c r="N8" s="64"/>
      <c r="O8" s="65">
        <f t="shared" si="0"/>
        <v>0</v>
      </c>
      <c r="P8" s="304"/>
      <c r="Q8" s="305"/>
      <c r="R8" s="305"/>
      <c r="S8" s="305"/>
      <c r="T8" s="305"/>
      <c r="U8" s="305"/>
      <c r="V8" s="305"/>
    </row>
    <row r="9" spans="2:25" ht="30" customHeight="1" thickBot="1" x14ac:dyDescent="0.25">
      <c r="B9" s="66"/>
      <c r="C9" s="61"/>
      <c r="D9" s="62"/>
      <c r="E9" s="63"/>
      <c r="F9" s="63"/>
      <c r="G9" s="62"/>
      <c r="H9" s="63"/>
      <c r="I9" s="63"/>
      <c r="J9" s="63"/>
      <c r="K9" s="63"/>
      <c r="L9" s="63"/>
      <c r="M9" s="63"/>
      <c r="N9" s="64"/>
      <c r="O9" s="65">
        <f t="shared" si="0"/>
        <v>0</v>
      </c>
      <c r="P9" s="304"/>
      <c r="Q9" s="305"/>
      <c r="R9" s="305"/>
      <c r="S9" s="305"/>
      <c r="T9" s="305"/>
      <c r="U9" s="305"/>
      <c r="V9" s="305"/>
    </row>
    <row r="10" spans="2:25" ht="30" customHeight="1" thickBot="1" x14ac:dyDescent="0.25">
      <c r="B10" s="67" t="s">
        <v>118</v>
      </c>
      <c r="C10" s="68">
        <f>SUM(C5:C9)</f>
        <v>0</v>
      </c>
      <c r="D10" s="69">
        <f t="shared" ref="D10:N10" si="1">SUM(D5:D9)</f>
        <v>0</v>
      </c>
      <c r="E10" s="68">
        <f t="shared" si="1"/>
        <v>0</v>
      </c>
      <c r="F10" s="68">
        <f t="shared" si="1"/>
        <v>0</v>
      </c>
      <c r="G10" s="69">
        <f t="shared" si="1"/>
        <v>0</v>
      </c>
      <c r="H10" s="68">
        <f t="shared" si="1"/>
        <v>0</v>
      </c>
      <c r="I10" s="68">
        <f t="shared" si="1"/>
        <v>0</v>
      </c>
      <c r="J10" s="68">
        <f t="shared" si="1"/>
        <v>0</v>
      </c>
      <c r="K10" s="68">
        <f t="shared" si="1"/>
        <v>0</v>
      </c>
      <c r="L10" s="68">
        <f t="shared" si="1"/>
        <v>0</v>
      </c>
      <c r="M10" s="68">
        <f t="shared" si="1"/>
        <v>0</v>
      </c>
      <c r="N10" s="68">
        <f t="shared" si="1"/>
        <v>0</v>
      </c>
      <c r="O10" s="70">
        <f>SUM(C10:N10)</f>
        <v>0</v>
      </c>
      <c r="P10" s="306"/>
      <c r="Q10" s="307"/>
      <c r="R10" s="307"/>
      <c r="S10" s="307"/>
      <c r="T10" s="307"/>
      <c r="U10" s="307"/>
      <c r="V10" s="307"/>
    </row>
    <row r="11" spans="2:25" ht="20.100000000000001" customHeight="1" x14ac:dyDescent="0.2"/>
    <row r="12" spans="2:25" ht="20.100000000000001" customHeight="1" x14ac:dyDescent="0.2">
      <c r="B12" s="308" t="s">
        <v>119</v>
      </c>
      <c r="C12" s="308"/>
      <c r="D12" s="308"/>
      <c r="E12" s="308"/>
      <c r="F12" s="308"/>
      <c r="G12" s="308"/>
      <c r="H12" s="308"/>
      <c r="I12" s="308"/>
      <c r="J12" s="308"/>
      <c r="K12" s="308"/>
      <c r="L12" s="308"/>
      <c r="M12" s="308"/>
      <c r="N12" s="308"/>
      <c r="O12" s="308"/>
    </row>
    <row r="13" spans="2:25" ht="20.100000000000001" customHeight="1" x14ac:dyDescent="0.2">
      <c r="B13" s="308"/>
      <c r="C13" s="308"/>
      <c r="D13" s="308"/>
      <c r="E13" s="308"/>
      <c r="F13" s="308"/>
      <c r="G13" s="308"/>
      <c r="H13" s="308"/>
      <c r="I13" s="308"/>
      <c r="J13" s="308"/>
      <c r="K13" s="308"/>
      <c r="L13" s="308"/>
      <c r="M13" s="308"/>
      <c r="N13" s="308"/>
      <c r="O13" s="308"/>
    </row>
    <row r="14" spans="2:25" ht="20.100000000000001" customHeight="1" x14ac:dyDescent="0.2"/>
    <row r="15" spans="2:25" ht="20.100000000000001" customHeight="1" x14ac:dyDescent="0.2">
      <c r="B15" s="308" t="s">
        <v>120</v>
      </c>
      <c r="C15" s="308"/>
      <c r="D15" s="308"/>
      <c r="E15" s="308"/>
      <c r="F15" s="308"/>
      <c r="G15" s="308"/>
      <c r="H15" s="308"/>
      <c r="I15" s="308"/>
      <c r="J15" s="308"/>
      <c r="K15" s="308"/>
      <c r="L15" s="308"/>
      <c r="M15" s="308"/>
      <c r="N15" s="308"/>
      <c r="O15" s="308"/>
    </row>
    <row r="16" spans="2:25" ht="20.100000000000001" customHeight="1" x14ac:dyDescent="0.2"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</row>
    <row r="17" spans="2:15" ht="20.100000000000001" customHeight="1" x14ac:dyDescent="0.2"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</row>
    <row r="18" spans="2:15" ht="20.100000000000001" customHeight="1" x14ac:dyDescent="0.2">
      <c r="B18" s="306" t="s">
        <v>121</v>
      </c>
      <c r="C18" s="307"/>
      <c r="D18" s="307"/>
      <c r="E18" s="307"/>
      <c r="F18" s="307"/>
      <c r="G18" s="307"/>
      <c r="H18" s="307"/>
      <c r="I18" s="307"/>
      <c r="J18" s="307"/>
    </row>
    <row r="19" spans="2:15" ht="24.75" customHeight="1" x14ac:dyDescent="0.2">
      <c r="B19" s="309" t="s">
        <v>122</v>
      </c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</row>
    <row r="20" spans="2:15" ht="36" customHeight="1" x14ac:dyDescent="0.2">
      <c r="B20" s="303" t="s">
        <v>123</v>
      </c>
      <c r="C20" s="303"/>
      <c r="D20" s="303"/>
      <c r="E20" s="303"/>
      <c r="F20" s="303"/>
      <c r="G20" s="303"/>
      <c r="H20" s="303"/>
      <c r="I20" s="303"/>
      <c r="J20" s="303"/>
      <c r="K20" s="303"/>
      <c r="L20" s="303"/>
      <c r="M20" s="303"/>
      <c r="N20" s="303"/>
      <c r="O20" s="303"/>
    </row>
  </sheetData>
  <mergeCells count="13">
    <mergeCell ref="P8:V8"/>
    <mergeCell ref="F1:J1"/>
    <mergeCell ref="B2:C2"/>
    <mergeCell ref="D2:O2"/>
    <mergeCell ref="P6:Y6"/>
    <mergeCell ref="P7:V7"/>
    <mergeCell ref="B20:O20"/>
    <mergeCell ref="P9:V9"/>
    <mergeCell ref="P10:V10"/>
    <mergeCell ref="B12:O13"/>
    <mergeCell ref="B15:O15"/>
    <mergeCell ref="B18:J18"/>
    <mergeCell ref="B19:O19"/>
  </mergeCells>
  <dataValidations count="1">
    <dataValidation type="decimal" allowBlank="1" showDropDown="1" sqref="C10:N10" xr:uid="{00000000-0002-0000-0C00-000000000000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>
    <tabColor rgb="FF00B050"/>
  </sheetPr>
  <dimension ref="A1:K30"/>
  <sheetViews>
    <sheetView topLeftCell="A12" zoomScale="80" zoomScaleNormal="80" workbookViewId="0">
      <selection activeCell="E24" sqref="E24"/>
    </sheetView>
  </sheetViews>
  <sheetFormatPr baseColWidth="10" defaultColWidth="8" defaultRowHeight="15" x14ac:dyDescent="0.25"/>
  <cols>
    <col min="1" max="1" width="13.875" style="116" customWidth="1"/>
    <col min="2" max="2" width="17.5" style="116" customWidth="1"/>
    <col min="3" max="3" width="13.125" style="141" customWidth="1"/>
    <col min="4" max="5" width="13.125" style="111" customWidth="1"/>
    <col min="6" max="6" width="43.75" style="128" customWidth="1"/>
    <col min="7" max="7" width="24.625" style="128" customWidth="1"/>
    <col min="8" max="9" width="13.125" style="128" customWidth="1"/>
    <col min="10" max="10" width="10.625" style="11" customWidth="1"/>
    <col min="11" max="11" width="12.625" style="11" customWidth="1"/>
    <col min="12" max="16384" width="8" style="6"/>
  </cols>
  <sheetData>
    <row r="1" spans="1:11" ht="30" customHeight="1" thickBot="1" x14ac:dyDescent="0.3">
      <c r="A1" s="119" t="s">
        <v>124</v>
      </c>
      <c r="B1" s="112" t="s">
        <v>125</v>
      </c>
      <c r="C1" s="202" t="s">
        <v>126</v>
      </c>
      <c r="D1" s="117" t="s">
        <v>127</v>
      </c>
      <c r="E1" s="117" t="s">
        <v>128</v>
      </c>
      <c r="F1" s="120" t="s">
        <v>129</v>
      </c>
      <c r="G1" s="120" t="s">
        <v>130</v>
      </c>
      <c r="H1" s="120" t="s">
        <v>131</v>
      </c>
      <c r="I1" s="120" t="s">
        <v>132</v>
      </c>
      <c r="J1" s="120" t="s">
        <v>133</v>
      </c>
      <c r="K1" s="121" t="s">
        <v>134</v>
      </c>
    </row>
    <row r="2" spans="1:11" ht="24.95" customHeight="1" x14ac:dyDescent="0.25">
      <c r="A2" s="113">
        <v>43832</v>
      </c>
      <c r="B2" s="113">
        <v>43864</v>
      </c>
      <c r="C2" s="103">
        <v>300000</v>
      </c>
      <c r="D2" s="118">
        <v>10257.530000000001</v>
      </c>
      <c r="E2" s="118">
        <v>310257.53000000003</v>
      </c>
      <c r="F2" s="122" t="s">
        <v>135</v>
      </c>
      <c r="G2" s="122" t="s">
        <v>136</v>
      </c>
      <c r="H2" s="122" t="s">
        <v>137</v>
      </c>
      <c r="I2" s="122" t="s">
        <v>138</v>
      </c>
      <c r="J2" s="123" t="s">
        <v>139</v>
      </c>
      <c r="K2" s="124">
        <v>874165</v>
      </c>
    </row>
    <row r="3" spans="1:11" ht="24.95" customHeight="1" x14ac:dyDescent="0.25">
      <c r="A3" s="114">
        <v>43881</v>
      </c>
      <c r="B3" s="114">
        <v>43915</v>
      </c>
      <c r="C3" s="104">
        <v>40000</v>
      </c>
      <c r="D3" s="8">
        <v>1117.81</v>
      </c>
      <c r="E3" s="8">
        <v>41117.81</v>
      </c>
      <c r="F3" s="125" t="s">
        <v>135</v>
      </c>
      <c r="G3" s="125" t="s">
        <v>136</v>
      </c>
      <c r="H3" s="125"/>
      <c r="I3" s="125" t="s">
        <v>138</v>
      </c>
      <c r="J3" s="7" t="s">
        <v>139</v>
      </c>
      <c r="K3" s="126">
        <v>879714</v>
      </c>
    </row>
    <row r="4" spans="1:11" ht="24.95" customHeight="1" x14ac:dyDescent="0.25">
      <c r="A4" s="114">
        <v>43879</v>
      </c>
      <c r="B4" s="114">
        <v>43909</v>
      </c>
      <c r="C4" s="104">
        <v>15000</v>
      </c>
      <c r="D4" s="8">
        <v>382.19</v>
      </c>
      <c r="E4" s="8">
        <v>15382.19</v>
      </c>
      <c r="F4" s="125" t="s">
        <v>135</v>
      </c>
      <c r="G4" s="125" t="s">
        <v>136</v>
      </c>
      <c r="H4" s="125"/>
      <c r="I4" s="125" t="s">
        <v>138</v>
      </c>
      <c r="J4" s="7" t="s">
        <v>139</v>
      </c>
      <c r="K4" s="126">
        <v>879454</v>
      </c>
    </row>
    <row r="5" spans="1:11" ht="24.95" customHeight="1" x14ac:dyDescent="0.25">
      <c r="A5" s="114">
        <v>43878</v>
      </c>
      <c r="B5" s="114">
        <v>43908</v>
      </c>
      <c r="C5" s="104">
        <v>250000</v>
      </c>
      <c r="D5" s="8">
        <v>6780.82</v>
      </c>
      <c r="E5" s="8">
        <v>256780.82</v>
      </c>
      <c r="F5" s="125" t="s">
        <v>135</v>
      </c>
      <c r="G5" s="125" t="s">
        <v>136</v>
      </c>
      <c r="H5" s="125"/>
      <c r="I5" s="125" t="s">
        <v>138</v>
      </c>
      <c r="J5" s="7" t="s">
        <v>139</v>
      </c>
      <c r="K5" s="126">
        <v>879360</v>
      </c>
    </row>
    <row r="6" spans="1:11" ht="24.95" customHeight="1" x14ac:dyDescent="0.25">
      <c r="A6" s="114">
        <v>43873</v>
      </c>
      <c r="B6" s="114">
        <v>43906</v>
      </c>
      <c r="C6" s="104">
        <v>200000</v>
      </c>
      <c r="D6" s="8">
        <v>6147.95</v>
      </c>
      <c r="E6" s="8">
        <v>206147.95</v>
      </c>
      <c r="F6" s="125" t="s">
        <v>135</v>
      </c>
      <c r="G6" s="125" t="s">
        <v>136</v>
      </c>
      <c r="H6" s="125"/>
      <c r="I6" s="125" t="s">
        <v>138</v>
      </c>
      <c r="J6" s="7" t="s">
        <v>139</v>
      </c>
      <c r="K6" s="126">
        <v>878897</v>
      </c>
    </row>
    <row r="7" spans="1:11" ht="24.95" customHeight="1" x14ac:dyDescent="0.25">
      <c r="A7" s="114">
        <v>43873</v>
      </c>
      <c r="B7" s="114">
        <v>44183</v>
      </c>
      <c r="C7" s="104">
        <v>10000</v>
      </c>
      <c r="D7" s="8">
        <v>2717.81</v>
      </c>
      <c r="E7" s="8">
        <v>12717.81</v>
      </c>
      <c r="F7" s="125" t="s">
        <v>135</v>
      </c>
      <c r="G7" s="125" t="s">
        <v>136</v>
      </c>
      <c r="H7" s="125"/>
      <c r="I7" s="125" t="s">
        <v>138</v>
      </c>
      <c r="J7" s="7" t="s">
        <v>139</v>
      </c>
      <c r="K7" s="126">
        <v>878859</v>
      </c>
    </row>
    <row r="8" spans="1:11" ht="24.95" customHeight="1" x14ac:dyDescent="0.25">
      <c r="A8" s="114">
        <v>43910</v>
      </c>
      <c r="B8" s="114">
        <v>43941</v>
      </c>
      <c r="C8" s="104">
        <v>900000</v>
      </c>
      <c r="D8" s="8">
        <v>21402.74</v>
      </c>
      <c r="E8" s="8">
        <v>921402.74</v>
      </c>
      <c r="F8" s="125" t="s">
        <v>135</v>
      </c>
      <c r="G8" s="125" t="s">
        <v>136</v>
      </c>
      <c r="H8" s="125"/>
      <c r="I8" s="125" t="s">
        <v>138</v>
      </c>
      <c r="J8" s="7" t="s">
        <v>139</v>
      </c>
      <c r="K8" s="126">
        <v>882731</v>
      </c>
    </row>
    <row r="9" spans="1:11" ht="24.95" customHeight="1" x14ac:dyDescent="0.25">
      <c r="A9" s="114">
        <v>43942</v>
      </c>
      <c r="B9" s="114">
        <v>44032</v>
      </c>
      <c r="C9" s="104">
        <v>900000</v>
      </c>
      <c r="D9" s="8">
        <v>56242.22</v>
      </c>
      <c r="E9" s="8">
        <v>956242.22</v>
      </c>
      <c r="F9" s="125" t="s">
        <v>135</v>
      </c>
      <c r="G9" s="125" t="s">
        <v>136</v>
      </c>
      <c r="H9" s="125"/>
      <c r="I9" s="125" t="s">
        <v>138</v>
      </c>
      <c r="J9" s="7" t="s">
        <v>139</v>
      </c>
      <c r="K9" s="126">
        <v>886186</v>
      </c>
    </row>
    <row r="10" spans="1:11" ht="24.95" customHeight="1" x14ac:dyDescent="0.25">
      <c r="A10" s="114">
        <v>44033</v>
      </c>
      <c r="B10" s="114">
        <v>44124</v>
      </c>
      <c r="C10" s="104">
        <v>800000</v>
      </c>
      <c r="D10" s="8">
        <v>57716.58</v>
      </c>
      <c r="E10" s="8">
        <v>857716.58</v>
      </c>
      <c r="F10" s="125" t="s">
        <v>135</v>
      </c>
      <c r="G10" s="125" t="s">
        <v>136</v>
      </c>
      <c r="H10" s="125"/>
      <c r="I10" s="125" t="s">
        <v>138</v>
      </c>
      <c r="J10" s="7" t="s">
        <v>139</v>
      </c>
      <c r="K10" s="126">
        <v>897609</v>
      </c>
    </row>
    <row r="11" spans="1:11" ht="24.95" customHeight="1" x14ac:dyDescent="0.25">
      <c r="A11" s="114">
        <v>44126</v>
      </c>
      <c r="B11" s="114">
        <v>44159</v>
      </c>
      <c r="C11" s="104">
        <v>800000</v>
      </c>
      <c r="D11" s="8">
        <v>24591.78</v>
      </c>
      <c r="E11" s="8">
        <v>824591.78</v>
      </c>
      <c r="F11" s="125" t="s">
        <v>135</v>
      </c>
      <c r="G11" s="125" t="s">
        <v>136</v>
      </c>
      <c r="H11" s="125" t="s">
        <v>140</v>
      </c>
      <c r="I11" s="125" t="s">
        <v>138</v>
      </c>
      <c r="J11" s="7" t="s">
        <v>139</v>
      </c>
      <c r="K11" s="126">
        <v>911190</v>
      </c>
    </row>
    <row r="12" spans="1:11" ht="24.95" customHeight="1" x14ac:dyDescent="0.25">
      <c r="A12" s="114">
        <v>44165</v>
      </c>
      <c r="B12" s="114">
        <v>44256</v>
      </c>
      <c r="C12" s="104">
        <v>600000</v>
      </c>
      <c r="D12" s="8">
        <v>70443.600000000006</v>
      </c>
      <c r="E12" s="8">
        <v>670443.6</v>
      </c>
      <c r="F12" s="125" t="s">
        <v>135</v>
      </c>
      <c r="G12" s="125" t="s">
        <v>136</v>
      </c>
      <c r="H12" s="125" t="s">
        <v>140</v>
      </c>
      <c r="I12" s="125" t="s">
        <v>138</v>
      </c>
      <c r="J12" s="7" t="s">
        <v>139</v>
      </c>
      <c r="K12" s="126">
        <v>916402</v>
      </c>
    </row>
    <row r="13" spans="1:11" ht="24.95" customHeight="1" x14ac:dyDescent="0.25">
      <c r="A13" s="114">
        <v>44195</v>
      </c>
      <c r="B13" s="114">
        <v>44285</v>
      </c>
      <c r="C13" s="104">
        <v>10000</v>
      </c>
      <c r="D13" s="8">
        <v>912.33</v>
      </c>
      <c r="E13" s="8">
        <v>10912.33</v>
      </c>
      <c r="F13" s="125" t="s">
        <v>135</v>
      </c>
      <c r="G13" s="125" t="s">
        <v>136</v>
      </c>
      <c r="H13" s="125" t="s">
        <v>140</v>
      </c>
      <c r="I13" s="125" t="s">
        <v>138</v>
      </c>
      <c r="J13" s="7" t="s">
        <v>139</v>
      </c>
      <c r="K13" s="126">
        <v>920803</v>
      </c>
    </row>
    <row r="14" spans="1:11" ht="24.95" customHeight="1" x14ac:dyDescent="0.25">
      <c r="A14" s="114">
        <v>44263</v>
      </c>
      <c r="B14" s="114">
        <v>44354</v>
      </c>
      <c r="C14" s="104">
        <v>700000</v>
      </c>
      <c r="D14" s="8">
        <v>92935.85</v>
      </c>
      <c r="E14" s="8">
        <v>792935.85</v>
      </c>
      <c r="F14" s="125" t="s">
        <v>135</v>
      </c>
      <c r="G14" s="125" t="s">
        <v>136</v>
      </c>
      <c r="H14" s="125" t="s">
        <v>140</v>
      </c>
      <c r="I14" s="125" t="s">
        <v>138</v>
      </c>
      <c r="J14" s="7" t="s">
        <v>139</v>
      </c>
      <c r="K14" s="126">
        <v>930625</v>
      </c>
    </row>
    <row r="15" spans="1:11" ht="24.95" customHeight="1" x14ac:dyDescent="0.25">
      <c r="A15" s="114">
        <v>44358</v>
      </c>
      <c r="B15" s="114">
        <v>44412</v>
      </c>
      <c r="C15" s="104">
        <v>700000</v>
      </c>
      <c r="D15" s="8">
        <v>33444.080000000002</v>
      </c>
      <c r="E15" s="8">
        <v>733444.08</v>
      </c>
      <c r="F15" s="125" t="s">
        <v>135</v>
      </c>
      <c r="G15" s="125" t="s">
        <v>136</v>
      </c>
      <c r="H15" s="125" t="s">
        <v>140</v>
      </c>
      <c r="I15" s="125" t="s">
        <v>138</v>
      </c>
      <c r="J15" s="7" t="s">
        <v>139</v>
      </c>
      <c r="K15" s="126">
        <v>945417</v>
      </c>
    </row>
    <row r="16" spans="1:11" ht="24.95" customHeight="1" x14ac:dyDescent="0.25">
      <c r="A16" s="114">
        <v>44414</v>
      </c>
      <c r="B16" s="114">
        <v>44476</v>
      </c>
      <c r="C16" s="104">
        <v>400000</v>
      </c>
      <c r="D16" s="8">
        <v>21920.04</v>
      </c>
      <c r="E16" s="8">
        <v>421920.04</v>
      </c>
      <c r="F16" s="125" t="s">
        <v>135</v>
      </c>
      <c r="G16" s="125" t="s">
        <v>136</v>
      </c>
      <c r="H16" s="125" t="s">
        <v>140</v>
      </c>
      <c r="I16" s="125" t="s">
        <v>138</v>
      </c>
      <c r="J16" s="7" t="s">
        <v>139</v>
      </c>
      <c r="K16" s="126">
        <v>955110</v>
      </c>
    </row>
    <row r="17" spans="1:11" ht="24.95" customHeight="1" x14ac:dyDescent="0.25">
      <c r="A17" s="114">
        <v>44476</v>
      </c>
      <c r="B17" s="114">
        <v>44509</v>
      </c>
      <c r="C17" s="104">
        <v>300000</v>
      </c>
      <c r="D17" s="8">
        <v>8530.2000000000007</v>
      </c>
      <c r="E17" s="8">
        <v>308530.2</v>
      </c>
      <c r="F17" s="125" t="s">
        <v>135</v>
      </c>
      <c r="G17" s="125" t="s">
        <v>136</v>
      </c>
      <c r="H17" s="125" t="s">
        <v>140</v>
      </c>
      <c r="I17" s="125" t="s">
        <v>138</v>
      </c>
      <c r="J17" s="7" t="s">
        <v>139</v>
      </c>
      <c r="K17" s="126">
        <v>965360</v>
      </c>
    </row>
    <row r="18" spans="1:11" ht="24.95" customHeight="1" x14ac:dyDescent="0.25">
      <c r="A18" s="114">
        <v>44510</v>
      </c>
      <c r="B18" s="114">
        <v>44600</v>
      </c>
      <c r="C18" s="104">
        <v>250000</v>
      </c>
      <c r="D18" s="8">
        <v>25767.53</v>
      </c>
      <c r="E18" s="8">
        <v>275767.53000000003</v>
      </c>
      <c r="F18" s="184" t="s">
        <v>135</v>
      </c>
      <c r="G18" s="125" t="s">
        <v>136</v>
      </c>
      <c r="H18" s="125" t="s">
        <v>140</v>
      </c>
      <c r="I18" s="125" t="s">
        <v>138</v>
      </c>
      <c r="J18" s="7" t="s">
        <v>139</v>
      </c>
      <c r="K18" s="126" t="s">
        <v>250</v>
      </c>
    </row>
    <row r="19" spans="1:11" ht="30" customHeight="1" x14ac:dyDescent="0.25">
      <c r="A19" s="180">
        <v>44707</v>
      </c>
      <c r="B19" s="180">
        <v>44797</v>
      </c>
      <c r="C19" s="139">
        <v>600000</v>
      </c>
      <c r="D19" s="181">
        <v>106704.8</v>
      </c>
      <c r="E19" s="181">
        <v>706704.8</v>
      </c>
      <c r="F19" s="186" t="s">
        <v>265</v>
      </c>
      <c r="G19" s="187" t="s">
        <v>136</v>
      </c>
      <c r="H19" s="182"/>
      <c r="I19" s="195" t="s">
        <v>138</v>
      </c>
      <c r="J19" s="185" t="s">
        <v>139</v>
      </c>
      <c r="K19" s="183" t="s">
        <v>264</v>
      </c>
    </row>
    <row r="20" spans="1:11" ht="30" customHeight="1" x14ac:dyDescent="0.25">
      <c r="A20" s="180">
        <v>44833</v>
      </c>
      <c r="B20" s="180">
        <v>44865</v>
      </c>
      <c r="C20" s="139">
        <v>600000</v>
      </c>
      <c r="D20" s="181">
        <v>39452.050000000003</v>
      </c>
      <c r="E20" s="181">
        <f>Tabla11[[#This Row],[Capital]]+Tabla11[[#This Row],[Interes]]</f>
        <v>639452.05000000005</v>
      </c>
      <c r="F20" s="198" t="s">
        <v>135</v>
      </c>
      <c r="G20" s="198" t="s">
        <v>136</v>
      </c>
      <c r="H20" s="182"/>
      <c r="I20" s="203" t="s">
        <v>138</v>
      </c>
      <c r="J20" s="199" t="s">
        <v>139</v>
      </c>
      <c r="K20" s="183" t="s">
        <v>279</v>
      </c>
    </row>
    <row r="21" spans="1:11" ht="30" customHeight="1" x14ac:dyDescent="0.25">
      <c r="A21" s="180">
        <v>44883</v>
      </c>
      <c r="B21" s="180">
        <v>44914</v>
      </c>
      <c r="C21" s="139">
        <v>350000</v>
      </c>
      <c r="D21" s="181">
        <v>22294.52</v>
      </c>
      <c r="E21" s="181">
        <f>Tabla11[[#This Row],[Capital]]+Tabla11[[#This Row],[Interes]]</f>
        <v>372294.52</v>
      </c>
      <c r="F21" s="204" t="s">
        <v>135</v>
      </c>
      <c r="G21" s="204" t="s">
        <v>136</v>
      </c>
      <c r="H21" s="182"/>
      <c r="I21" s="207" t="s">
        <v>138</v>
      </c>
      <c r="J21" s="205" t="s">
        <v>139</v>
      </c>
      <c r="K21" s="206" t="s">
        <v>286</v>
      </c>
    </row>
    <row r="22" spans="1:11" ht="30" customHeight="1" x14ac:dyDescent="0.25">
      <c r="A22" s="180">
        <v>44907</v>
      </c>
      <c r="B22" s="180">
        <v>44937</v>
      </c>
      <c r="C22" s="139">
        <v>350000</v>
      </c>
      <c r="D22" s="181">
        <v>21575</v>
      </c>
      <c r="E22" s="181">
        <f>Tabla11[[#This Row],[Capital]]+Tabla11[[#This Row],[Interes]]</f>
        <v>371575</v>
      </c>
      <c r="F22" s="207" t="s">
        <v>135</v>
      </c>
      <c r="G22" s="207" t="s">
        <v>136</v>
      </c>
      <c r="H22" s="182"/>
      <c r="I22" s="243" t="s">
        <v>138</v>
      </c>
      <c r="J22" s="208" t="s">
        <v>139</v>
      </c>
      <c r="K22" s="183" t="s">
        <v>312</v>
      </c>
    </row>
    <row r="23" spans="1:11" ht="30" customHeight="1" x14ac:dyDescent="0.25">
      <c r="A23" s="180">
        <v>44963</v>
      </c>
      <c r="B23" s="180">
        <v>44993</v>
      </c>
      <c r="C23" s="139">
        <v>500000</v>
      </c>
      <c r="D23" s="181">
        <v>30821.919999999998</v>
      </c>
      <c r="E23" s="181">
        <f>Tabla11[[#This Row],[Capital]]+Tabla11[[#This Row],[Interes]]</f>
        <v>530821.92000000004</v>
      </c>
      <c r="F23" s="277" t="s">
        <v>135</v>
      </c>
      <c r="G23" s="277" t="s">
        <v>136</v>
      </c>
      <c r="H23" s="182"/>
      <c r="I23" s="280" t="s">
        <v>138</v>
      </c>
      <c r="J23" s="278" t="s">
        <v>139</v>
      </c>
      <c r="K23" s="183" t="s">
        <v>390</v>
      </c>
    </row>
    <row r="24" spans="1:11" ht="30" customHeight="1" x14ac:dyDescent="0.25">
      <c r="A24" s="180">
        <v>44993</v>
      </c>
      <c r="B24" s="180">
        <v>45035</v>
      </c>
      <c r="C24" s="139">
        <v>1000000</v>
      </c>
      <c r="D24" s="181">
        <v>64109.59</v>
      </c>
      <c r="E24" s="181">
        <v>1064109.5900000001</v>
      </c>
      <c r="F24" s="280" t="s">
        <v>135</v>
      </c>
      <c r="G24" s="280" t="s">
        <v>136</v>
      </c>
      <c r="H24" s="182"/>
      <c r="I24" s="374" t="s">
        <v>138</v>
      </c>
      <c r="J24" s="281" t="s">
        <v>139</v>
      </c>
      <c r="K24" s="183" t="s">
        <v>419</v>
      </c>
    </row>
    <row r="25" spans="1:11" ht="30" customHeight="1" x14ac:dyDescent="0.25">
      <c r="A25" s="180"/>
      <c r="B25" s="180"/>
      <c r="C25" s="139"/>
      <c r="D25" s="181"/>
      <c r="E25" s="181"/>
      <c r="F25" s="182"/>
      <c r="G25" s="182"/>
      <c r="H25" s="182"/>
      <c r="I25" s="182"/>
      <c r="J25" s="279"/>
      <c r="K25" s="183"/>
    </row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92D050"/>
  </sheetPr>
  <dimension ref="A1:F46"/>
  <sheetViews>
    <sheetView topLeftCell="A30" zoomScale="90" zoomScaleNormal="90" workbookViewId="0">
      <selection activeCell="E46" sqref="E46"/>
    </sheetView>
  </sheetViews>
  <sheetFormatPr baseColWidth="10" defaultColWidth="8" defaultRowHeight="15" x14ac:dyDescent="0.25"/>
  <cols>
    <col min="1" max="1" width="13.125" style="109" customWidth="1"/>
    <col min="2" max="2" width="13.125" style="137" customWidth="1"/>
    <col min="3" max="5" width="13.125" style="111" customWidth="1"/>
    <col min="6" max="6" width="105" style="128" customWidth="1"/>
    <col min="7" max="16384" width="8" style="6"/>
  </cols>
  <sheetData>
    <row r="1" spans="1:6" ht="30" customHeight="1" x14ac:dyDescent="0.25">
      <c r="A1" s="129" t="s">
        <v>141</v>
      </c>
      <c r="B1" s="135" t="s">
        <v>142</v>
      </c>
      <c r="C1" s="130" t="s">
        <v>143</v>
      </c>
      <c r="D1" s="130" t="s">
        <v>144</v>
      </c>
      <c r="E1" s="130" t="s">
        <v>145</v>
      </c>
      <c r="F1" s="142" t="s">
        <v>131</v>
      </c>
    </row>
    <row r="2" spans="1:6" ht="20.100000000000001" customHeight="1" x14ac:dyDescent="0.25">
      <c r="A2" s="133">
        <v>43286</v>
      </c>
      <c r="B2" s="7" t="s">
        <v>146</v>
      </c>
      <c r="C2" s="8">
        <v>13000</v>
      </c>
      <c r="D2" s="8">
        <v>0</v>
      </c>
      <c r="E2" s="8">
        <v>13000</v>
      </c>
      <c r="F2" s="143" t="s">
        <v>147</v>
      </c>
    </row>
    <row r="3" spans="1:6" ht="20.100000000000001" customHeight="1" x14ac:dyDescent="0.25">
      <c r="A3" s="133">
        <v>43438</v>
      </c>
      <c r="B3" s="7" t="s">
        <v>148</v>
      </c>
      <c r="C3" s="8">
        <v>0</v>
      </c>
      <c r="D3" s="8">
        <v>-1000</v>
      </c>
      <c r="E3" s="8">
        <v>12000</v>
      </c>
      <c r="F3" s="143" t="s">
        <v>149</v>
      </c>
    </row>
    <row r="4" spans="1:6" ht="20.100000000000001" customHeight="1" x14ac:dyDescent="0.25">
      <c r="A4" s="133">
        <v>43476</v>
      </c>
      <c r="B4" s="7" t="s">
        <v>146</v>
      </c>
      <c r="C4" s="8">
        <v>100</v>
      </c>
      <c r="D4" s="8">
        <v>0</v>
      </c>
      <c r="E4" s="8">
        <v>12100</v>
      </c>
      <c r="F4" s="143" t="s">
        <v>150</v>
      </c>
    </row>
    <row r="5" spans="1:6" ht="20.100000000000001" customHeight="1" x14ac:dyDescent="0.25">
      <c r="A5" s="133">
        <v>43552</v>
      </c>
      <c r="B5" s="7" t="s">
        <v>151</v>
      </c>
      <c r="C5" s="8">
        <v>8.2899999999999991</v>
      </c>
      <c r="D5" s="8">
        <v>0</v>
      </c>
      <c r="E5" s="8">
        <v>12108.29</v>
      </c>
      <c r="F5" s="143"/>
    </row>
    <row r="6" spans="1:6" ht="20.100000000000001" customHeight="1" x14ac:dyDescent="0.25">
      <c r="A6" s="133">
        <v>43563</v>
      </c>
      <c r="B6" s="7" t="s">
        <v>148</v>
      </c>
      <c r="C6" s="8">
        <v>0</v>
      </c>
      <c r="D6" s="8">
        <v>-4639.32</v>
      </c>
      <c r="E6" s="8">
        <v>7468.97</v>
      </c>
      <c r="F6" s="143" t="s">
        <v>152</v>
      </c>
    </row>
    <row r="7" spans="1:6" ht="20.100000000000001" customHeight="1" x14ac:dyDescent="0.25">
      <c r="A7" s="133">
        <v>43676</v>
      </c>
      <c r="B7" s="7" t="s">
        <v>151</v>
      </c>
      <c r="C7" s="8">
        <v>3.6</v>
      </c>
      <c r="D7" s="8">
        <v>0</v>
      </c>
      <c r="E7" s="8">
        <v>7472.57</v>
      </c>
      <c r="F7" s="143"/>
    </row>
    <row r="8" spans="1:6" ht="20.100000000000001" customHeight="1" x14ac:dyDescent="0.25">
      <c r="A8" s="133">
        <v>43697</v>
      </c>
      <c r="B8" s="7" t="s">
        <v>153</v>
      </c>
      <c r="C8" s="8">
        <v>0</v>
      </c>
      <c r="D8" s="8">
        <v>-7450</v>
      </c>
      <c r="E8" s="8">
        <v>22.57</v>
      </c>
      <c r="F8" s="143" t="s">
        <v>154</v>
      </c>
    </row>
    <row r="9" spans="1:6" ht="20.100000000000001" customHeight="1" x14ac:dyDescent="0.25">
      <c r="A9" s="133">
        <v>43797</v>
      </c>
      <c r="B9" s="7" t="s">
        <v>146</v>
      </c>
      <c r="C9" s="8">
        <v>1.59</v>
      </c>
      <c r="D9" s="8">
        <v>0</v>
      </c>
      <c r="E9" s="8">
        <v>24.16</v>
      </c>
      <c r="F9" s="143" t="s">
        <v>155</v>
      </c>
    </row>
    <row r="10" spans="1:6" ht="20.100000000000001" customHeight="1" x14ac:dyDescent="0.25">
      <c r="A10" s="133">
        <v>43798</v>
      </c>
      <c r="B10" s="7" t="s">
        <v>146</v>
      </c>
      <c r="C10" s="8">
        <v>98</v>
      </c>
      <c r="D10" s="8">
        <v>0</v>
      </c>
      <c r="E10" s="8">
        <v>122.16</v>
      </c>
      <c r="F10" s="143" t="s">
        <v>156</v>
      </c>
    </row>
    <row r="11" spans="1:6" ht="20.100000000000001" customHeight="1" x14ac:dyDescent="0.25">
      <c r="A11" s="133">
        <v>44039</v>
      </c>
      <c r="B11" s="7" t="s">
        <v>146</v>
      </c>
      <c r="C11" s="8">
        <v>200</v>
      </c>
      <c r="D11" s="8">
        <v>0</v>
      </c>
      <c r="E11" s="8">
        <v>322.16000000000003</v>
      </c>
      <c r="F11" s="143" t="s">
        <v>157</v>
      </c>
    </row>
    <row r="12" spans="1:6" ht="20.100000000000001" customHeight="1" x14ac:dyDescent="0.25">
      <c r="A12" s="133">
        <v>44063</v>
      </c>
      <c r="B12" s="7" t="s">
        <v>146</v>
      </c>
      <c r="C12" s="8">
        <v>200</v>
      </c>
      <c r="D12" s="8">
        <v>0</v>
      </c>
      <c r="E12" s="8">
        <v>522.16</v>
      </c>
      <c r="F12" s="143" t="s">
        <v>157</v>
      </c>
    </row>
    <row r="13" spans="1:6" ht="20.100000000000001" customHeight="1" x14ac:dyDescent="0.25">
      <c r="A13" s="133">
        <v>44076</v>
      </c>
      <c r="B13" s="7" t="s">
        <v>158</v>
      </c>
      <c r="C13" s="8">
        <v>200</v>
      </c>
      <c r="D13" s="8">
        <v>0</v>
      </c>
      <c r="E13" s="8">
        <v>722.16</v>
      </c>
      <c r="F13" s="143" t="s">
        <v>159</v>
      </c>
    </row>
    <row r="14" spans="1:6" ht="20.100000000000001" customHeight="1" x14ac:dyDescent="0.25">
      <c r="A14" s="133">
        <v>44075</v>
      </c>
      <c r="B14" s="7" t="s">
        <v>158</v>
      </c>
      <c r="C14" s="8">
        <v>0.03</v>
      </c>
      <c r="D14" s="8">
        <v>0</v>
      </c>
      <c r="E14" s="8">
        <v>722.19</v>
      </c>
      <c r="F14" s="143" t="s">
        <v>160</v>
      </c>
    </row>
    <row r="15" spans="1:6" ht="20.100000000000001" customHeight="1" x14ac:dyDescent="0.25">
      <c r="A15" s="133">
        <v>44105</v>
      </c>
      <c r="B15" s="7" t="s">
        <v>158</v>
      </c>
      <c r="C15" s="8">
        <v>0.06</v>
      </c>
      <c r="D15" s="8">
        <v>0</v>
      </c>
      <c r="E15" s="8">
        <v>722.22</v>
      </c>
      <c r="F15" s="143" t="s">
        <v>160</v>
      </c>
    </row>
    <row r="16" spans="1:6" ht="20.100000000000001" customHeight="1" x14ac:dyDescent="0.25">
      <c r="A16" s="133">
        <v>44136</v>
      </c>
      <c r="B16" s="7" t="s">
        <v>158</v>
      </c>
      <c r="C16" s="8">
        <v>0.06</v>
      </c>
      <c r="D16" s="8">
        <v>0</v>
      </c>
      <c r="E16" s="8">
        <v>722.28</v>
      </c>
      <c r="F16" s="143" t="s">
        <v>160</v>
      </c>
    </row>
    <row r="17" spans="1:6" ht="20.100000000000001" customHeight="1" x14ac:dyDescent="0.25">
      <c r="A17" s="133">
        <v>44166</v>
      </c>
      <c r="B17" s="7" t="s">
        <v>158</v>
      </c>
      <c r="C17" s="8">
        <v>0.06</v>
      </c>
      <c r="D17" s="8">
        <v>0</v>
      </c>
      <c r="E17" s="8">
        <v>722.34</v>
      </c>
      <c r="F17" s="143" t="s">
        <v>160</v>
      </c>
    </row>
    <row r="18" spans="1:6" ht="20.100000000000001" customHeight="1" x14ac:dyDescent="0.25">
      <c r="A18" s="133">
        <v>44197</v>
      </c>
      <c r="B18" s="7" t="s">
        <v>158</v>
      </c>
      <c r="C18" s="8">
        <v>0.06</v>
      </c>
      <c r="D18" s="8">
        <v>0</v>
      </c>
      <c r="E18" s="8">
        <v>722.4</v>
      </c>
      <c r="F18" s="143" t="s">
        <v>160</v>
      </c>
    </row>
    <row r="19" spans="1:6" ht="20.100000000000001" customHeight="1" x14ac:dyDescent="0.25">
      <c r="A19" s="133">
        <v>44228</v>
      </c>
      <c r="B19" s="7" t="s">
        <v>158</v>
      </c>
      <c r="C19" s="8">
        <v>0.06</v>
      </c>
      <c r="D19" s="8">
        <v>0</v>
      </c>
      <c r="E19" s="8">
        <v>722.46</v>
      </c>
      <c r="F19" s="143" t="s">
        <v>160</v>
      </c>
    </row>
    <row r="20" spans="1:6" ht="20.100000000000001" customHeight="1" x14ac:dyDescent="0.25">
      <c r="A20" s="145">
        <v>44256</v>
      </c>
      <c r="B20" s="147" t="s">
        <v>158</v>
      </c>
      <c r="C20" s="110">
        <v>0.06</v>
      </c>
      <c r="D20" s="110">
        <v>0</v>
      </c>
      <c r="E20" s="110">
        <v>722.52</v>
      </c>
      <c r="F20" s="149" t="s">
        <v>160</v>
      </c>
    </row>
    <row r="21" spans="1:6" ht="20.100000000000001" customHeight="1" x14ac:dyDescent="0.25">
      <c r="A21" s="145">
        <v>44306</v>
      </c>
      <c r="B21" s="147" t="s">
        <v>158</v>
      </c>
      <c r="C21" s="110">
        <v>200</v>
      </c>
      <c r="D21" s="110">
        <v>0</v>
      </c>
      <c r="E21" s="110">
        <v>922.52</v>
      </c>
      <c r="F21" s="149" t="s">
        <v>159</v>
      </c>
    </row>
    <row r="22" spans="1:6" ht="20.100000000000001" customHeight="1" x14ac:dyDescent="0.25">
      <c r="A22" s="145">
        <v>44287</v>
      </c>
      <c r="B22" s="147" t="s">
        <v>158</v>
      </c>
      <c r="C22" s="110">
        <v>0.06</v>
      </c>
      <c r="D22" s="110">
        <v>0</v>
      </c>
      <c r="E22" s="110">
        <v>922.58</v>
      </c>
      <c r="F22" s="149" t="s">
        <v>160</v>
      </c>
    </row>
    <row r="23" spans="1:6" ht="20.100000000000001" customHeight="1" x14ac:dyDescent="0.25">
      <c r="A23" s="145">
        <v>44322</v>
      </c>
      <c r="B23" s="147" t="s">
        <v>158</v>
      </c>
      <c r="C23" s="110">
        <v>200</v>
      </c>
      <c r="D23" s="110">
        <v>0</v>
      </c>
      <c r="E23" s="110">
        <v>1122.52</v>
      </c>
      <c r="F23" s="149" t="s">
        <v>159</v>
      </c>
    </row>
    <row r="24" spans="1:6" ht="20.100000000000001" customHeight="1" x14ac:dyDescent="0.25">
      <c r="A24" s="145">
        <v>44317</v>
      </c>
      <c r="B24" s="147" t="s">
        <v>158</v>
      </c>
      <c r="C24" s="110">
        <v>7.0000000000000007E-2</v>
      </c>
      <c r="D24" s="110">
        <v>0</v>
      </c>
      <c r="E24" s="110">
        <v>1122.5899999999999</v>
      </c>
      <c r="F24" s="149" t="s">
        <v>160</v>
      </c>
    </row>
    <row r="25" spans="1:6" ht="20.100000000000001" customHeight="1" x14ac:dyDescent="0.25">
      <c r="A25" s="145">
        <v>44348</v>
      </c>
      <c r="B25" s="147" t="s">
        <v>158</v>
      </c>
      <c r="C25" s="110">
        <v>0.09</v>
      </c>
      <c r="D25" s="110">
        <v>0</v>
      </c>
      <c r="E25" s="110">
        <v>1122.6099999999999</v>
      </c>
      <c r="F25" s="149" t="s">
        <v>160</v>
      </c>
    </row>
    <row r="26" spans="1:6" ht="20.100000000000001" customHeight="1" x14ac:dyDescent="0.25">
      <c r="A26" s="145">
        <v>44378</v>
      </c>
      <c r="B26" s="147" t="s">
        <v>158</v>
      </c>
      <c r="C26" s="110">
        <v>0.09</v>
      </c>
      <c r="D26" s="110">
        <v>0</v>
      </c>
      <c r="E26" s="110">
        <v>1122.7</v>
      </c>
      <c r="F26" s="149" t="s">
        <v>160</v>
      </c>
    </row>
    <row r="27" spans="1:6" ht="20.100000000000001" customHeight="1" x14ac:dyDescent="0.25">
      <c r="A27" s="145">
        <v>44409</v>
      </c>
      <c r="B27" s="147" t="s">
        <v>158</v>
      </c>
      <c r="C27" s="110">
        <v>0.1</v>
      </c>
      <c r="D27" s="110">
        <v>0</v>
      </c>
      <c r="E27" s="110">
        <v>1122.8</v>
      </c>
      <c r="F27" s="149" t="s">
        <v>160</v>
      </c>
    </row>
    <row r="28" spans="1:6" ht="20.100000000000001" customHeight="1" x14ac:dyDescent="0.25">
      <c r="A28" s="145">
        <v>44440</v>
      </c>
      <c r="B28" s="147" t="s">
        <v>158</v>
      </c>
      <c r="C28" s="110">
        <v>0.1</v>
      </c>
      <c r="D28" s="110">
        <v>0</v>
      </c>
      <c r="E28" s="110">
        <v>1122.9000000000001</v>
      </c>
      <c r="F28" s="149" t="s">
        <v>160</v>
      </c>
    </row>
    <row r="29" spans="1:6" ht="20.100000000000001" customHeight="1" x14ac:dyDescent="0.25">
      <c r="A29" s="145">
        <v>44470</v>
      </c>
      <c r="B29" s="147" t="s">
        <v>158</v>
      </c>
      <c r="C29" s="110">
        <v>0.09</v>
      </c>
      <c r="D29" s="110">
        <v>0</v>
      </c>
      <c r="E29" s="110">
        <v>1122.99</v>
      </c>
      <c r="F29" s="149" t="s">
        <v>160</v>
      </c>
    </row>
    <row r="30" spans="1:6" ht="20.100000000000001" customHeight="1" x14ac:dyDescent="0.25">
      <c r="A30" s="145">
        <v>44501</v>
      </c>
      <c r="B30" s="147" t="s">
        <v>158</v>
      </c>
      <c r="C30" s="110">
        <v>0.1</v>
      </c>
      <c r="D30" s="110">
        <v>0</v>
      </c>
      <c r="E30" s="110">
        <v>1123.0899999999999</v>
      </c>
      <c r="F30" s="149" t="s">
        <v>160</v>
      </c>
    </row>
    <row r="31" spans="1:6" ht="20.100000000000001" customHeight="1" x14ac:dyDescent="0.25">
      <c r="A31" s="145">
        <v>44531</v>
      </c>
      <c r="B31" s="147" t="s">
        <v>158</v>
      </c>
      <c r="C31" s="110">
        <v>0.09</v>
      </c>
      <c r="D31" s="110">
        <v>0</v>
      </c>
      <c r="E31" s="110">
        <v>1123.18</v>
      </c>
      <c r="F31" s="149" t="s">
        <v>160</v>
      </c>
    </row>
    <row r="32" spans="1:6" ht="20.100000000000001" customHeight="1" x14ac:dyDescent="0.25">
      <c r="A32" s="145">
        <v>44574</v>
      </c>
      <c r="B32" s="147" t="s">
        <v>158</v>
      </c>
      <c r="C32" s="110">
        <v>100</v>
      </c>
      <c r="D32" s="110">
        <v>0</v>
      </c>
      <c r="E32" s="110">
        <v>1223.18</v>
      </c>
      <c r="F32" s="153" t="s">
        <v>249</v>
      </c>
    </row>
    <row r="33" spans="1:6" ht="20.100000000000001" customHeight="1" x14ac:dyDescent="0.25">
      <c r="A33" s="145">
        <v>44562</v>
      </c>
      <c r="B33" s="147" t="s">
        <v>158</v>
      </c>
      <c r="C33" s="110">
        <v>0.1</v>
      </c>
      <c r="D33" s="110">
        <v>0</v>
      </c>
      <c r="E33" s="110">
        <v>1223.28</v>
      </c>
      <c r="F33" s="149" t="s">
        <v>160</v>
      </c>
    </row>
    <row r="34" spans="1:6" ht="20.100000000000001" customHeight="1" x14ac:dyDescent="0.25">
      <c r="A34" s="145">
        <v>44594</v>
      </c>
      <c r="B34" s="147" t="s">
        <v>158</v>
      </c>
      <c r="C34" s="110">
        <v>100</v>
      </c>
      <c r="D34" s="110">
        <v>0</v>
      </c>
      <c r="E34" s="110">
        <v>1323.18</v>
      </c>
      <c r="F34" s="153" t="s">
        <v>248</v>
      </c>
    </row>
    <row r="35" spans="1:6" ht="20.100000000000001" customHeight="1" x14ac:dyDescent="0.25">
      <c r="A35" s="146">
        <v>44593</v>
      </c>
      <c r="B35" s="148" t="s">
        <v>158</v>
      </c>
      <c r="C35" s="131">
        <v>0.1</v>
      </c>
      <c r="D35" s="131">
        <v>0</v>
      </c>
      <c r="E35" s="131">
        <v>1323.28</v>
      </c>
      <c r="F35" s="150" t="s">
        <v>160</v>
      </c>
    </row>
    <row r="36" spans="1:6" x14ac:dyDescent="0.25">
      <c r="A36" s="146">
        <v>44623</v>
      </c>
      <c r="B36" s="151" t="s">
        <v>158</v>
      </c>
      <c r="C36" s="131">
        <v>100</v>
      </c>
      <c r="D36" s="131">
        <v>0</v>
      </c>
      <c r="E36" s="131">
        <f>E35+Tabla12[[#This Row],[Credito]]</f>
        <v>1423.28</v>
      </c>
      <c r="F36" s="152" t="s">
        <v>247</v>
      </c>
    </row>
    <row r="37" spans="1:6" x14ac:dyDescent="0.25">
      <c r="A37" s="145" t="s">
        <v>255</v>
      </c>
      <c r="B37" s="177" t="s">
        <v>158</v>
      </c>
      <c r="C37" s="110">
        <v>0.12</v>
      </c>
      <c r="D37" s="110">
        <v>0</v>
      </c>
      <c r="E37" s="110">
        <f>E36+Tabla12[[#This Row],[Credito]]</f>
        <v>1423.3999999999999</v>
      </c>
      <c r="F37" s="176" t="s">
        <v>160</v>
      </c>
    </row>
    <row r="38" spans="1:6" x14ac:dyDescent="0.25">
      <c r="A38" s="146" t="s">
        <v>255</v>
      </c>
      <c r="B38" s="179" t="s">
        <v>148</v>
      </c>
      <c r="C38" s="131"/>
      <c r="D38" s="131">
        <v>-1020</v>
      </c>
      <c r="E38" s="131">
        <f>E37+Tabla12[[#This Row],[Debito]]</f>
        <v>403.39999999999986</v>
      </c>
      <c r="F38" s="178" t="s">
        <v>256</v>
      </c>
    </row>
    <row r="39" spans="1:6" x14ac:dyDescent="0.25">
      <c r="A39" s="146">
        <v>44687</v>
      </c>
      <c r="B39" s="188" t="s">
        <v>158</v>
      </c>
      <c r="C39" s="131">
        <v>100</v>
      </c>
      <c r="D39" s="131">
        <v>0</v>
      </c>
      <c r="E39" s="131">
        <f>E38+Tabla12[[#This Row],[Credito]]</f>
        <v>503.39999999999986</v>
      </c>
      <c r="F39" s="189" t="s">
        <v>266</v>
      </c>
    </row>
    <row r="40" spans="1:6" x14ac:dyDescent="0.25">
      <c r="A40" s="146">
        <v>44687</v>
      </c>
      <c r="B40" s="188" t="s">
        <v>158</v>
      </c>
      <c r="C40" s="131">
        <v>100</v>
      </c>
      <c r="D40" s="131">
        <v>0</v>
      </c>
      <c r="E40" s="131">
        <f>E39+Tabla12[[#This Row],[Credito]]</f>
        <v>603.39999999999986</v>
      </c>
      <c r="F40" s="189" t="s">
        <v>267</v>
      </c>
    </row>
    <row r="41" spans="1:6" x14ac:dyDescent="0.25">
      <c r="A41" s="146">
        <v>44713</v>
      </c>
      <c r="B41" s="190" t="s">
        <v>158</v>
      </c>
      <c r="C41" s="131">
        <v>100</v>
      </c>
      <c r="D41" s="131">
        <v>0</v>
      </c>
      <c r="E41" s="131">
        <f>E40+Tabla12[[#This Row],[Credito]]</f>
        <v>703.39999999999986</v>
      </c>
      <c r="F41" s="191" t="s">
        <v>272</v>
      </c>
    </row>
    <row r="42" spans="1:6" x14ac:dyDescent="0.25">
      <c r="A42" s="192">
        <v>44761</v>
      </c>
      <c r="B42" s="193" t="s">
        <v>158</v>
      </c>
      <c r="C42" s="131">
        <v>200</v>
      </c>
      <c r="D42" s="131">
        <v>0</v>
      </c>
      <c r="E42" s="131">
        <f>E41+Tabla12[[#This Row],[Credito]]</f>
        <v>903.39999999999986</v>
      </c>
      <c r="F42" s="194" t="s">
        <v>276</v>
      </c>
    </row>
    <row r="43" spans="1:6" x14ac:dyDescent="0.25">
      <c r="A43" s="146">
        <v>44776</v>
      </c>
      <c r="B43" s="196" t="s">
        <v>158</v>
      </c>
      <c r="C43" s="131">
        <v>200</v>
      </c>
      <c r="D43" s="131">
        <v>0</v>
      </c>
      <c r="E43" s="131">
        <f>E42+Tabla12[[#This Row],[Credito]]</f>
        <v>1103.3999999999999</v>
      </c>
      <c r="F43" s="197" t="s">
        <v>276</v>
      </c>
    </row>
    <row r="44" spans="1:6" x14ac:dyDescent="0.25">
      <c r="A44" s="146">
        <v>44811</v>
      </c>
      <c r="B44" s="200" t="s">
        <v>158</v>
      </c>
      <c r="C44" s="131">
        <v>200</v>
      </c>
      <c r="D44" s="131">
        <v>0</v>
      </c>
      <c r="E44" s="131">
        <f>E43+Tabla12[[#This Row],[Credito]]</f>
        <v>1303.3999999999999</v>
      </c>
      <c r="F44" s="201" t="s">
        <v>276</v>
      </c>
    </row>
    <row r="45" spans="1:6" x14ac:dyDescent="0.25">
      <c r="A45" s="146">
        <v>44957</v>
      </c>
      <c r="B45" s="244"/>
      <c r="C45" s="131"/>
      <c r="D45" s="131"/>
      <c r="E45" s="131">
        <v>1305.07</v>
      </c>
      <c r="F45" s="150"/>
    </row>
    <row r="46" spans="1:6" x14ac:dyDescent="0.25">
      <c r="A46" s="146">
        <v>44998</v>
      </c>
      <c r="B46" s="282" t="s">
        <v>148</v>
      </c>
      <c r="C46" s="131"/>
      <c r="D46" s="131">
        <v>-1000</v>
      </c>
      <c r="E46" s="131">
        <f>E45+Tabla12[[#This Row],[Debito]]</f>
        <v>305.06999999999994</v>
      </c>
      <c r="F46" s="283" t="s">
        <v>154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>
    <tabColor rgb="FF92D050"/>
  </sheetPr>
  <dimension ref="A1:F19"/>
  <sheetViews>
    <sheetView zoomScale="90" zoomScaleNormal="90" workbookViewId="0">
      <selection activeCell="A17" sqref="A17"/>
    </sheetView>
  </sheetViews>
  <sheetFormatPr baseColWidth="10" defaultColWidth="8" defaultRowHeight="15" x14ac:dyDescent="0.25"/>
  <cols>
    <col min="1" max="1" width="13.125" style="116" customWidth="1"/>
    <col min="2" max="2" width="13.125" style="137" customWidth="1"/>
    <col min="3" max="5" width="13.125" style="141" customWidth="1"/>
    <col min="6" max="6" width="105" style="128" customWidth="1"/>
    <col min="7" max="16384" width="8" style="6"/>
  </cols>
  <sheetData>
    <row r="1" spans="1:6" ht="30" customHeight="1" x14ac:dyDescent="0.25">
      <c r="A1" s="132" t="s">
        <v>141</v>
      </c>
      <c r="B1" s="135" t="s">
        <v>142</v>
      </c>
      <c r="C1" s="138" t="s">
        <v>143</v>
      </c>
      <c r="D1" s="138" t="s">
        <v>144</v>
      </c>
      <c r="E1" s="138" t="s">
        <v>145</v>
      </c>
      <c r="F1" s="142" t="s">
        <v>131</v>
      </c>
    </row>
    <row r="2" spans="1:6" ht="20.100000000000001" customHeight="1" x14ac:dyDescent="0.25">
      <c r="A2" s="133">
        <v>42005</v>
      </c>
      <c r="B2" s="7" t="s">
        <v>146</v>
      </c>
      <c r="C2" s="104">
        <v>60000</v>
      </c>
      <c r="D2" s="104">
        <v>0</v>
      </c>
      <c r="E2" s="104">
        <v>60000</v>
      </c>
      <c r="F2" s="143" t="s">
        <v>161</v>
      </c>
    </row>
    <row r="3" spans="1:6" ht="20.100000000000001" customHeight="1" x14ac:dyDescent="0.25">
      <c r="A3" s="133">
        <v>42754</v>
      </c>
      <c r="B3" s="7" t="s">
        <v>146</v>
      </c>
      <c r="C3" s="104">
        <v>1650</v>
      </c>
      <c r="D3" s="104">
        <v>0</v>
      </c>
      <c r="E3" s="104">
        <v>61650</v>
      </c>
      <c r="F3" s="143"/>
    </row>
    <row r="4" spans="1:6" ht="20.100000000000001" customHeight="1" x14ac:dyDescent="0.25">
      <c r="A4" s="133">
        <v>43045</v>
      </c>
      <c r="B4" s="7" t="s">
        <v>146</v>
      </c>
      <c r="C4" s="104">
        <v>1000</v>
      </c>
      <c r="D4" s="104">
        <v>0</v>
      </c>
      <c r="E4" s="104">
        <v>62650</v>
      </c>
      <c r="F4" s="143" t="s">
        <v>162</v>
      </c>
    </row>
    <row r="5" spans="1:6" ht="20.100000000000001" customHeight="1" x14ac:dyDescent="0.25">
      <c r="A5" s="133">
        <v>43242</v>
      </c>
      <c r="B5" s="7" t="s">
        <v>146</v>
      </c>
      <c r="C5" s="104">
        <v>10000</v>
      </c>
      <c r="D5" s="104">
        <v>0</v>
      </c>
      <c r="E5" s="104">
        <v>72650</v>
      </c>
      <c r="F5" s="143" t="s">
        <v>163</v>
      </c>
    </row>
    <row r="6" spans="1:6" ht="20.100000000000001" customHeight="1" x14ac:dyDescent="0.25">
      <c r="A6" s="133">
        <v>43433</v>
      </c>
      <c r="B6" s="7" t="s">
        <v>148</v>
      </c>
      <c r="C6" s="104">
        <v>0</v>
      </c>
      <c r="D6" s="104">
        <v>-5200</v>
      </c>
      <c r="E6" s="104">
        <v>67450</v>
      </c>
      <c r="F6" s="143" t="s">
        <v>164</v>
      </c>
    </row>
    <row r="7" spans="1:6" ht="20.100000000000001" customHeight="1" x14ac:dyDescent="0.25">
      <c r="A7" s="133">
        <v>43711</v>
      </c>
      <c r="B7" s="7" t="s">
        <v>146</v>
      </c>
      <c r="C7" s="104">
        <v>7500</v>
      </c>
      <c r="D7" s="104">
        <v>0</v>
      </c>
      <c r="E7" s="104">
        <v>74950</v>
      </c>
      <c r="F7" s="143" t="s">
        <v>165</v>
      </c>
    </row>
    <row r="8" spans="1:6" ht="20.100000000000001" customHeight="1" x14ac:dyDescent="0.25">
      <c r="A8" s="133">
        <v>43817</v>
      </c>
      <c r="B8" s="7" t="s">
        <v>146</v>
      </c>
      <c r="C8" s="104">
        <v>400</v>
      </c>
      <c r="D8" s="104">
        <v>0</v>
      </c>
      <c r="E8" s="104">
        <v>75350</v>
      </c>
      <c r="F8" s="143" t="s">
        <v>166</v>
      </c>
    </row>
    <row r="9" spans="1:6" ht="20.100000000000001" customHeight="1" x14ac:dyDescent="0.25">
      <c r="A9" s="133">
        <v>43819</v>
      </c>
      <c r="B9" s="7" t="s">
        <v>146</v>
      </c>
      <c r="C9" s="104">
        <v>400</v>
      </c>
      <c r="D9" s="104">
        <v>0</v>
      </c>
      <c r="E9" s="104">
        <v>75750</v>
      </c>
      <c r="F9" s="143" t="s">
        <v>167</v>
      </c>
    </row>
    <row r="10" spans="1:6" ht="20.100000000000001" customHeight="1" x14ac:dyDescent="0.25">
      <c r="A10" s="133">
        <v>43819</v>
      </c>
      <c r="B10" s="7" t="s">
        <v>146</v>
      </c>
      <c r="C10" s="104">
        <v>22000</v>
      </c>
      <c r="D10" s="104">
        <v>0</v>
      </c>
      <c r="E10" s="104">
        <v>97750</v>
      </c>
      <c r="F10" s="143" t="s">
        <v>168</v>
      </c>
    </row>
    <row r="11" spans="1:6" ht="20.100000000000001" customHeight="1" x14ac:dyDescent="0.25">
      <c r="A11" s="133">
        <v>44188</v>
      </c>
      <c r="B11" s="7" t="s">
        <v>146</v>
      </c>
      <c r="C11" s="104">
        <v>0</v>
      </c>
      <c r="D11" s="104">
        <v>-1500</v>
      </c>
      <c r="E11" s="104">
        <v>96250</v>
      </c>
      <c r="F11" s="143" t="s">
        <v>169</v>
      </c>
    </row>
    <row r="12" spans="1:6" ht="20.100000000000001" customHeight="1" x14ac:dyDescent="0.25">
      <c r="A12" s="134">
        <v>44308</v>
      </c>
      <c r="B12" s="136" t="s">
        <v>146</v>
      </c>
      <c r="C12" s="139">
        <v>4500</v>
      </c>
      <c r="D12" s="139">
        <v>0</v>
      </c>
      <c r="E12" s="139">
        <v>100750</v>
      </c>
      <c r="F12" s="144" t="s">
        <v>170</v>
      </c>
    </row>
    <row r="13" spans="1:6" ht="30" customHeight="1" x14ac:dyDescent="0.25">
      <c r="A13" s="209">
        <v>44901</v>
      </c>
      <c r="B13" s="210" t="s">
        <v>153</v>
      </c>
      <c r="C13" s="211">
        <v>0</v>
      </c>
      <c r="D13" s="211">
        <v>-85000</v>
      </c>
      <c r="E13" s="211">
        <f>E12+Tabla17[[#This Row],[Debito]]</f>
        <v>15750</v>
      </c>
      <c r="F13" s="212" t="s">
        <v>313</v>
      </c>
    </row>
    <row r="14" spans="1:6" ht="30" customHeight="1" x14ac:dyDescent="0.25">
      <c r="A14" s="209">
        <v>44901</v>
      </c>
      <c r="B14" s="210" t="s">
        <v>153</v>
      </c>
      <c r="C14" s="211">
        <v>0</v>
      </c>
      <c r="D14" s="211">
        <v>-2550</v>
      </c>
      <c r="E14" s="211">
        <f>E13+Tabla17[[#This Row],[Debito]]</f>
        <v>13200</v>
      </c>
      <c r="F14" s="215" t="s">
        <v>320</v>
      </c>
    </row>
    <row r="15" spans="1:6" ht="30" customHeight="1" x14ac:dyDescent="0.25">
      <c r="A15" s="134">
        <v>44901</v>
      </c>
      <c r="B15" s="214" t="s">
        <v>146</v>
      </c>
      <c r="C15" s="139">
        <v>7500</v>
      </c>
      <c r="D15" s="139">
        <v>0</v>
      </c>
      <c r="E15" s="139">
        <f>E14+Tabla17[[#This Row],[Credito]]</f>
        <v>20700</v>
      </c>
      <c r="F15" s="216" t="s">
        <v>321</v>
      </c>
    </row>
    <row r="16" spans="1:6" ht="30" customHeight="1" x14ac:dyDescent="0.25">
      <c r="A16" s="134">
        <v>45049</v>
      </c>
      <c r="B16" s="375" t="s">
        <v>146</v>
      </c>
      <c r="C16" s="139">
        <v>2000</v>
      </c>
      <c r="D16" s="139">
        <v>0</v>
      </c>
      <c r="E16" s="139">
        <v>22700</v>
      </c>
      <c r="F16" s="376" t="s">
        <v>452</v>
      </c>
    </row>
    <row r="17" spans="1:6" ht="30" customHeight="1" x14ac:dyDescent="0.25">
      <c r="A17" s="115"/>
      <c r="B17" s="11"/>
      <c r="C17" s="140"/>
      <c r="D17" s="140"/>
      <c r="E17" s="140"/>
      <c r="F17" s="127"/>
    </row>
    <row r="18" spans="1:6" ht="30" customHeight="1" x14ac:dyDescent="0.25">
      <c r="A18" s="115"/>
      <c r="B18" s="11"/>
      <c r="C18" s="140"/>
      <c r="D18" s="140"/>
      <c r="E18" s="140"/>
      <c r="F18" s="127"/>
    </row>
    <row r="19" spans="1:6" ht="30" customHeight="1" x14ac:dyDescent="0.25">
      <c r="A19" s="115"/>
      <c r="B19" s="11"/>
      <c r="C19" s="140"/>
      <c r="D19" s="140"/>
      <c r="E19" s="140"/>
      <c r="F19" s="127"/>
    </row>
  </sheetData>
  <pageMargins left="0.75" right="0.75" top="1" bottom="1" header="0.5" footer="0.5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>
    <tabColor theme="8" tint="-0.249977111117893"/>
  </sheetPr>
  <dimension ref="B1:Q56"/>
  <sheetViews>
    <sheetView topLeftCell="B4" zoomScale="90" zoomScaleNormal="90" workbookViewId="0">
      <selection activeCell="F18" sqref="F18"/>
    </sheetView>
  </sheetViews>
  <sheetFormatPr baseColWidth="10" defaultColWidth="10" defaultRowHeight="12.75" x14ac:dyDescent="0.2"/>
  <cols>
    <col min="1" max="1" width="2.75" style="35" customWidth="1"/>
    <col min="2" max="2" width="31.25" style="35" customWidth="1"/>
    <col min="3" max="5" width="11.125" style="35" customWidth="1"/>
    <col min="6" max="6" width="11.125" style="34" customWidth="1"/>
    <col min="7" max="14" width="11.125" style="35" customWidth="1"/>
    <col min="15" max="15" width="18.125" style="35" customWidth="1"/>
    <col min="16" max="16" width="34" style="35" customWidth="1"/>
    <col min="17" max="17" width="18.125" style="35" customWidth="1"/>
    <col min="18" max="18" width="10" style="35"/>
    <col min="19" max="19" width="23.25" style="35" customWidth="1"/>
    <col min="20" max="16384" width="10" style="35"/>
  </cols>
  <sheetData>
    <row r="1" spans="2:16" ht="13.5" thickBot="1" x14ac:dyDescent="0.25"/>
    <row r="2" spans="2:16" ht="12.75" customHeight="1" x14ac:dyDescent="0.2">
      <c r="B2" s="345" t="s">
        <v>171</v>
      </c>
      <c r="C2" s="346"/>
      <c r="D2" s="346"/>
      <c r="E2" s="346"/>
      <c r="F2" s="346"/>
      <c r="G2" s="346"/>
      <c r="H2" s="346"/>
      <c r="I2" s="347"/>
      <c r="K2" s="354">
        <v>2023</v>
      </c>
      <c r="L2" s="355"/>
    </row>
    <row r="3" spans="2:16" ht="12.75" customHeight="1" x14ac:dyDescent="0.2">
      <c r="B3" s="348"/>
      <c r="C3" s="349"/>
      <c r="D3" s="349"/>
      <c r="E3" s="349"/>
      <c r="F3" s="349"/>
      <c r="G3" s="349"/>
      <c r="H3" s="349"/>
      <c r="I3" s="350"/>
      <c r="K3" s="356"/>
      <c r="L3" s="357"/>
    </row>
    <row r="4" spans="2:16" ht="12.75" customHeight="1" x14ac:dyDescent="0.2">
      <c r="B4" s="348"/>
      <c r="C4" s="349"/>
      <c r="D4" s="349"/>
      <c r="E4" s="349"/>
      <c r="F4" s="349"/>
      <c r="G4" s="349"/>
      <c r="H4" s="349"/>
      <c r="I4" s="350"/>
      <c r="K4" s="356"/>
      <c r="L4" s="357"/>
    </row>
    <row r="5" spans="2:16" ht="12.75" customHeight="1" x14ac:dyDescent="0.2">
      <c r="B5" s="348"/>
      <c r="C5" s="349"/>
      <c r="D5" s="349"/>
      <c r="E5" s="349"/>
      <c r="F5" s="349"/>
      <c r="G5" s="349"/>
      <c r="H5" s="349"/>
      <c r="I5" s="350"/>
      <c r="K5" s="356"/>
      <c r="L5" s="357"/>
    </row>
    <row r="6" spans="2:16" ht="12.75" customHeight="1" thickBot="1" x14ac:dyDescent="0.25">
      <c r="B6" s="351"/>
      <c r="C6" s="352"/>
      <c r="D6" s="352"/>
      <c r="E6" s="352"/>
      <c r="F6" s="352"/>
      <c r="G6" s="352"/>
      <c r="H6" s="352"/>
      <c r="I6" s="353"/>
      <c r="K6" s="358"/>
      <c r="L6" s="359"/>
    </row>
    <row r="7" spans="2:16" ht="12.75" customHeight="1" x14ac:dyDescent="0.2">
      <c r="B7" s="73"/>
      <c r="C7" s="73"/>
      <c r="D7" s="73"/>
      <c r="E7" s="73"/>
      <c r="F7" s="73"/>
      <c r="G7" s="73"/>
      <c r="H7" s="73"/>
      <c r="I7" s="73"/>
      <c r="K7" s="213"/>
      <c r="L7" s="74"/>
    </row>
    <row r="8" spans="2:16" ht="30" customHeight="1" x14ac:dyDescent="0.2">
      <c r="B8" s="360" t="s">
        <v>172</v>
      </c>
      <c r="C8" s="361"/>
      <c r="D8" s="361"/>
      <c r="E8" s="361"/>
      <c r="F8" s="361"/>
      <c r="G8" s="361"/>
      <c r="H8" s="361"/>
      <c r="I8" s="361"/>
      <c r="J8" s="361"/>
      <c r="K8" s="361"/>
      <c r="L8" s="362"/>
    </row>
    <row r="9" spans="2:16" ht="12.75" customHeight="1" x14ac:dyDescent="0.2">
      <c r="B9" s="73"/>
      <c r="C9" s="73"/>
      <c r="D9" s="73"/>
      <c r="E9" s="73"/>
      <c r="F9" s="73"/>
      <c r="G9" s="73"/>
      <c r="H9" s="73"/>
      <c r="I9" s="73"/>
      <c r="K9" s="75"/>
      <c r="L9" s="75"/>
    </row>
    <row r="10" spans="2:16" ht="12.75" customHeight="1" thickBot="1" x14ac:dyDescent="0.25">
      <c r="B10" s="73"/>
      <c r="C10" s="73"/>
      <c r="D10" s="73"/>
      <c r="E10" s="73"/>
      <c r="F10" s="73"/>
      <c r="G10" s="73"/>
      <c r="H10" s="73"/>
      <c r="I10" s="73"/>
      <c r="K10" s="75"/>
      <c r="L10" s="75"/>
    </row>
    <row r="11" spans="2:16" ht="39.950000000000003" customHeight="1" thickBot="1" x14ac:dyDescent="0.25">
      <c r="B11" s="76" t="s">
        <v>92</v>
      </c>
      <c r="C11" s="25" t="s">
        <v>74</v>
      </c>
      <c r="D11" s="25" t="s">
        <v>75</v>
      </c>
      <c r="E11" s="25" t="s">
        <v>76</v>
      </c>
      <c r="F11" s="25" t="s">
        <v>77</v>
      </c>
      <c r="G11" s="25" t="s">
        <v>78</v>
      </c>
      <c r="H11" s="25" t="s">
        <v>79</v>
      </c>
      <c r="I11" s="25" t="s">
        <v>80</v>
      </c>
      <c r="J11" s="25" t="s">
        <v>81</v>
      </c>
      <c r="K11" s="25" t="s">
        <v>82</v>
      </c>
      <c r="L11" s="25" t="s">
        <v>83</v>
      </c>
      <c r="M11" s="25" t="s">
        <v>84</v>
      </c>
      <c r="N11" s="25" t="s">
        <v>85</v>
      </c>
      <c r="O11" s="77" t="s">
        <v>173</v>
      </c>
    </row>
    <row r="12" spans="2:16" ht="30" customHeight="1" x14ac:dyDescent="0.2">
      <c r="B12" s="78" t="s">
        <v>174</v>
      </c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79"/>
    </row>
    <row r="13" spans="2:16" ht="30" customHeight="1" x14ac:dyDescent="0.2">
      <c r="B13" s="80" t="s">
        <v>175</v>
      </c>
      <c r="C13" s="284">
        <v>738317.53</v>
      </c>
      <c r="D13" s="284">
        <v>64687.15</v>
      </c>
      <c r="E13" s="284">
        <v>848917</v>
      </c>
      <c r="F13" s="284">
        <v>546362.62</v>
      </c>
      <c r="G13" s="284"/>
      <c r="H13" s="284"/>
      <c r="I13" s="284"/>
      <c r="J13" s="284"/>
      <c r="K13" s="284"/>
      <c r="L13" s="284"/>
      <c r="M13" s="284"/>
      <c r="N13" s="284"/>
      <c r="O13" s="157" t="s">
        <v>176</v>
      </c>
    </row>
    <row r="14" spans="2:16" ht="30" customHeight="1" x14ac:dyDescent="0.2">
      <c r="B14" s="155" t="s">
        <v>179</v>
      </c>
      <c r="C14" s="285">
        <v>1305.07</v>
      </c>
      <c r="D14" s="285">
        <v>1305.17</v>
      </c>
      <c r="E14" s="285">
        <v>305</v>
      </c>
      <c r="F14" s="285">
        <v>305.26</v>
      </c>
      <c r="G14" s="285"/>
      <c r="H14" s="285"/>
      <c r="I14" s="285"/>
      <c r="J14" s="285"/>
      <c r="K14" s="285"/>
      <c r="L14" s="285"/>
      <c r="M14" s="285"/>
      <c r="N14" s="285"/>
      <c r="O14" s="158" t="s">
        <v>180</v>
      </c>
    </row>
    <row r="15" spans="2:16" ht="30" customHeight="1" x14ac:dyDescent="0.2">
      <c r="B15" s="155" t="s">
        <v>181</v>
      </c>
      <c r="C15" s="285">
        <v>20700</v>
      </c>
      <c r="D15" s="285">
        <v>20700</v>
      </c>
      <c r="E15" s="285">
        <v>20700</v>
      </c>
      <c r="F15" s="285">
        <v>22700</v>
      </c>
      <c r="G15" s="285"/>
      <c r="H15" s="285"/>
      <c r="I15" s="285"/>
      <c r="J15" s="285"/>
      <c r="K15" s="285"/>
      <c r="L15" s="285"/>
      <c r="M15" s="285"/>
      <c r="N15" s="285"/>
      <c r="O15" s="158"/>
      <c r="P15" s="81"/>
    </row>
    <row r="16" spans="2:16" ht="30" customHeight="1" thickBot="1" x14ac:dyDescent="0.25">
      <c r="B16" s="172" t="s">
        <v>182</v>
      </c>
      <c r="C16" s="286"/>
      <c r="D16" s="286">
        <v>500000</v>
      </c>
      <c r="E16" s="286">
        <v>1000000</v>
      </c>
      <c r="F16" s="286"/>
      <c r="G16" s="286"/>
      <c r="H16" s="286"/>
      <c r="I16" s="286"/>
      <c r="J16" s="286"/>
      <c r="K16" s="286"/>
      <c r="L16" s="286"/>
      <c r="M16" s="286"/>
      <c r="N16" s="286"/>
      <c r="O16" s="173"/>
    </row>
    <row r="17" spans="2:17" ht="30" customHeight="1" x14ac:dyDescent="0.2">
      <c r="B17" s="174" t="s">
        <v>183</v>
      </c>
      <c r="C17" s="287">
        <v>645</v>
      </c>
      <c r="D17" s="287">
        <v>645</v>
      </c>
      <c r="E17" s="287">
        <v>645</v>
      </c>
      <c r="F17" s="287">
        <v>0</v>
      </c>
      <c r="G17" s="287"/>
      <c r="H17" s="287"/>
      <c r="I17" s="287"/>
      <c r="J17" s="287"/>
      <c r="K17" s="287"/>
      <c r="L17" s="287"/>
      <c r="M17" s="287"/>
      <c r="N17" s="287">
        <v>0</v>
      </c>
      <c r="O17" s="175"/>
    </row>
    <row r="18" spans="2:17" ht="30" customHeight="1" thickBot="1" x14ac:dyDescent="0.25">
      <c r="B18" s="82" t="s">
        <v>184</v>
      </c>
      <c r="C18" s="288">
        <v>50</v>
      </c>
      <c r="D18" s="288">
        <v>50</v>
      </c>
      <c r="E18" s="288">
        <v>50</v>
      </c>
      <c r="F18" s="288">
        <v>50</v>
      </c>
      <c r="G18" s="288">
        <v>50</v>
      </c>
      <c r="H18" s="288">
        <v>50</v>
      </c>
      <c r="I18" s="288">
        <v>50</v>
      </c>
      <c r="J18" s="288">
        <v>50</v>
      </c>
      <c r="K18" s="288">
        <v>50</v>
      </c>
      <c r="L18" s="288">
        <v>50</v>
      </c>
      <c r="M18" s="289">
        <v>50</v>
      </c>
      <c r="N18" s="289">
        <v>50</v>
      </c>
      <c r="O18" s="159"/>
      <c r="P18" s="83"/>
      <c r="Q18" s="83"/>
    </row>
    <row r="19" spans="2:17" ht="30" customHeight="1" thickBot="1" x14ac:dyDescent="0.25">
      <c r="B19" s="84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6"/>
      <c r="N19" s="86"/>
      <c r="O19" s="87"/>
      <c r="P19" s="83"/>
      <c r="Q19" s="83"/>
    </row>
    <row r="20" spans="2:17" ht="30" customHeight="1" thickBot="1" x14ac:dyDescent="0.25">
      <c r="B20" s="88" t="s">
        <v>185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90"/>
      <c r="N20" s="90"/>
      <c r="O20" s="91"/>
      <c r="P20" s="83"/>
      <c r="Q20" s="83"/>
    </row>
    <row r="21" spans="2:17" ht="30" customHeight="1" x14ac:dyDescent="0.2">
      <c r="B21" s="160" t="s">
        <v>177</v>
      </c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54" t="s">
        <v>178</v>
      </c>
      <c r="P21" s="83"/>
      <c r="Q21" s="83"/>
    </row>
    <row r="22" spans="2:17" ht="23.25" customHeight="1" thickBot="1" x14ac:dyDescent="0.25"/>
    <row r="23" spans="2:17" ht="30" customHeight="1" thickBot="1" x14ac:dyDescent="0.25">
      <c r="B23" s="366" t="s">
        <v>186</v>
      </c>
      <c r="C23" s="367"/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367"/>
      <c r="O23" s="368"/>
    </row>
    <row r="24" spans="2:17" ht="24.95" customHeight="1" x14ac:dyDescent="0.2">
      <c r="B24" s="363" t="s">
        <v>187</v>
      </c>
      <c r="C24" s="364"/>
      <c r="D24" s="364"/>
      <c r="E24" s="364"/>
      <c r="F24" s="364"/>
      <c r="G24" s="365" t="s">
        <v>273</v>
      </c>
      <c r="H24" s="365"/>
      <c r="I24" s="365"/>
      <c r="J24" s="369" t="s">
        <v>188</v>
      </c>
      <c r="K24" s="369"/>
      <c r="L24" s="369"/>
      <c r="M24" s="369"/>
      <c r="N24" s="369"/>
      <c r="O24" s="370"/>
      <c r="P24" s="93"/>
      <c r="Q24" s="93"/>
    </row>
    <row r="25" spans="2:17" ht="24.95" customHeight="1" x14ac:dyDescent="0.2">
      <c r="B25" s="330" t="s">
        <v>189</v>
      </c>
      <c r="C25" s="331"/>
      <c r="D25" s="331"/>
      <c r="E25" s="331"/>
      <c r="F25" s="331"/>
      <c r="G25" s="337" t="s">
        <v>190</v>
      </c>
      <c r="H25" s="337"/>
      <c r="I25" s="337"/>
      <c r="J25" s="341" t="s">
        <v>188</v>
      </c>
      <c r="K25" s="341"/>
      <c r="L25" s="341"/>
      <c r="M25" s="341"/>
      <c r="N25" s="341"/>
      <c r="O25" s="342"/>
      <c r="P25" s="93"/>
      <c r="Q25" s="93"/>
    </row>
    <row r="26" spans="2:17" ht="36" customHeight="1" thickBot="1" x14ac:dyDescent="0.25">
      <c r="B26" s="338" t="s">
        <v>191</v>
      </c>
      <c r="C26" s="339"/>
      <c r="D26" s="339"/>
      <c r="E26" s="339"/>
      <c r="F26" s="339"/>
      <c r="G26" s="340" t="s">
        <v>192</v>
      </c>
      <c r="H26" s="340"/>
      <c r="I26" s="340"/>
      <c r="J26" s="343" t="s">
        <v>193</v>
      </c>
      <c r="K26" s="343"/>
      <c r="L26" s="343"/>
      <c r="M26" s="343"/>
      <c r="N26" s="343"/>
      <c r="O26" s="344"/>
      <c r="P26" s="107"/>
    </row>
    <row r="27" spans="2:17" ht="36" customHeight="1" thickBot="1" x14ac:dyDescent="0.25">
      <c r="B27" s="338" t="s">
        <v>314</v>
      </c>
      <c r="C27" s="339"/>
      <c r="D27" s="339"/>
      <c r="E27" s="339"/>
      <c r="F27" s="339"/>
      <c r="G27" s="340" t="s">
        <v>315</v>
      </c>
      <c r="H27" s="340"/>
      <c r="I27" s="340"/>
      <c r="J27" s="343" t="s">
        <v>316</v>
      </c>
      <c r="K27" s="343"/>
      <c r="L27" s="343"/>
      <c r="M27" s="343"/>
      <c r="N27" s="343"/>
      <c r="O27" s="344"/>
      <c r="P27" s="107"/>
    </row>
    <row r="28" spans="2:17" ht="24.95" customHeight="1" x14ac:dyDescent="0.2">
      <c r="B28" s="161"/>
      <c r="C28" s="161"/>
      <c r="D28" s="161"/>
      <c r="E28" s="161"/>
      <c r="F28" s="161"/>
      <c r="G28" s="162"/>
      <c r="H28" s="162"/>
      <c r="I28" s="162"/>
      <c r="K28" s="93"/>
      <c r="L28" s="93"/>
      <c r="M28" s="93"/>
      <c r="N28" s="93"/>
      <c r="O28" s="34"/>
    </row>
    <row r="29" spans="2:17" ht="24.95" customHeight="1" thickBot="1" x14ac:dyDescent="0.25">
      <c r="E29" s="94"/>
      <c r="K29" s="93"/>
      <c r="L29" s="93"/>
      <c r="M29" s="93"/>
      <c r="N29" s="93"/>
      <c r="O29" s="81"/>
    </row>
    <row r="30" spans="2:17" ht="30" customHeight="1" thickBot="1" x14ac:dyDescent="0.25">
      <c r="B30" s="332" t="s">
        <v>194</v>
      </c>
      <c r="C30" s="333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4"/>
    </row>
    <row r="31" spans="2:17" ht="30" customHeight="1" x14ac:dyDescent="0.2">
      <c r="B31" s="320" t="s">
        <v>195</v>
      </c>
      <c r="C31" s="321"/>
      <c r="D31" s="321"/>
      <c r="E31" s="164" t="s">
        <v>196</v>
      </c>
      <c r="F31" s="165" t="s">
        <v>197</v>
      </c>
      <c r="G31" s="321" t="s">
        <v>198</v>
      </c>
      <c r="H31" s="321"/>
      <c r="I31" s="321"/>
      <c r="J31" s="321"/>
      <c r="K31" s="321"/>
      <c r="L31" s="321"/>
      <c r="M31" s="321"/>
      <c r="N31" s="321"/>
      <c r="O31" s="335"/>
      <c r="P31" s="95"/>
    </row>
    <row r="32" spans="2:17" ht="24.95" customHeight="1" x14ac:dyDescent="0.2">
      <c r="B32" s="322" t="s">
        <v>199</v>
      </c>
      <c r="C32" s="323"/>
      <c r="D32" s="323"/>
      <c r="E32" s="166" t="s">
        <v>200</v>
      </c>
      <c r="F32" s="167">
        <v>40360</v>
      </c>
      <c r="G32" s="325" t="s">
        <v>201</v>
      </c>
      <c r="H32" s="325"/>
      <c r="I32" s="325"/>
      <c r="J32" s="325"/>
      <c r="K32" s="325"/>
      <c r="L32" s="325"/>
      <c r="M32" s="325"/>
      <c r="N32" s="325"/>
      <c r="O32" s="336"/>
    </row>
    <row r="33" spans="2:15" ht="24.95" customHeight="1" x14ac:dyDescent="0.2">
      <c r="B33" s="324" t="s">
        <v>202</v>
      </c>
      <c r="C33" s="325"/>
      <c r="D33" s="325"/>
      <c r="E33" s="168" t="s">
        <v>203</v>
      </c>
      <c r="F33" s="169">
        <v>378000</v>
      </c>
      <c r="G33" s="325" t="s">
        <v>204</v>
      </c>
      <c r="H33" s="325"/>
      <c r="I33" s="325"/>
      <c r="J33" s="325"/>
      <c r="K33" s="325"/>
      <c r="L33" s="325"/>
      <c r="M33" s="325"/>
      <c r="N33" s="325"/>
      <c r="O33" s="336"/>
    </row>
    <row r="34" spans="2:15" ht="24.95" customHeight="1" thickBot="1" x14ac:dyDescent="0.25">
      <c r="B34" s="328" t="s">
        <v>205</v>
      </c>
      <c r="C34" s="329"/>
      <c r="D34" s="329"/>
      <c r="E34" s="170" t="s">
        <v>206</v>
      </c>
      <c r="F34" s="171">
        <v>300000</v>
      </c>
      <c r="G34" s="326" t="s">
        <v>207</v>
      </c>
      <c r="H34" s="326"/>
      <c r="I34" s="326"/>
      <c r="J34" s="326"/>
      <c r="K34" s="326"/>
      <c r="L34" s="326"/>
      <c r="M34" s="326"/>
      <c r="N34" s="326"/>
      <c r="O34" s="327"/>
    </row>
    <row r="35" spans="2:15" ht="24.95" customHeight="1" x14ac:dyDescent="0.2">
      <c r="B35" s="96"/>
      <c r="C35" s="92"/>
      <c r="D35" s="92"/>
      <c r="K35" s="93"/>
      <c r="L35" s="93"/>
      <c r="M35" s="93"/>
      <c r="N35" s="97"/>
      <c r="O35" s="98"/>
    </row>
    <row r="36" spans="2:15" ht="24.95" customHeight="1" x14ac:dyDescent="0.2">
      <c r="B36" s="96"/>
      <c r="C36" s="92"/>
      <c r="D36" s="92"/>
      <c r="K36" s="93"/>
      <c r="L36" s="93"/>
      <c r="M36" s="93"/>
      <c r="N36" s="93"/>
      <c r="O36" s="34"/>
    </row>
    <row r="37" spans="2:15" ht="24.95" customHeight="1" x14ac:dyDescent="0.2">
      <c r="B37" s="96"/>
      <c r="C37" s="92"/>
      <c r="D37" s="92"/>
      <c r="G37" s="99"/>
    </row>
    <row r="38" spans="2:15" ht="24.95" customHeight="1" x14ac:dyDescent="0.2">
      <c r="B38" s="319" t="s">
        <v>208</v>
      </c>
      <c r="C38" s="319"/>
      <c r="D38" s="319"/>
      <c r="G38" s="99"/>
    </row>
    <row r="39" spans="2:15" ht="24.95" customHeight="1" x14ac:dyDescent="0.2">
      <c r="B39" s="319"/>
      <c r="C39" s="319"/>
      <c r="D39" s="319"/>
      <c r="G39" s="99"/>
    </row>
    <row r="40" spans="2:15" ht="24.95" customHeight="1" x14ac:dyDescent="0.2">
      <c r="G40" s="99"/>
    </row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  <row r="56" ht="24.95" customHeight="1" x14ac:dyDescent="0.2"/>
  </sheetData>
  <mergeCells count="26">
    <mergeCell ref="B2:I6"/>
    <mergeCell ref="K2:L6"/>
    <mergeCell ref="B8:L8"/>
    <mergeCell ref="B24:F24"/>
    <mergeCell ref="G24:I24"/>
    <mergeCell ref="B23:O23"/>
    <mergeCell ref="J24:O24"/>
    <mergeCell ref="B25:F25"/>
    <mergeCell ref="B30:O30"/>
    <mergeCell ref="G31:O31"/>
    <mergeCell ref="G32:O32"/>
    <mergeCell ref="G33:O33"/>
    <mergeCell ref="G25:I25"/>
    <mergeCell ref="B26:F26"/>
    <mergeCell ref="G26:I26"/>
    <mergeCell ref="J25:O25"/>
    <mergeCell ref="J26:O26"/>
    <mergeCell ref="B27:F27"/>
    <mergeCell ref="G27:I27"/>
    <mergeCell ref="J27:O27"/>
    <mergeCell ref="B38:D39"/>
    <mergeCell ref="B31:D31"/>
    <mergeCell ref="B32:D32"/>
    <mergeCell ref="B33:D33"/>
    <mergeCell ref="G34:O34"/>
    <mergeCell ref="B34:D34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L10"/>
  <sheetViews>
    <sheetView workbookViewId="0">
      <selection activeCell="A5" sqref="A5:L5"/>
    </sheetView>
  </sheetViews>
  <sheetFormatPr baseColWidth="10" defaultRowHeight="15.75" x14ac:dyDescent="0.25"/>
  <sheetData>
    <row r="2" spans="1:12" x14ac:dyDescent="0.25">
      <c r="A2" s="293" t="s">
        <v>251</v>
      </c>
      <c r="B2" s="293"/>
      <c r="C2" s="293"/>
      <c r="D2" s="293"/>
      <c r="E2" s="293"/>
      <c r="F2" s="293"/>
      <c r="G2" s="293"/>
      <c r="H2" s="293"/>
      <c r="I2" s="293"/>
    </row>
    <row r="3" spans="1:12" ht="15.75" customHeight="1" x14ac:dyDescent="0.25">
      <c r="A3" s="373" t="s">
        <v>259</v>
      </c>
      <c r="B3" s="373"/>
      <c r="C3" s="373"/>
      <c r="D3" s="373"/>
      <c r="E3" s="373"/>
      <c r="F3" s="373"/>
      <c r="G3" s="373"/>
      <c r="H3" s="373"/>
      <c r="I3" s="373"/>
      <c r="J3" s="373"/>
      <c r="K3" s="373"/>
      <c r="L3" s="373"/>
    </row>
    <row r="4" spans="1:12" ht="15.75" customHeight="1" x14ac:dyDescent="0.25">
      <c r="A4" s="373" t="s">
        <v>263</v>
      </c>
      <c r="B4" s="373"/>
      <c r="C4" s="373"/>
      <c r="D4" s="373"/>
      <c r="E4" s="373"/>
      <c r="F4" s="373"/>
      <c r="G4" s="373"/>
      <c r="H4" s="373"/>
      <c r="I4" s="373"/>
      <c r="J4" s="373"/>
      <c r="K4" s="373"/>
      <c r="L4" s="373"/>
    </row>
    <row r="5" spans="1:12" x14ac:dyDescent="0.25">
      <c r="A5" s="373" t="s">
        <v>260</v>
      </c>
      <c r="B5" s="373"/>
      <c r="C5" s="373"/>
      <c r="D5" s="373"/>
      <c r="E5" s="373"/>
      <c r="F5" s="373"/>
      <c r="G5" s="373"/>
      <c r="H5" s="373"/>
      <c r="I5" s="373"/>
      <c r="J5" s="373"/>
      <c r="K5" s="373"/>
      <c r="L5" s="373"/>
    </row>
    <row r="6" spans="1:12" x14ac:dyDescent="0.25">
      <c r="A6" s="373" t="s">
        <v>261</v>
      </c>
      <c r="B6" s="373"/>
      <c r="C6" s="373"/>
      <c r="D6" s="373"/>
      <c r="E6" s="373"/>
      <c r="F6" s="373"/>
      <c r="G6" s="373"/>
      <c r="H6" s="373"/>
      <c r="I6" s="373"/>
      <c r="J6" s="373"/>
      <c r="K6" s="373"/>
      <c r="L6" s="373"/>
    </row>
    <row r="7" spans="1:12" x14ac:dyDescent="0.25">
      <c r="A7" s="373" t="s">
        <v>262</v>
      </c>
      <c r="B7" s="373"/>
      <c r="C7" s="373"/>
      <c r="D7" s="373"/>
      <c r="E7" s="373"/>
      <c r="F7" s="373"/>
      <c r="G7" s="373"/>
      <c r="H7" s="373"/>
      <c r="I7" s="373"/>
      <c r="J7" s="373"/>
      <c r="K7" s="373"/>
      <c r="L7" s="373"/>
    </row>
    <row r="8" spans="1:12" x14ac:dyDescent="0.25">
      <c r="A8" s="373"/>
      <c r="B8" s="373"/>
      <c r="C8" s="373"/>
      <c r="D8" s="373"/>
      <c r="E8" s="373"/>
      <c r="F8" s="373"/>
      <c r="G8" s="373"/>
      <c r="H8" s="373"/>
      <c r="I8" s="373"/>
      <c r="J8" s="373"/>
      <c r="K8" s="373"/>
      <c r="L8" s="373"/>
    </row>
    <row r="9" spans="1:12" x14ac:dyDescent="0.25">
      <c r="A9" s="372"/>
      <c r="B9" s="372"/>
      <c r="C9" s="372"/>
      <c r="D9" s="372"/>
      <c r="E9" s="372"/>
      <c r="F9" s="372"/>
      <c r="G9" s="372"/>
      <c r="H9" s="372"/>
      <c r="I9" s="372"/>
      <c r="J9" s="372"/>
      <c r="K9" s="372"/>
      <c r="L9" s="372"/>
    </row>
    <row r="10" spans="1:12" x14ac:dyDescent="0.25">
      <c r="A10" s="371"/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</row>
  </sheetData>
  <mergeCells count="9">
    <mergeCell ref="A10:L10"/>
    <mergeCell ref="A9:L9"/>
    <mergeCell ref="A4:L4"/>
    <mergeCell ref="A2:I2"/>
    <mergeCell ref="A3:L3"/>
    <mergeCell ref="A5:L5"/>
    <mergeCell ref="A6:L6"/>
    <mergeCell ref="A7:L7"/>
    <mergeCell ref="A8:L8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31</vt:i4>
      </vt:variant>
    </vt:vector>
  </HeadingPairs>
  <TitlesOfParts>
    <vt:vector size="31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Abr</vt:lpstr>
      <vt:lpstr>Abr_Debitos</vt:lpstr>
      <vt:lpstr>Abr_Creditos</vt:lpstr>
      <vt:lpstr>Abr_Efectivo</vt:lpstr>
      <vt:lpstr>Dic_Efectivo</vt:lpstr>
      <vt:lpstr>Dic_Debitos</vt:lpstr>
      <vt:lpstr>Dic_Creditos</vt:lpstr>
      <vt:lpstr>Impuestos 2022</vt:lpstr>
      <vt:lpstr>Impuestos 2023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Mensajes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2023-05-03T12:54:48Z</dcterms:modified>
</cp:coreProperties>
</file>