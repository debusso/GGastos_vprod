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prod\"/>
    </mc:Choice>
  </mc:AlternateContent>
  <xr:revisionPtr revIDLastSave="0" documentId="13_ncr:1_{63051603-60C7-4E31-836E-0EE73F434876}" xr6:coauthVersionLast="47" xr6:coauthVersionMax="47" xr10:uidLastSave="{00000000-0000-0000-0000-000000000000}"/>
  <bookViews>
    <workbookView xWindow="20370" yWindow="-120" windowWidth="29040" windowHeight="15720" tabRatio="737" activeTab="15" xr2:uid="{00000000-000D-0000-FFFF-FFFF00000000}"/>
  </bookViews>
  <sheets>
    <sheet name="Menu" sheetId="3" r:id="rId1"/>
    <sheet name="Ene" sheetId="79" state="hidden" r:id="rId2"/>
    <sheet name="Ene_Debitos" sheetId="80" state="hidden" r:id="rId3"/>
    <sheet name="Ene_Creditos" sheetId="81" state="hidden" r:id="rId4"/>
    <sheet name="Feb" sheetId="83" state="hidden" r:id="rId5"/>
    <sheet name="Feb_Debitos" sheetId="84" state="hidden" r:id="rId6"/>
    <sheet name="Feb_Creditos" sheetId="85" state="hidden" r:id="rId7"/>
    <sheet name="Feb_Efectivo" sheetId="86" state="hidden" r:id="rId8"/>
    <sheet name="Mar" sheetId="87" state="hidden" r:id="rId9"/>
    <sheet name="Mar_Debitos" sheetId="88" state="hidden" r:id="rId10"/>
    <sheet name="Mar_Creditos" sheetId="89" state="hidden" r:id="rId11"/>
    <sheet name="Mar_Efectivo" sheetId="90" state="hidden" r:id="rId12"/>
    <sheet name="Meses" sheetId="119" r:id="rId13"/>
    <sheet name="Abr" sheetId="114" state="hidden" r:id="rId14"/>
    <sheet name="Debitos" sheetId="115" r:id="rId15"/>
    <sheet name="Gastos_diarios" sheetId="122" r:id="rId16"/>
    <sheet name="Creditos" sheetId="116" r:id="rId17"/>
    <sheet name="Abr_Efectivo1" sheetId="94" state="hidden" r:id="rId18"/>
    <sheet name="Dic_Efectivo" sheetId="77" state="hidden" r:id="rId19"/>
    <sheet name="Dic_Debitos" sheetId="76" state="hidden" r:id="rId20"/>
    <sheet name="Dic_Creditos" sheetId="74" state="hidden" r:id="rId21"/>
    <sheet name="Ene_Efectivo" sheetId="82" state="hidden" r:id="rId22"/>
    <sheet name="Respuestas de formulario 1" sheetId="121" r:id="rId23"/>
    <sheet name="Totales" sheetId="120" r:id="rId24"/>
    <sheet name="Impuestos_2022" sheetId="4" r:id="rId25"/>
    <sheet name="Impuestos_2023" sheetId="78" r:id="rId26"/>
    <sheet name="Gastos" sheetId="5" r:id="rId27"/>
    <sheet name="Saldo_Mensual" sheetId="6" r:id="rId28"/>
    <sheet name="Prestamos" sheetId="7" r:id="rId29"/>
    <sheet name="Plazo Fijo" sheetId="8" r:id="rId30"/>
    <sheet name="CA Dolares" sheetId="9" r:id="rId31"/>
    <sheet name="CSeg Dolares" sheetId="10" r:id="rId32"/>
    <sheet name="Patrimonio" sheetId="11" r:id="rId33"/>
    <sheet name="Mensajes" sheetId="39" r:id="rId34"/>
    <sheet name="_xlwings.conf" sheetId="2" state="hidden" r:id="rId35"/>
  </sheets>
  <definedNames>
    <definedName name="DatosExternos_1" localSheetId="15" hidden="1">Gastos_diarios!$A$1:$H$68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1" i="9" l="1"/>
  <c r="H11" i="5"/>
  <c r="B11" i="5"/>
  <c r="C11" i="5"/>
  <c r="E11" i="5"/>
  <c r="E46" i="9"/>
  <c r="E47" i="9"/>
  <c r="E48" i="9"/>
  <c r="E49" i="9"/>
  <c r="E50" i="9"/>
  <c r="G55" i="116"/>
  <c r="G33" i="116"/>
  <c r="D11" i="5"/>
  <c r="E3" i="94"/>
  <c r="F3" i="94"/>
  <c r="G3" i="94"/>
  <c r="H3" i="94"/>
  <c r="D3" i="94"/>
  <c r="I3" i="94"/>
  <c r="F14" i="89"/>
  <c r="G13" i="89"/>
  <c r="G14" i="89"/>
  <c r="H14" i="89"/>
  <c r="F74" i="88"/>
  <c r="E14" i="89"/>
  <c r="G74" i="88"/>
  <c r="H74" i="88"/>
  <c r="I74" i="88"/>
  <c r="E74" i="88"/>
  <c r="J74" i="88"/>
  <c r="E3" i="90"/>
  <c r="F3" i="90"/>
  <c r="G3" i="90"/>
  <c r="H3" i="90"/>
  <c r="D3" i="90"/>
  <c r="I3" i="90"/>
  <c r="E23" i="8"/>
  <c r="F68" i="84"/>
  <c r="G68" i="84"/>
  <c r="H68" i="84"/>
  <c r="I68" i="84"/>
  <c r="E68" i="84"/>
  <c r="J68" i="84"/>
  <c r="F12" i="85"/>
  <c r="E12" i="85"/>
  <c r="G12" i="85"/>
  <c r="E5" i="86"/>
  <c r="F5" i="86"/>
  <c r="G5" i="86"/>
  <c r="H5" i="86"/>
  <c r="D5" i="86"/>
  <c r="I5" i="86"/>
  <c r="F17" i="81"/>
  <c r="F18" i="81"/>
  <c r="F60" i="80"/>
  <c r="G60" i="80"/>
  <c r="H60" i="80"/>
  <c r="I60" i="80"/>
  <c r="E60" i="80"/>
  <c r="J60" i="80"/>
  <c r="F12" i="81"/>
  <c r="E12" i="81"/>
  <c r="G11" i="81"/>
  <c r="G12" i="81"/>
  <c r="E3" i="82"/>
  <c r="F3" i="82"/>
  <c r="G3" i="82"/>
  <c r="H3" i="82"/>
  <c r="D3" i="82"/>
  <c r="I3" i="82"/>
  <c r="E13" i="10"/>
  <c r="E14" i="10"/>
  <c r="E15" i="10"/>
  <c r="H3" i="77"/>
  <c r="G3" i="77"/>
  <c r="F3" i="77"/>
  <c r="E3" i="77"/>
  <c r="D3" i="77"/>
  <c r="J79" i="76"/>
  <c r="I79" i="76"/>
  <c r="H79" i="76"/>
  <c r="G79" i="76"/>
  <c r="F79" i="76"/>
  <c r="E79" i="76"/>
  <c r="H11" i="74"/>
  <c r="E22" i="8"/>
  <c r="F8" i="74"/>
  <c r="G7" i="74"/>
  <c r="G8" i="74"/>
  <c r="E8" i="74"/>
  <c r="E21" i="8"/>
  <c r="E20" i="8"/>
  <c r="E36" i="9"/>
  <c r="E37" i="9"/>
  <c r="E38" i="9"/>
  <c r="E39" i="9"/>
  <c r="E40" i="9"/>
  <c r="E41" i="9"/>
  <c r="E42" i="9"/>
  <c r="E43" i="9"/>
  <c r="E44" i="9"/>
  <c r="G17" i="4"/>
  <c r="H17" i="4"/>
  <c r="I17" i="4"/>
  <c r="J17" i="4"/>
  <c r="K17" i="4"/>
  <c r="L17" i="4"/>
  <c r="M17" i="4"/>
  <c r="N17" i="4"/>
  <c r="O17" i="4"/>
  <c r="P17" i="4"/>
  <c r="Q17" i="4"/>
  <c r="F10" i="4"/>
  <c r="F11" i="4"/>
  <c r="F12" i="4"/>
  <c r="F17" i="4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G11" i="5"/>
  <c r="F1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48AA0F-4F62-4574-B151-3637E1B96CAC}" keepAlive="1" name="Consulta - Respuestas de formulario 1" description="Conexión a la consulta 'Respuestas de formulario 1' en el libro." type="5" refreshedVersion="8" background="1" saveData="1">
    <dbPr connection="Provider=Microsoft.Mashup.OleDb.1;Data Source=$Workbook$;Location=&quot;Respuestas de formulario 1&quot;;Extended Properties=&quot;&quot;" command="SELECT * FROM [Respuestas de formulario 1]"/>
  </connection>
</connections>
</file>

<file path=xl/sharedStrings.xml><?xml version="1.0" encoding="utf-8"?>
<sst xmlns="http://schemas.openxmlformats.org/spreadsheetml/2006/main" count="4412" uniqueCount="633">
  <si>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</si>
  <si>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</si>
  <si>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</si>
  <si>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</si>
  <si>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</si>
  <si>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</si>
  <si>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</si>
  <si>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</si>
  <si>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</si>
  <si>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</si>
  <si>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</si>
  <si>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</si>
  <si>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</si>
  <si>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</si>
  <si>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</si>
  <si>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</si>
  <si>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</si>
  <si>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</si>
  <si>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</si>
  <si>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</si>
  <si>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</si>
  <si>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</si>
  <si>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</si>
  <si>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</si>
  <si>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</si>
  <si>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</si>
  <si>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</si>
  <si>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</si>
  <si>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</si>
  <si>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</si>
  <si>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</si>
  <si>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</si>
  <si>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</si>
  <si>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</si>
  <si>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</si>
  <si>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</si>
  <si>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</si>
  <si>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</si>
  <si>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</si>
  <si>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</si>
  <si>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</si>
  <si>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</si>
  <si>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</si>
  <si>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</si>
  <si>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</si>
  <si>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</si>
  <si>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</si>
  <si>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</si>
  <si>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</si>
  <si>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</si>
  <si>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</si>
  <si>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</si>
  <si>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</si>
  <si>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</si>
  <si>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</si>
  <si>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</si>
  <si>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</si>
  <si>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</si>
  <si>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</si>
  <si>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</si>
  <si>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</si>
  <si>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</si>
  <si>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</si>
  <si>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</si>
  <si>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</si>
  <si>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</si>
  <si>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</si>
  <si>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</si>
  <si>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</si>
  <si>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</si>
  <si>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</si>
  <si>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</si>
  <si>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</si>
  <si>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</si>
  <si>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</si>
  <si>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</si>
  <si>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</si>
  <si>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</si>
  <si>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</si>
  <si>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</si>
  <si>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</si>
  <si>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</si>
  <si>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</si>
  <si>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</si>
  <si>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</si>
  <si>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</si>
  <si>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</si>
  <si>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</si>
  <si>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</si>
  <si>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</si>
  <si>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</si>
  <si>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</si>
  <si>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</si>
  <si>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</si>
  <si>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</si>
  <si>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</si>
  <si>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</si>
  <si>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</si>
  <si>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</si>
  <si>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</si>
  <si>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</si>
  <si>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</si>
  <si>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</si>
  <si>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</si>
  <si>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</si>
  <si>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</si>
  <si>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</si>
  <si>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</si>
  <si>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</si>
  <si>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</si>
  <si>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</si>
  <si>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</si>
  <si>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</si>
  <si>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</si>
  <si>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</si>
  <si>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</si>
  <si>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</si>
  <si>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</si>
  <si>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</si>
  <si>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</si>
  <si>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</si>
  <si>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</si>
  <si>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</si>
  <si>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</si>
  <si>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</si>
  <si>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</si>
  <si>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</si>
  <si>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</si>
  <si>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</si>
  <si>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</si>
  <si>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</si>
  <si>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</si>
  <si>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</si>
  <si>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</si>
  <si>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</si>
  <si>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</si>
  <si>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</si>
  <si>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</si>
  <si>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</si>
  <si>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</si>
  <si>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</si>
  <si>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</si>
  <si>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</si>
  <si>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</si>
  <si>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</si>
  <si>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</si>
  <si>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</si>
  <si>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</si>
  <si>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</si>
  <si>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</si>
  <si>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</si>
  <si>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</si>
  <si>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</si>
  <si>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</si>
  <si>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</si>
  <si>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</si>
  <si>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</si>
  <si>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</si>
  <si>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</si>
  <si>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</si>
  <si>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</si>
  <si>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</si>
  <si>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</si>
  <si>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</si>
  <si>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</si>
  <si>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</si>
  <si>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</si>
  <si>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</si>
  <si>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</si>
  <si>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</si>
  <si>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</si>
  <si>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</si>
  <si>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</si>
  <si>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</si>
  <si>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</si>
  <si>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</si>
  <si>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</si>
  <si>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</si>
  <si>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</si>
  <si>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</si>
  <si>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</si>
  <si>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</si>
  <si>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</si>
  <si>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</si>
  <si>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</si>
  <si>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</si>
  <si>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</si>
  <si>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</si>
  <si>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</si>
  <si>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</si>
  <si>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</si>
  <si>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</si>
  <si>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</si>
  <si>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</si>
  <si>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</si>
  <si>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</si>
  <si>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</si>
  <si>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</si>
  <si>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</si>
  <si>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</si>
  <si>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</si>
  <si>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</si>
  <si>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</si>
  <si>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</si>
  <si>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</si>
  <si>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</si>
  <si>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</si>
  <si>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</si>
  <si>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</si>
  <si>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</si>
  <si>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</si>
  <si>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Compras Maestro POSNet</t>
  </si>
  <si>
    <t>CLEMENTE FULL SHOP</t>
  </si>
  <si>
    <t>DELICIUS</t>
  </si>
  <si>
    <t>Mantenimiento mundo Bancor</t>
  </si>
  <si>
    <t>IVA sobre comisión</t>
  </si>
  <si>
    <t>CARNES URCA SAS</t>
  </si>
  <si>
    <t>TRANSF.HB.EXENTO</t>
  </si>
  <si>
    <t>PAGO PEI- EXENTO</t>
  </si>
  <si>
    <t>ELECTROALEM</t>
  </si>
  <si>
    <t>DE PLANO REPUESTOS</t>
  </si>
  <si>
    <t>Crédito Transferencia Cajero / HomeBanking</t>
  </si>
  <si>
    <t>Débito automatico recibido Camara</t>
  </si>
  <si>
    <t>TARJNARANJA2</t>
  </si>
  <si>
    <t>Pago de resumen desde Cajero / HomeBanking</t>
  </si>
  <si>
    <t>VISA EN PESOS-************7541</t>
  </si>
  <si>
    <t>Acreditación de Haberes TA</t>
  </si>
  <si>
    <t>EPEC - HABERES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</si>
  <si>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</si>
  <si>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</si>
  <si>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</si>
  <si>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</si>
  <si>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</si>
  <si>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</si>
  <si>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</si>
  <si>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</si>
  <si>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</si>
  <si>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</si>
  <si>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</si>
  <si>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</si>
  <si>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</si>
  <si>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23208706454-NAVAS, MARIA GABRIELA-VAR</t>
  </si>
  <si>
    <t>PANIFICADORA PUGLIESE</t>
  </si>
  <si>
    <t>Credito por pago de plazo fijo</t>
  </si>
  <si>
    <t>DEBIN</t>
  </si>
  <si>
    <t>LA GRUTA</t>
  </si>
  <si>
    <t>CERROPLAST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</si>
  <si>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</si>
  <si>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</si>
  <si>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</si>
  <si>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</si>
  <si>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TAREAS</t>
  </si>
  <si>
    <t>20268790099-AQUINO, JUAN MANUEL JORGE-VAR</t>
  </si>
  <si>
    <t>Descontar Impuestos del monto de Tarjetas</t>
  </si>
  <si>
    <t>Total :</t>
  </si>
  <si>
    <t>01/04/2022</t>
  </si>
  <si>
    <t>Extracción en efectivo propia Sucursal</t>
  </si>
  <si>
    <t>27396891781-BUSSO/MARIA FLORENCIA-VAR</t>
  </si>
  <si>
    <t>Débito por plazo fijo LINK</t>
  </si>
  <si>
    <t xml:space="preserve">Arreglar Menu segun video de youtube.  </t>
  </si>
  <si>
    <t>Subir el resumen tarjeta naranja.</t>
  </si>
  <si>
    <t>Subir el resumen tarjeta VISA ???</t>
  </si>
  <si>
    <t>Subir Movimientos CA dolares BANCOR</t>
  </si>
  <si>
    <t>404591</t>
  </si>
  <si>
    <t>Intrans. Precancelable UVA Com A 6871</t>
  </si>
  <si>
    <t>Compre 100 dolares a Florencia</t>
  </si>
  <si>
    <t>Compre 100 dolares para mi</t>
  </si>
  <si>
    <t>MERCADOPAGO *NATYVOS</t>
  </si>
  <si>
    <t>ALEJANDRO EL GRANDE</t>
  </si>
  <si>
    <t>PANADERIA Y CONFITERIA</t>
  </si>
  <si>
    <t>27396891781-BUSSO MARIA FLORENCIA-VAR</t>
  </si>
  <si>
    <t>Compre 100 dolares para Constanza</t>
  </si>
  <si>
    <t>U$S 200.000</t>
  </si>
  <si>
    <t>TODO REPUESTOS</t>
  </si>
  <si>
    <t>Compre 200 dolares ahorro</t>
  </si>
  <si>
    <t>MERCADOPAGO *HIDROBOS</t>
  </si>
  <si>
    <t xml:space="preserve"> RAPIPAGO  / PCT 000000000945</t>
  </si>
  <si>
    <t>434013</t>
  </si>
  <si>
    <t>MUNDOPOLLO</t>
  </si>
  <si>
    <t>20406840043-Francisco David Busso-VAR</t>
  </si>
  <si>
    <t>Impuestos debitados en la Tarjeta Naranja</t>
  </si>
  <si>
    <t>CLAUDE</t>
  </si>
  <si>
    <t>20256108586-GARCIA, ALEJANDRO JAVIER-HON</t>
  </si>
  <si>
    <t>Suma de Gastos</t>
  </si>
  <si>
    <t>6900447410</t>
  </si>
  <si>
    <t>DPTO MARISA EMILIO LAMARCA 4316</t>
  </si>
  <si>
    <t>DE PLANO</t>
  </si>
  <si>
    <t>PLAYA TUCUMAN</t>
  </si>
  <si>
    <t>TRADICIONAL CASA ARAB</t>
  </si>
  <si>
    <t>SAN PABLO</t>
  </si>
  <si>
    <t>EL VERGEL</t>
  </si>
  <si>
    <t>LUCIA VILLAMORO</t>
  </si>
  <si>
    <t>MERCADOPAGO *KIOSCOKR</t>
  </si>
  <si>
    <t>VISUALIZAR</t>
  </si>
  <si>
    <t>MERCADOPAGO *ZONAOEST</t>
  </si>
  <si>
    <t>PIZZA ALLA PALA</t>
  </si>
  <si>
    <t>GRIDO URCA</t>
  </si>
  <si>
    <t>MERPAGO*VETPLANET</t>
  </si>
  <si>
    <t>MERPAGO*VERDELIMON</t>
  </si>
  <si>
    <t>20242813503-CENTENO/FERNANDO JOSE-ALQvarios</t>
  </si>
  <si>
    <t>27421070356-MILAGROS,MAUBECIN MOLINA-VAR</t>
  </si>
  <si>
    <t>RODRIGUEZ DEL BUSTO 4086 FINANDINO CIA FIN     AL</t>
  </si>
  <si>
    <t>23276551159-LASTRA AGUSTIN-VAR</t>
  </si>
  <si>
    <t>27135959974-NICOLAS MARIA CLAUDIA-VAR</t>
  </si>
  <si>
    <t>30543740876-ASOCIACION CIVIL UCSE-HON</t>
  </si>
  <si>
    <t>27413489879-SOSA MOLINA CECILIA ANTONELLA-VAR</t>
  </si>
  <si>
    <t>20261781108-PEROTTI JUAN CARLOS-VAR</t>
  </si>
  <si>
    <t>30582623798-COLEGIO UNIVERSITARIO DE PERIODISMO-HON</t>
  </si>
  <si>
    <t>23276551159-LASTRA AGUSTIN-FAC</t>
  </si>
  <si>
    <t>Alquiler Chalet Walden</t>
  </si>
  <si>
    <t>6900452624</t>
  </si>
  <si>
    <t>Compra Departamento en Emilio Lamarca 4316</t>
  </si>
  <si>
    <t>Departamento Emilio Lamarca 4316</t>
  </si>
  <si>
    <t>U$S 85.000</t>
  </si>
  <si>
    <t>Valor de compra del Departamento escriturado con Escribano Alejandro Tucci Garcia 6/12/2022</t>
  </si>
  <si>
    <t xml:space="preserve">Regalo Niño Dios </t>
  </si>
  <si>
    <t>Sueldo Aniversario</t>
  </si>
  <si>
    <t>GASTOS   2023</t>
  </si>
  <si>
    <t xml:space="preserve">Comision Mirco Hermida 3 % de 85000. </t>
  </si>
  <si>
    <t>EL Saldo en Caja de Seguridad al 6/12/22 es 20700 dolares.</t>
  </si>
  <si>
    <t>Periodo  a contabilizar :</t>
  </si>
  <si>
    <t>IMPUESTOS  2023 ( Esta Planilla es en realidad una Planilla de seguimiento)</t>
  </si>
  <si>
    <t>INGRESOS VS CONSUMOS 2023</t>
  </si>
  <si>
    <t>Monto</t>
  </si>
  <si>
    <t>NroComprobante</t>
  </si>
  <si>
    <t>CREDIN - TRANSFERENCIA GRAVADO SIRCREB</t>
  </si>
  <si>
    <t>20352910857-Ivan Maximiliano Lezcano-VAR</t>
  </si>
  <si>
    <t>Compra Cash Back PosNet en Comercio</t>
  </si>
  <si>
    <t>LIBERTAD SA</t>
  </si>
  <si>
    <t>MERPAGO*ELCATA</t>
  </si>
  <si>
    <t>MERPAGO*MIGRANJITA</t>
  </si>
  <si>
    <t>CONSTRULUZ</t>
  </si>
  <si>
    <t>MERPAGO*EAC</t>
  </si>
  <si>
    <t>RISSEN</t>
  </si>
  <si>
    <t>MERPAGO*KRATOS</t>
  </si>
  <si>
    <t>FARMACIA DE LA CLINICA</t>
  </si>
  <si>
    <t>MERPAGO*FERRETERAJUST</t>
  </si>
  <si>
    <t>PANADERIA JOANA</t>
  </si>
  <si>
    <t>GRIDO</t>
  </si>
  <si>
    <t>MERPAGO*CONTRUCCION</t>
  </si>
  <si>
    <t>MERPAGO*FERRE2M</t>
  </si>
  <si>
    <t>FERRELAS</t>
  </si>
  <si>
    <t>COOP DE LUZ Y FZA LTDA</t>
  </si>
  <si>
    <t>ACUARAMA</t>
  </si>
  <si>
    <t>MERPAGO*LAPATAESMIA</t>
  </si>
  <si>
    <t>FERRETERIA CERRO</t>
  </si>
  <si>
    <t>MERPAGO*QUELOMITOVGB</t>
  </si>
  <si>
    <t>GETNET *JOANA</t>
  </si>
  <si>
    <t>MERCADOPAGO*ELCATA</t>
  </si>
  <si>
    <t>CONFITERIA EL CIERVO R</t>
  </si>
  <si>
    <t>DSA FCIA CRISTAL</t>
  </si>
  <si>
    <t>COMUN. VA. CIUDAD PARQ</t>
  </si>
  <si>
    <t>MIL SABORES</t>
  </si>
  <si>
    <t>MERPAGO*LOSFIORETTI</t>
  </si>
  <si>
    <t>MERPAGO*FERRETERIAROQ</t>
  </si>
  <si>
    <t>LUGONES REPUESTOS</t>
  </si>
  <si>
    <t>20242813503-CENTENO/FERNANDO JOSE-VARvarios</t>
  </si>
  <si>
    <t>27364047520-ROCIO/MARIEL CATANIA-VAR</t>
  </si>
  <si>
    <t>TRANSF.  CREDITO HB -EXENTO</t>
  </si>
  <si>
    <t>27035534771-ANTHONIOZ, YOLANDA ELO-VAR</t>
  </si>
  <si>
    <t>TRANSF.CRED. IB PLAN INTER./PLUS PAGO PROVEED.</t>
  </si>
  <si>
    <t>30711367434 FRAGUEIRO Y NOVI</t>
  </si>
  <si>
    <t>27423847218-BUSSO, CONSTANZA CAROLINA-VAR</t>
  </si>
  <si>
    <t>23129889209-KRELL JORGE LEONARDO-VAR</t>
  </si>
  <si>
    <t>051701600600000/6</t>
  </si>
  <si>
    <t>051704000700001/6</t>
  </si>
  <si>
    <t>SHELL ALCANO</t>
  </si>
  <si>
    <t>ELECTRONICA ARGENTINA</t>
  </si>
  <si>
    <t>MERPAGO*KOSTURITAS</t>
  </si>
  <si>
    <t>MERPAGO*DEOLINDA</t>
  </si>
  <si>
    <t>MERPAGO*HIDROBOSS</t>
  </si>
  <si>
    <t>PINTURERIA CERRO</t>
  </si>
  <si>
    <t>CASA DE PEDRO</t>
  </si>
  <si>
    <t>ESSO SERV MEDIAR</t>
  </si>
  <si>
    <t>POSITANO RESTOBAR</t>
  </si>
  <si>
    <t>27396891781-BUSSO/MARIA FLORENCIA-VARAporte casa</t>
  </si>
  <si>
    <t>Extracción ATM propio banco</t>
  </si>
  <si>
    <t>AV. RAFAEL NUNEZ 3706 BCO. PROV. DE CORDOBA C.D.L</t>
  </si>
  <si>
    <t>AV. CARDENOSA 3250 BCO. PROV. DE CORDOBA CORDOBA</t>
  </si>
  <si>
    <t>AV. MITRE 353 BCO. PROV. DE CORDOBA CORDOBA</t>
  </si>
  <si>
    <t>33628302729-FUERZA AEREA ARGENTINA-CUO</t>
  </si>
  <si>
    <t>20223739432-EHLERS, CLAUDIO ALEJANDRO-FAC</t>
  </si>
  <si>
    <t>20119485194-REY CARLOS OMAR-VAR</t>
  </si>
  <si>
    <t>23376271099-PEDRAZA IGNACIO BERNABE-VAR</t>
  </si>
  <si>
    <t>Suma de todos los gastos</t>
  </si>
  <si>
    <t>Dpto. Emilio Lamarca 4316</t>
  </si>
  <si>
    <t>Impuesto Muni Inmobiliario</t>
  </si>
  <si>
    <t xml:space="preserve">Impuesto Rentas Cuota 1 </t>
  </si>
  <si>
    <t>6900470297</t>
  </si>
  <si>
    <t>MERPAGO*FERRETADAMOLI</t>
  </si>
  <si>
    <t>MERPAGO*FERRETERIAFEB</t>
  </si>
  <si>
    <t>LUBRICANTES Y SERVICIO</t>
  </si>
  <si>
    <t>MERPAGO*CITYPARK</t>
  </si>
  <si>
    <t>MERPAGO*MOSCATEL</t>
  </si>
  <si>
    <t>SYS DISTRIBUIDORA</t>
  </si>
  <si>
    <t>LA MERCERIA</t>
  </si>
  <si>
    <t>LA CELESTE</t>
  </si>
  <si>
    <t>MERPAGO*LATRADICION</t>
  </si>
  <si>
    <t>MERPAGO*NATYVOS</t>
  </si>
  <si>
    <t>PINTURERIAS REX</t>
  </si>
  <si>
    <t>SERVICIOS SAN NICOLAS</t>
  </si>
  <si>
    <t>LA FABRICA</t>
  </si>
  <si>
    <t>PLAYA PALERMO</t>
  </si>
  <si>
    <t>BAZZAR</t>
  </si>
  <si>
    <t>BOCATTO</t>
  </si>
  <si>
    <t>20227745607-PEIROTTI/CARLOS FER-VARpago nic</t>
  </si>
  <si>
    <t>20144012764-antonio jose lucantis-VAR</t>
  </si>
  <si>
    <t>AV. RAFAEL NUNEZ 3918 BCO. PROV. DE CORDOBA CORDO</t>
  </si>
  <si>
    <t>BARTOLOMÉ MITRE 353 BCO. PROV. DE CORDOBA CORDOBA</t>
  </si>
  <si>
    <t>Extracción en efectivo InterSucursal</t>
  </si>
  <si>
    <t>33582498739-DAYPLAS SA-VAR</t>
  </si>
  <si>
    <t>27271723402-ESQUENAZI CLAUDIA-CUO</t>
  </si>
  <si>
    <t>20111929530-CEBALLOS MARIO AUGUSTO-HON</t>
  </si>
  <si>
    <t>27396222235-AZAR MOIRA CAROLINA-VAR</t>
  </si>
  <si>
    <t>Transferencia Crédito OPJ mismo Banco</t>
  </si>
  <si>
    <t>NRO.EXP. 0653637000</t>
  </si>
  <si>
    <t>Columna2</t>
  </si>
  <si>
    <t>6900484180</t>
  </si>
  <si>
    <t>Compramos 1500 dolares a 475 pesos = 712500 pesos</t>
  </si>
  <si>
    <t>Comida / Vestido</t>
  </si>
  <si>
    <t>Transporte / Mecanica</t>
  </si>
  <si>
    <t>Construccion / Mantenimiento</t>
  </si>
  <si>
    <t>Entretenimiento / Vacaciones / Viajes</t>
  </si>
  <si>
    <t>TOTAL</t>
  </si>
  <si>
    <t>TOTAL GASTOS</t>
  </si>
  <si>
    <t>NATYVOSBIOALMACEN</t>
  </si>
  <si>
    <t>De a Deveras</t>
  </si>
  <si>
    <t>ABASTO SOLUCIONES</t>
  </si>
  <si>
    <t>MERPAGO*LACHURRERIA</t>
  </si>
  <si>
    <t>BASICOS DECORACION</t>
  </si>
  <si>
    <t>MV HERRAJES</t>
  </si>
  <si>
    <t>PINTE CORD</t>
  </si>
  <si>
    <t>PINTURERIA SZUMIK</t>
  </si>
  <si>
    <t>ALMACEN FERRETERO</t>
  </si>
  <si>
    <t>ANDREA FRANCESCHINI</t>
  </si>
  <si>
    <t>Débito DEBIN</t>
  </si>
  <si>
    <t>30703088534-MERCADOLIBRE SRL-VAR</t>
  </si>
  <si>
    <t>REINTEGRO CARNICERIAS MINORISTAS</t>
  </si>
  <si>
    <t>Compra -Carniceria- por -          2.630,00</t>
  </si>
  <si>
    <t>Compra -Carniceria- por -            350,00</t>
  </si>
  <si>
    <t>Compra -Carniceria- por -            900,00</t>
  </si>
  <si>
    <t>Compra -Carniceria- por -            940,00</t>
  </si>
  <si>
    <t>Compra -Carniceria- por -          5.320,00</t>
  </si>
  <si>
    <t>Compra -Carniceria- por -          3.539,00</t>
  </si>
  <si>
    <t>Compra -Carniceria- por -          3.263,90</t>
  </si>
  <si>
    <t>Compra -Carniceria- por -          3.044,25</t>
  </si>
  <si>
    <t>Compra -Carniceria- por -          2.926,00</t>
  </si>
  <si>
    <t>Compra -Carniceria- por -            950,00</t>
  </si>
  <si>
    <t>Compra -Carniceria- por -          1.850,00</t>
  </si>
  <si>
    <t>Compra -Carniceria- por -          2.040,00</t>
  </si>
  <si>
    <t>27275406606-PUSSETTO  VANESA-HON</t>
  </si>
  <si>
    <t>20179097622-VOTA, GUSTAVO JAVIER-VAR</t>
  </si>
  <si>
    <t>30646951239-ASOC DEL PERSONAL SUPERIOR DE EPEC(APSE)-VAR</t>
  </si>
  <si>
    <t>20207854760-OYOLA, PABLO DANTE-VAR</t>
  </si>
  <si>
    <t>30707692711-SOCIEDAD DE MISIONEROS DIOCESANOS SAN JU-CUO</t>
  </si>
  <si>
    <t>20111929530-CEBALLOS MARIO AUGUSTO-VAR</t>
  </si>
  <si>
    <t>Impuestos debitados en Tarjeta Naranja</t>
  </si>
  <si>
    <t>Descontar Impuestos de la Tarjeta</t>
  </si>
  <si>
    <t>Medio de Pago</t>
  </si>
  <si>
    <t>Efectivo</t>
  </si>
  <si>
    <t>Detalles</t>
  </si>
  <si>
    <t>MMAAAA</t>
  </si>
  <si>
    <t>Cantina Epec</t>
  </si>
  <si>
    <t>Criollitos</t>
  </si>
  <si>
    <t>FERRETERIA LAMARCA</t>
  </si>
  <si>
    <t>MERCADOPAGO*ROYAL</t>
  </si>
  <si>
    <t>MERPAGO*APESARDETODO</t>
  </si>
  <si>
    <t>LA BANDEROLA ABERTURAS</t>
  </si>
  <si>
    <t>MERPAGO*VERFULERIA</t>
  </si>
  <si>
    <t>RUCA QUIMEY</t>
  </si>
  <si>
    <t>FERRETERIA RISTAGNO</t>
  </si>
  <si>
    <t>SANITARIOS BEDOYA</t>
  </si>
  <si>
    <t>MERPAGO*FERRETERIAHIP</t>
  </si>
  <si>
    <t>CASA ROMERO</t>
  </si>
  <si>
    <t>MERPAGO*LEZCANO</t>
  </si>
  <si>
    <t>MERCADOPAGO*NATURALFRU</t>
  </si>
  <si>
    <t>23338935439-ZURCHER MAURICIO EZEQUIEL-VAR</t>
  </si>
  <si>
    <t>20175349813-BUSSO, DANIEL EDUARDO-VAR</t>
  </si>
  <si>
    <t>Débito operación de cambio ME Plat. digital</t>
  </si>
  <si>
    <t>IMPUESTO P.A.I.S.</t>
  </si>
  <si>
    <t>PERCEP GAN. TENENCIA RG 4815/20 - RESTO</t>
  </si>
  <si>
    <t>TRANSF.  CREDITO HB - GRAVADO SIRCREB</t>
  </si>
  <si>
    <t>27423847218-BUSSO, CONSTANZA CAROL-VAR</t>
  </si>
  <si>
    <t>27035534771-ANTHONIOZ, YOLANDA ELO-CUO</t>
  </si>
  <si>
    <t>20085381777-BRADASCHIA,ITALO BENIT-VAR</t>
  </si>
  <si>
    <t>20406840043-BUSSO, DAVID FRANCISCO-VAR</t>
  </si>
  <si>
    <t>27297165955-VILCHEZ MARIA FLORENCIA-HON</t>
  </si>
  <si>
    <t>27103788469-TRINCHERI, ANA MARIA-VAR</t>
  </si>
  <si>
    <t>Cortinas Broderie</t>
  </si>
  <si>
    <t>Carpintero</t>
  </si>
  <si>
    <t>Albañil Cesar Sayez</t>
  </si>
  <si>
    <t>Gasista</t>
  </si>
  <si>
    <t>Puerta nueva</t>
  </si>
  <si>
    <t>Compra 200 dolares</t>
  </si>
  <si>
    <t>Postre</t>
  </si>
  <si>
    <t>Gastos_efe</t>
  </si>
  <si>
    <t>Tarjetas_efe</t>
  </si>
  <si>
    <t>Impuestos_efe</t>
  </si>
  <si>
    <t>Inversiones_acred</t>
  </si>
  <si>
    <t>Extras_efe</t>
  </si>
  <si>
    <t xml:space="preserve">Total: </t>
  </si>
  <si>
    <t xml:space="preserve">Suma de Columnas: </t>
  </si>
  <si>
    <t>Ayudas Economicas / Donaciones / Varios</t>
  </si>
  <si>
    <t>REMESA DAVID</t>
  </si>
  <si>
    <t>Hotel Portal del Lago</t>
  </si>
  <si>
    <t>Restaurant Portal del Lago</t>
  </si>
  <si>
    <t>Restaurant Villa Paz</t>
  </si>
  <si>
    <t>Alfajores La Quinta</t>
  </si>
  <si>
    <t>Panaderia El Vergel</t>
  </si>
  <si>
    <t>Salud / Farmacia</t>
  </si>
  <si>
    <t>Farmacia CRISTAL</t>
  </si>
  <si>
    <t>PEAJES CORDOBA</t>
  </si>
  <si>
    <t>Peajes</t>
  </si>
  <si>
    <t>Deposite 300 dolares (los saque de la caja de ahorros en dolares de Banco de cba)</t>
  </si>
  <si>
    <t>Sumar automaticamente los impuestos Naranja. ????</t>
  </si>
  <si>
    <t>Compra DOLAR OFICIAL Plataforma BANCON</t>
  </si>
  <si>
    <t>Pago de Resumen de Tarjetas</t>
  </si>
  <si>
    <t>NARANJA</t>
  </si>
  <si>
    <t>VISA HIPOTECARIO</t>
  </si>
  <si>
    <t>Pago del Resumen de VISA Hipotecario</t>
  </si>
  <si>
    <t>COOPERATIVA  VGBELGRANO - ENERGIA y CABLE</t>
  </si>
  <si>
    <t xml:space="preserve">VISA NARANJA </t>
  </si>
  <si>
    <t>COMUNA VCPARQUE SERVICIO DE AGUA</t>
  </si>
  <si>
    <t>VISA NARANJA</t>
  </si>
  <si>
    <t>VENTA CALLE EPEC</t>
  </si>
  <si>
    <t>Salame y Quezo señor en calle Tablada Epec</t>
  </si>
  <si>
    <t>Parking</t>
  </si>
  <si>
    <t xml:space="preserve">Estacionamiento psiquiatra Florencia </t>
  </si>
  <si>
    <t>Servicios</t>
  </si>
  <si>
    <t>Comuna de Villa Ciudad Parque</t>
  </si>
  <si>
    <t>Inversion</t>
  </si>
  <si>
    <t>Compra de 200 dolares</t>
  </si>
  <si>
    <t>Bulonera</t>
  </si>
  <si>
    <t>Círculo casa javier</t>
  </si>
  <si>
    <t>BULONERA</t>
  </si>
  <si>
    <t>Electricidad</t>
  </si>
  <si>
    <t>Cortinas Casa Lamarca</t>
  </si>
  <si>
    <t>Playa en Pabellon Argentina</t>
  </si>
  <si>
    <t>Restaurant ITALY</t>
  </si>
  <si>
    <t>SHELL ALCANO SDA FAMILIA</t>
  </si>
  <si>
    <t xml:space="preserve">Cantina Epec </t>
  </si>
  <si>
    <t>Vidriería Sucre</t>
  </si>
  <si>
    <t>Boutiques Paraguay 320</t>
  </si>
  <si>
    <t xml:space="preserve">Peajes </t>
  </si>
  <si>
    <t>La gruta</t>
  </si>
  <si>
    <t xml:space="preserve">GNC falda del Carmen </t>
  </si>
  <si>
    <t xml:space="preserve">Pugliese </t>
  </si>
  <si>
    <t>MERPAGO*EQUUS</t>
  </si>
  <si>
    <t>FERRETERIA TRONCA</t>
  </si>
  <si>
    <t>SUCRE VIDRIOS</t>
  </si>
  <si>
    <t>PedidosYa</t>
  </si>
  <si>
    <t>VIVERO LA NONA</t>
  </si>
  <si>
    <t>IMPRENTA MARIELA</t>
  </si>
  <si>
    <t>LA FAMILIA</t>
  </si>
  <si>
    <t>MERPAGO*GOURMETSANDWI</t>
  </si>
  <si>
    <t>Locación Caja de Seguridad</t>
  </si>
  <si>
    <t>Compra -Carniceria- por -          6.456,95</t>
  </si>
  <si>
    <t>Compra -Carniceria- por -          4.707,33</t>
  </si>
  <si>
    <t>Compra -Carniceria- por -          4.446,20</t>
  </si>
  <si>
    <t>Compra -Carniceria- por -          4.000,00</t>
  </si>
  <si>
    <t>Compra -Carniceria- por -          3.847,76</t>
  </si>
  <si>
    <t>Compra -Carniceria- por -          5.785,16</t>
  </si>
  <si>
    <t>Compra -Carniceria- por -          2.300,00</t>
  </si>
  <si>
    <t>Compra -Carniceria- por -          2.550,00</t>
  </si>
  <si>
    <t>Compra -Carniceria- por -          3.166,10</t>
  </si>
  <si>
    <t>Compra -Carniceria- por -          4.270,00</t>
  </si>
  <si>
    <t>Compra -Carniceria- por -          4.481,43</t>
  </si>
  <si>
    <t>30668681766-COMUNA DE VILLA CIUDAD PARQUE LOS REARTE-FAC</t>
  </si>
  <si>
    <t>Compra de 200 dolares oficial Plataforma BANCON</t>
  </si>
  <si>
    <t xml:space="preserve">Interes mensual </t>
  </si>
  <si>
    <t>Salame y queso Epec</t>
  </si>
  <si>
    <t xml:space="preserve">Círculo San Antonio de Padua </t>
  </si>
  <si>
    <t>Morocho heroe</t>
  </si>
  <si>
    <t>Peluquería Don Yovino</t>
  </si>
  <si>
    <t>Áxion nafta super</t>
  </si>
  <si>
    <t>Polidori pastas</t>
  </si>
  <si>
    <t>Abuelo fuego</t>
  </si>
  <si>
    <t>Taller Trabuco Oblea</t>
  </si>
  <si>
    <t>Ferretería Lamarca</t>
  </si>
  <si>
    <t xml:space="preserve">Verdulería villa ciudad parque </t>
  </si>
  <si>
    <t>Peaje</t>
  </si>
  <si>
    <t xml:space="preserve">Panadería alta gracia </t>
  </si>
  <si>
    <t xml:space="preserve">GNC alta gracia </t>
  </si>
  <si>
    <t xml:space="preserve">El cata ciudad parque </t>
  </si>
  <si>
    <t xml:space="preserve">Ferretería ciudad parque </t>
  </si>
  <si>
    <t>Ayudas Economicas / Donaciones</t>
  </si>
  <si>
    <t xml:space="preserve">Iglesia </t>
  </si>
  <si>
    <t xml:space="preserve">Naranjita </t>
  </si>
  <si>
    <t>Tadicor</t>
  </si>
  <si>
    <t xml:space="preserve">Varios </t>
  </si>
  <si>
    <t>072023</t>
  </si>
  <si>
    <t>CANCELACION ADELANTO DE HABERES</t>
  </si>
  <si>
    <t>MERPAGO*GROPIUS</t>
  </si>
  <si>
    <t>ABUELO FUEGO</t>
  </si>
  <si>
    <t>REPUESTOS GOMEZ</t>
  </si>
  <si>
    <t>TRABUCCO CARLOS FRANCO</t>
  </si>
  <si>
    <t>TRAZO DE COLORES</t>
  </si>
  <si>
    <t>PORTONES EHLERS</t>
  </si>
  <si>
    <t>MERPAGO*NATURALFRUIT</t>
  </si>
  <si>
    <t>MERPAGO*HERIBERTAPOLL</t>
  </si>
  <si>
    <t>MERCADOPAGO*MERCADOLIB</t>
  </si>
  <si>
    <t>MERPAGO*GRIDOURCA</t>
  </si>
  <si>
    <t>20407715404-Federico Garzon Sosa-VAR</t>
  </si>
  <si>
    <t>20407715404-Federico Garzon Sosa-HON</t>
  </si>
  <si>
    <t>Débito Complemento Tarjeta VISA</t>
  </si>
  <si>
    <t>TARJ.VISA COMPLEMETO CA</t>
  </si>
  <si>
    <t>Débito mínimo tarjeta VISA</t>
  </si>
  <si>
    <t>TARJETA VISA</t>
  </si>
  <si>
    <t>Compra -Carniceria- por -          5.654,96</t>
  </si>
  <si>
    <t>Compra -Carniceria- por -          1.612,00</t>
  </si>
  <si>
    <t>Compra -Carniceria- por -          5.193,03</t>
  </si>
  <si>
    <t>Compra -Carniceria- por -          2.339,17</t>
  </si>
  <si>
    <t>Compra -Carniceria- por -          3.780,00</t>
  </si>
  <si>
    <t>Compra -Carniceria- por -          4.309,50</t>
  </si>
  <si>
    <t>Compra -Carniceria- por -          1.000,00</t>
  </si>
  <si>
    <t>20204536695-VARTANIAN SERGIO ALEJANDRO-HON</t>
  </si>
  <si>
    <t>20177204014-FERREIRA SOBRAL, EDUARDO ALEJANDRO-VAR</t>
  </si>
  <si>
    <t>30711858586-CUISINE ART S.A.-FAC</t>
  </si>
  <si>
    <t>27263758310-MARTINEZ  VIRGINIA N-HON</t>
  </si>
  <si>
    <t>VIAJE CONSTANZA</t>
  </si>
  <si>
    <t>Categoria</t>
  </si>
  <si>
    <t>GASTO</t>
  </si>
  <si>
    <t>EGRESOS</t>
  </si>
  <si>
    <t xml:space="preserve">Plomero Ezequiel </t>
  </si>
  <si>
    <t xml:space="preserve">Conexión cocina </t>
  </si>
  <si>
    <t xml:space="preserve">Técnico Sebastián </t>
  </si>
  <si>
    <t>Cambio de batería UPS</t>
  </si>
  <si>
    <t xml:space="preserve">Nafta Sandero </t>
  </si>
  <si>
    <t>Salame Epec</t>
  </si>
  <si>
    <t>Control portón ehlers</t>
  </si>
  <si>
    <t>Sombrero 63 mm</t>
  </si>
  <si>
    <t>Rifa AVEIT</t>
  </si>
  <si>
    <t>Queso rayar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</si>
</sst>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_ ;[Red]\-#,##0\ "/>
  </numFmts>
  <fonts count="4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color theme="1"/>
      <name val="Arial"/>
      <family val="2"/>
    </font>
    <font>
      <b/>
      <sz val="10"/>
      <color rgb="FF000000"/>
      <name val="Poppins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1" fillId="0" borderId="0"/>
    <xf numFmtId="0" fontId="28" fillId="0" borderId="0"/>
    <xf numFmtId="0" fontId="37" fillId="0" borderId="0"/>
  </cellStyleXfs>
  <cellXfs count="403">
    <xf numFmtId="0" fontId="0" fillId="0" borderId="0" xfId="0"/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49" fontId="22" fillId="2" borderId="0" xfId="0" applyNumberFormat="1" applyFont="1" applyFill="1" applyAlignment="1">
      <alignment horizontal="center" vertical="center"/>
    </xf>
    <xf numFmtId="0" fontId="22" fillId="0" borderId="0" xfId="0" applyFont="1"/>
    <xf numFmtId="0" fontId="0" fillId="0" borderId="0" xfId="0" applyAlignment="1">
      <alignment horizontal="left" vertical="top"/>
    </xf>
    <xf numFmtId="0" fontId="21" fillId="0" borderId="0" xfId="1"/>
    <xf numFmtId="49" fontId="21" fillId="0" borderId="1" xfId="1" applyNumberFormat="1" applyBorder="1" applyAlignment="1">
      <alignment horizontal="center" vertical="center"/>
    </xf>
    <xf numFmtId="2" fontId="21" fillId="0" borderId="1" xfId="1" applyNumberFormat="1" applyBorder="1" applyAlignment="1">
      <alignment vertical="center"/>
    </xf>
    <xf numFmtId="0" fontId="21" fillId="0" borderId="0" xfId="1" applyAlignment="1">
      <alignment horizontal="left" vertical="center"/>
    </xf>
    <xf numFmtId="2" fontId="21" fillId="0" borderId="0" xfId="1" applyNumberFormat="1" applyAlignment="1">
      <alignment horizontal="center" vertical="center"/>
    </xf>
    <xf numFmtId="49" fontId="21" fillId="0" borderId="0" xfId="1" applyNumberFormat="1" applyAlignment="1">
      <alignment horizontal="center" vertical="center"/>
    </xf>
    <xf numFmtId="0" fontId="21" fillId="0" borderId="0" xfId="1" applyAlignment="1">
      <alignment horizontal="center" vertical="center"/>
    </xf>
    <xf numFmtId="49" fontId="21" fillId="0" borderId="19" xfId="1" applyNumberFormat="1" applyBorder="1" applyAlignment="1">
      <alignment horizontal="center" vertical="center"/>
    </xf>
    <xf numFmtId="49" fontId="21" fillId="0" borderId="21" xfId="1" applyNumberFormat="1" applyBorder="1" applyAlignment="1">
      <alignment horizontal="center" vertical="center"/>
    </xf>
    <xf numFmtId="49" fontId="21" fillId="0" borderId="23" xfId="1" applyNumberForma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21" fillId="4" borderId="1" xfId="1" applyFill="1" applyBorder="1" applyAlignment="1">
      <alignment horizontal="center" vertical="center"/>
    </xf>
    <xf numFmtId="2" fontId="21" fillId="4" borderId="1" xfId="1" applyNumberFormat="1" applyFill="1" applyBorder="1" applyAlignment="1">
      <alignment vertical="center"/>
    </xf>
    <xf numFmtId="49" fontId="24" fillId="0" borderId="17" xfId="1" applyNumberFormat="1" applyFont="1" applyBorder="1" applyAlignment="1">
      <alignment horizontal="center" vertical="center"/>
    </xf>
    <xf numFmtId="49" fontId="23" fillId="7" borderId="3" xfId="1" applyNumberFormat="1" applyFont="1" applyFill="1" applyBorder="1" applyAlignment="1">
      <alignment horizontal="right" vertical="center"/>
    </xf>
    <xf numFmtId="49" fontId="23" fillId="7" borderId="1" xfId="1" applyNumberFormat="1" applyFont="1" applyFill="1" applyBorder="1" applyAlignment="1">
      <alignment horizontal="right" vertical="center"/>
    </xf>
    <xf numFmtId="49" fontId="23" fillId="8" borderId="1" xfId="1" applyNumberFormat="1" applyFont="1" applyFill="1" applyBorder="1" applyAlignment="1">
      <alignment horizontal="right" vertical="center"/>
    </xf>
    <xf numFmtId="49" fontId="23" fillId="9" borderId="1" xfId="1" applyNumberFormat="1" applyFont="1" applyFill="1" applyBorder="1" applyAlignment="1">
      <alignment horizontal="right" vertical="center"/>
    </xf>
    <xf numFmtId="49" fontId="23" fillId="10" borderId="1" xfId="1" applyNumberFormat="1" applyFont="1" applyFill="1" applyBorder="1" applyAlignment="1">
      <alignment horizontal="right" vertical="center"/>
    </xf>
    <xf numFmtId="2" fontId="29" fillId="0" borderId="0" xfId="2" applyNumberFormat="1" applyFont="1" applyAlignment="1">
      <alignment horizontal="center" vertical="center"/>
    </xf>
    <xf numFmtId="2" fontId="28" fillId="0" borderId="0" xfId="2" applyNumberFormat="1"/>
    <xf numFmtId="0" fontId="28" fillId="0" borderId="0" xfId="2"/>
    <xf numFmtId="2" fontId="28" fillId="0" borderId="0" xfId="2" applyNumberFormat="1" applyAlignment="1">
      <alignment horizontal="center" vertical="center" wrapText="1"/>
    </xf>
    <xf numFmtId="0" fontId="30" fillId="0" borderId="29" xfId="2" applyFont="1" applyBorder="1" applyAlignment="1">
      <alignment horizontal="center" vertical="center"/>
    </xf>
    <xf numFmtId="2" fontId="29" fillId="0" borderId="13" xfId="2" applyNumberFormat="1" applyFont="1" applyBorder="1" applyAlignment="1">
      <alignment horizontal="center" vertical="center"/>
    </xf>
    <xf numFmtId="2" fontId="29" fillId="0" borderId="29" xfId="2" applyNumberFormat="1" applyFont="1" applyBorder="1" applyAlignment="1">
      <alignment horizontal="center" vertical="center"/>
    </xf>
    <xf numFmtId="2" fontId="29" fillId="0" borderId="14" xfId="2" applyNumberFormat="1" applyFont="1" applyBorder="1" applyAlignment="1">
      <alignment horizontal="center" vertical="center"/>
    </xf>
    <xf numFmtId="1" fontId="29" fillId="0" borderId="29" xfId="2" applyNumberFormat="1" applyFont="1" applyBorder="1" applyAlignment="1">
      <alignment horizontal="center" vertical="center"/>
    </xf>
    <xf numFmtId="0" fontId="29" fillId="14" borderId="29" xfId="2" applyFont="1" applyFill="1" applyBorder="1" applyAlignment="1">
      <alignment horizontal="center" vertical="center"/>
    </xf>
    <xf numFmtId="3" fontId="28" fillId="14" borderId="30" xfId="2" applyNumberFormat="1" applyFill="1" applyBorder="1" applyAlignment="1">
      <alignment horizontal="center" vertical="center"/>
    </xf>
    <xf numFmtId="3" fontId="31" fillId="14" borderId="17" xfId="2" applyNumberFormat="1" applyFont="1" applyFill="1" applyBorder="1" applyAlignment="1">
      <alignment horizontal="center" vertical="center"/>
    </xf>
    <xf numFmtId="3" fontId="28" fillId="14" borderId="17" xfId="2" applyNumberFormat="1" applyFill="1" applyBorder="1" applyAlignment="1">
      <alignment horizontal="center" vertical="center"/>
    </xf>
    <xf numFmtId="3" fontId="28" fillId="14" borderId="18" xfId="2" applyNumberFormat="1" applyFill="1" applyBorder="1" applyAlignment="1">
      <alignment horizontal="center" vertical="center"/>
    </xf>
    <xf numFmtId="3" fontId="28" fillId="14" borderId="29" xfId="2" applyNumberFormat="1" applyFill="1" applyBorder="1" applyAlignment="1">
      <alignment horizontal="center" vertical="center"/>
    </xf>
    <xf numFmtId="0" fontId="29" fillId="12" borderId="29" xfId="2" applyFont="1" applyFill="1" applyBorder="1" applyAlignment="1">
      <alignment horizontal="center" vertical="center"/>
    </xf>
    <xf numFmtId="3" fontId="28" fillId="12" borderId="30" xfId="2" applyNumberFormat="1" applyFill="1" applyBorder="1" applyAlignment="1">
      <alignment horizontal="center" vertical="center"/>
    </xf>
    <xf numFmtId="3" fontId="31" fillId="12" borderId="17" xfId="2" applyNumberFormat="1" applyFont="1" applyFill="1" applyBorder="1" applyAlignment="1">
      <alignment horizontal="center" vertical="center"/>
    </xf>
    <xf numFmtId="3" fontId="28" fillId="12" borderId="17" xfId="2" applyNumberFormat="1" applyFill="1" applyBorder="1" applyAlignment="1">
      <alignment horizontal="center" vertical="center"/>
    </xf>
    <xf numFmtId="3" fontId="28" fillId="12" borderId="31" xfId="2" applyNumberFormat="1" applyFill="1" applyBorder="1" applyAlignment="1">
      <alignment horizontal="center" vertical="center"/>
    </xf>
    <xf numFmtId="3" fontId="28" fillId="12" borderId="29" xfId="2" applyNumberFormat="1" applyFill="1" applyBorder="1" applyAlignment="1">
      <alignment horizontal="center" vertical="center"/>
    </xf>
    <xf numFmtId="0" fontId="28" fillId="0" borderId="32" xfId="2" applyBorder="1" applyAlignment="1">
      <alignment horizontal="center" vertical="center"/>
    </xf>
    <xf numFmtId="3" fontId="28" fillId="0" borderId="2" xfId="2" applyNumberFormat="1" applyBorder="1" applyAlignment="1">
      <alignment horizontal="center" vertical="center"/>
    </xf>
    <xf numFmtId="3" fontId="31" fillId="0" borderId="3" xfId="2" applyNumberFormat="1" applyFont="1" applyBorder="1" applyAlignment="1">
      <alignment horizontal="center" vertical="center"/>
    </xf>
    <xf numFmtId="3" fontId="28" fillId="0" borderId="3" xfId="2" applyNumberFormat="1" applyBorder="1" applyAlignment="1">
      <alignment horizontal="center" vertical="center"/>
    </xf>
    <xf numFmtId="3" fontId="28" fillId="0" borderId="4" xfId="2" applyNumberFormat="1" applyBorder="1" applyAlignment="1">
      <alignment horizontal="center" vertical="center"/>
    </xf>
    <xf numFmtId="3" fontId="28" fillId="0" borderId="33" xfId="2" applyNumberFormat="1" applyBorder="1" applyAlignment="1">
      <alignment horizontal="center" vertical="center"/>
    </xf>
    <xf numFmtId="0" fontId="28" fillId="0" borderId="34" xfId="2" applyBorder="1" applyAlignment="1">
      <alignment horizontal="center" vertical="center"/>
    </xf>
    <xf numFmtId="3" fontId="28" fillId="0" borderId="5" xfId="2" applyNumberFormat="1" applyBorder="1" applyAlignment="1">
      <alignment horizontal="center" vertical="center"/>
    </xf>
    <xf numFmtId="3" fontId="31" fillId="0" borderId="1" xfId="2" applyNumberFormat="1" applyFont="1" applyBorder="1" applyAlignment="1">
      <alignment horizontal="center" vertical="center"/>
    </xf>
    <xf numFmtId="3" fontId="28" fillId="0" borderId="1" xfId="2" applyNumberFormat="1" applyBorder="1" applyAlignment="1">
      <alignment horizontal="center" vertical="center"/>
    </xf>
    <xf numFmtId="3" fontId="28" fillId="0" borderId="6" xfId="2" applyNumberFormat="1" applyBorder="1" applyAlignment="1">
      <alignment horizontal="center" vertical="center"/>
    </xf>
    <xf numFmtId="3" fontId="28" fillId="0" borderId="29" xfId="2" applyNumberFormat="1" applyBorder="1" applyAlignment="1">
      <alignment horizontal="center" vertical="center"/>
    </xf>
    <xf numFmtId="0" fontId="28" fillId="0" borderId="35" xfId="2" applyBorder="1" applyAlignment="1">
      <alignment horizontal="center" vertical="center"/>
    </xf>
    <xf numFmtId="0" fontId="29" fillId="2" borderId="29" xfId="2" applyFont="1" applyFill="1" applyBorder="1" applyAlignment="1">
      <alignment horizontal="center" vertical="center"/>
    </xf>
    <xf numFmtId="3" fontId="28" fillId="2" borderId="13" xfId="2" applyNumberFormat="1" applyFill="1" applyBorder="1" applyAlignment="1">
      <alignment horizontal="center" vertical="center"/>
    </xf>
    <xf numFmtId="3" fontId="31" fillId="2" borderId="13" xfId="2" applyNumberFormat="1" applyFont="1" applyFill="1" applyBorder="1" applyAlignment="1">
      <alignment horizontal="center" vertical="center"/>
    </xf>
    <xf numFmtId="3" fontId="28" fillId="2" borderId="29" xfId="2" applyNumberFormat="1" applyFill="1" applyBorder="1" applyAlignment="1">
      <alignment horizontal="center" vertical="center"/>
    </xf>
    <xf numFmtId="2" fontId="29" fillId="13" borderId="0" xfId="2" applyNumberFormat="1" applyFont="1" applyFill="1" applyAlignment="1">
      <alignment horizontal="left" vertical="center" wrapText="1"/>
    </xf>
    <xf numFmtId="2" fontId="29" fillId="0" borderId="0" xfId="2" applyNumberFormat="1" applyFont="1" applyAlignment="1">
      <alignment horizontal="left" vertical="center" wrapText="1"/>
    </xf>
    <xf numFmtId="0" fontId="28" fillId="0" borderId="0" xfId="2" applyAlignment="1">
      <alignment horizontal="left" vertical="center" wrapText="1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vertical="center"/>
    </xf>
    <xf numFmtId="49" fontId="30" fillId="0" borderId="44" xfId="2" applyNumberFormat="1" applyFont="1" applyBorder="1" applyAlignment="1">
      <alignment horizontal="center" vertical="center"/>
    </xf>
    <xf numFmtId="49" fontId="29" fillId="0" borderId="44" xfId="2" applyNumberFormat="1" applyFont="1" applyBorder="1" applyAlignment="1">
      <alignment horizontal="center" vertical="center"/>
    </xf>
    <xf numFmtId="49" fontId="35" fillId="20" borderId="45" xfId="2" applyNumberFormat="1" applyFont="1" applyFill="1" applyBorder="1" applyAlignment="1">
      <alignment horizontal="right" vertical="center"/>
    </xf>
    <xf numFmtId="49" fontId="35" fillId="20" borderId="47" xfId="2" applyNumberFormat="1" applyFont="1" applyFill="1" applyBorder="1" applyAlignment="1">
      <alignment horizontal="center" vertical="center"/>
    </xf>
    <xf numFmtId="49" fontId="29" fillId="21" borderId="21" xfId="2" applyNumberFormat="1" applyFont="1" applyFill="1" applyBorder="1" applyAlignment="1">
      <alignment horizontal="right" vertical="center"/>
    </xf>
    <xf numFmtId="2" fontId="28" fillId="0" borderId="0" xfId="2" applyNumberFormat="1" applyAlignment="1">
      <alignment horizontal="center" vertical="center"/>
    </xf>
    <xf numFmtId="49" fontId="38" fillId="12" borderId="23" xfId="3" applyNumberFormat="1" applyFont="1" applyFill="1" applyBorder="1" applyAlignment="1">
      <alignment horizontal="right" vertical="center" wrapText="1"/>
    </xf>
    <xf numFmtId="0" fontId="29" fillId="0" borderId="0" xfId="2" applyFont="1" applyAlignment="1">
      <alignment vertical="center"/>
    </xf>
    <xf numFmtId="49" fontId="38" fillId="12" borderId="0" xfId="3" applyNumberFormat="1" applyFont="1" applyFill="1" applyAlignment="1">
      <alignment horizontal="right" vertical="center" wrapText="1"/>
    </xf>
    <xf numFmtId="3" fontId="37" fillId="12" borderId="0" xfId="3" applyNumberFormat="1" applyFill="1" applyAlignment="1">
      <alignment horizontal="center" vertical="center" wrapText="1"/>
    </xf>
    <xf numFmtId="3" fontId="28" fillId="12" borderId="0" xfId="2" applyNumberFormat="1" applyFill="1" applyAlignment="1">
      <alignment horizontal="center" vertical="center"/>
    </xf>
    <xf numFmtId="49" fontId="28" fillId="12" borderId="0" xfId="2" applyNumberFormat="1" applyFill="1" applyAlignment="1">
      <alignment vertical="center"/>
    </xf>
    <xf numFmtId="49" fontId="38" fillId="20" borderId="16" xfId="3" applyNumberFormat="1" applyFont="1" applyFill="1" applyBorder="1" applyAlignment="1">
      <alignment horizontal="right" vertical="center" wrapText="1"/>
    </xf>
    <xf numFmtId="2" fontId="37" fillId="20" borderId="17" xfId="3" applyNumberFormat="1" applyFill="1" applyBorder="1" applyAlignment="1">
      <alignment horizontal="center" vertical="center" wrapText="1"/>
    </xf>
    <xf numFmtId="2" fontId="28" fillId="20" borderId="17" xfId="2" applyNumberFormat="1" applyFill="1" applyBorder="1" applyAlignment="1">
      <alignment horizontal="center" vertical="center"/>
    </xf>
    <xf numFmtId="49" fontId="28" fillId="20" borderId="18" xfId="2" applyNumberFormat="1" applyFill="1" applyBorder="1" applyAlignment="1">
      <alignment vertical="center"/>
    </xf>
    <xf numFmtId="0" fontId="28" fillId="0" borderId="0" xfId="2" applyAlignment="1">
      <alignment horizontal="right" vertical="center"/>
    </xf>
    <xf numFmtId="0" fontId="28" fillId="0" borderId="0" xfId="2" applyAlignment="1">
      <alignment vertical="center"/>
    </xf>
    <xf numFmtId="17" fontId="28" fillId="0" borderId="0" xfId="2" applyNumberFormat="1"/>
    <xf numFmtId="2" fontId="28" fillId="0" borderId="0" xfId="2" applyNumberFormat="1" applyAlignment="1">
      <alignment horizontal="right"/>
    </xf>
    <xf numFmtId="14" fontId="28" fillId="0" borderId="0" xfId="2" applyNumberFormat="1" applyAlignment="1">
      <alignment horizontal="center" vertical="center"/>
    </xf>
    <xf numFmtId="49" fontId="28" fillId="0" borderId="0" xfId="2" applyNumberFormat="1" applyAlignment="1">
      <alignment horizontal="center" vertical="center"/>
    </xf>
    <xf numFmtId="3" fontId="28" fillId="0" borderId="0" xfId="2" applyNumberFormat="1" applyAlignment="1">
      <alignment horizontal="center" vertical="center"/>
    </xf>
    <xf numFmtId="0" fontId="36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21" fillId="0" borderId="1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28" fillId="0" borderId="0" xfId="2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1" fillId="0" borderId="0" xfId="1" applyAlignment="1">
      <alignment horizontal="center"/>
    </xf>
    <xf numFmtId="2" fontId="21" fillId="0" borderId="1" xfId="1" applyNumberFormat="1" applyBorder="1"/>
    <xf numFmtId="2" fontId="21" fillId="0" borderId="0" xfId="1" applyNumberFormat="1"/>
    <xf numFmtId="14" fontId="32" fillId="17" borderId="49" xfId="1" applyNumberFormat="1" applyFont="1" applyFill="1" applyBorder="1" applyAlignment="1">
      <alignment horizontal="center" vertical="center"/>
    </xf>
    <xf numFmtId="14" fontId="21" fillId="0" borderId="3" xfId="1" applyNumberFormat="1" applyBorder="1" applyAlignment="1">
      <alignment horizontal="center" vertical="center"/>
    </xf>
    <xf numFmtId="14" fontId="21" fillId="0" borderId="1" xfId="1" applyNumberFormat="1" applyBorder="1" applyAlignment="1">
      <alignment horizontal="center" vertical="center"/>
    </xf>
    <xf numFmtId="14" fontId="21" fillId="0" borderId="0" xfId="1" applyNumberFormat="1" applyAlignment="1">
      <alignment horizontal="center" vertical="center"/>
    </xf>
    <xf numFmtId="14" fontId="21" fillId="0" borderId="0" xfId="1" applyNumberFormat="1" applyAlignment="1">
      <alignment horizontal="center"/>
    </xf>
    <xf numFmtId="2" fontId="32" fillId="17" borderId="49" xfId="1" applyNumberFormat="1" applyFont="1" applyFill="1" applyBorder="1" applyAlignment="1">
      <alignment horizontal="center" vertical="center"/>
    </xf>
    <xf numFmtId="14" fontId="32" fillId="17" borderId="48" xfId="1" applyNumberFormat="1" applyFont="1" applyFill="1" applyBorder="1" applyAlignment="1">
      <alignment horizontal="center" vertical="center"/>
    </xf>
    <xf numFmtId="49" fontId="32" fillId="17" borderId="49" xfId="1" applyNumberFormat="1" applyFont="1" applyFill="1" applyBorder="1" applyAlignment="1">
      <alignment horizontal="center" vertical="center"/>
    </xf>
    <xf numFmtId="49" fontId="32" fillId="17" borderId="50" xfId="1" applyNumberFormat="1" applyFont="1" applyFill="1" applyBorder="1" applyAlignment="1">
      <alignment horizontal="center" vertical="center"/>
    </xf>
    <xf numFmtId="49" fontId="21" fillId="0" borderId="3" xfId="1" applyNumberFormat="1" applyBorder="1" applyAlignment="1">
      <alignment vertical="center"/>
    </xf>
    <xf numFmtId="49" fontId="21" fillId="0" borderId="3" xfId="1" applyNumberFormat="1" applyBorder="1" applyAlignment="1">
      <alignment horizontal="center" vertical="center"/>
    </xf>
    <xf numFmtId="49" fontId="25" fillId="18" borderId="36" xfId="0" applyNumberFormat="1" applyFont="1" applyFill="1" applyBorder="1" applyAlignment="1">
      <alignment horizontal="center" vertical="center" wrapText="1"/>
    </xf>
    <xf numFmtId="49" fontId="21" fillId="0" borderId="1" xfId="1" applyNumberFormat="1" applyBorder="1" applyAlignment="1">
      <alignment vertical="center"/>
    </xf>
    <xf numFmtId="49" fontId="25" fillId="18" borderId="37" xfId="0" applyNumberFormat="1" applyFont="1" applyFill="1" applyBorder="1" applyAlignment="1">
      <alignment horizontal="center" vertical="center" wrapText="1"/>
    </xf>
    <xf numFmtId="49" fontId="21" fillId="0" borderId="0" xfId="1" applyNumberFormat="1" applyAlignment="1">
      <alignment vertical="center"/>
    </xf>
    <xf numFmtId="49" fontId="21" fillId="0" borderId="0" xfId="1" applyNumberFormat="1"/>
    <xf numFmtId="0" fontId="32" fillId="17" borderId="2" xfId="1" applyFont="1" applyFill="1" applyBorder="1" applyAlignment="1">
      <alignment horizontal="center" vertical="center"/>
    </xf>
    <xf numFmtId="2" fontId="32" fillId="17" borderId="3" xfId="1" applyNumberFormat="1" applyFont="1" applyFill="1" applyBorder="1" applyAlignment="1">
      <alignment horizontal="center" vertical="center"/>
    </xf>
    <xf numFmtId="2" fontId="21" fillId="0" borderId="8" xfId="1" applyNumberFormat="1" applyBorder="1"/>
    <xf numFmtId="14" fontId="32" fillId="17" borderId="2" xfId="1" applyNumberFormat="1" applyFont="1" applyFill="1" applyBorder="1" applyAlignment="1">
      <alignment horizontal="center" vertical="center"/>
    </xf>
    <xf numFmtId="14" fontId="21" fillId="0" borderId="5" xfId="1" applyNumberFormat="1" applyBorder="1" applyAlignment="1">
      <alignment horizontal="center" vertical="center"/>
    </xf>
    <xf numFmtId="14" fontId="21" fillId="0" borderId="7" xfId="1" applyNumberFormat="1" applyBorder="1" applyAlignment="1">
      <alignment horizontal="center" vertical="center"/>
    </xf>
    <xf numFmtId="49" fontId="32" fillId="17" borderId="3" xfId="1" applyNumberFormat="1" applyFont="1" applyFill="1" applyBorder="1" applyAlignment="1">
      <alignment horizontal="center" vertical="center"/>
    </xf>
    <xf numFmtId="49" fontId="21" fillId="0" borderId="8" xfId="1" applyNumberFormat="1" applyBorder="1" applyAlignment="1">
      <alignment horizontal="center" vertical="center"/>
    </xf>
    <xf numFmtId="49" fontId="21" fillId="0" borderId="0" xfId="1" applyNumberFormat="1" applyAlignment="1">
      <alignment horizontal="center"/>
    </xf>
    <xf numFmtId="1" fontId="32" fillId="17" borderId="3" xfId="1" applyNumberFormat="1" applyFont="1" applyFill="1" applyBorder="1" applyAlignment="1">
      <alignment horizontal="center" vertical="center"/>
    </xf>
    <xf numFmtId="1" fontId="21" fillId="0" borderId="8" xfId="1" applyNumberFormat="1" applyBorder="1" applyAlignment="1">
      <alignment vertical="center"/>
    </xf>
    <xf numFmtId="1" fontId="21" fillId="0" borderId="0" xfId="1" applyNumberFormat="1" applyAlignment="1">
      <alignment vertical="center"/>
    </xf>
    <xf numFmtId="1" fontId="21" fillId="0" borderId="0" xfId="1" applyNumberFormat="1"/>
    <xf numFmtId="49" fontId="32" fillId="17" borderId="4" xfId="1" applyNumberFormat="1" applyFont="1" applyFill="1" applyBorder="1" applyAlignment="1">
      <alignment horizontal="center" vertical="center"/>
    </xf>
    <xf numFmtId="49" fontId="21" fillId="0" borderId="6" xfId="1" applyNumberFormat="1" applyBorder="1" applyAlignment="1">
      <alignment vertical="center"/>
    </xf>
    <xf numFmtId="49" fontId="21" fillId="0" borderId="9" xfId="1" applyNumberFormat="1" applyBorder="1" applyAlignment="1">
      <alignment vertical="center"/>
    </xf>
    <xf numFmtId="14" fontId="21" fillId="0" borderId="5" xfId="1" applyNumberFormat="1" applyBorder="1" applyAlignment="1">
      <alignment horizontal="center"/>
    </xf>
    <xf numFmtId="14" fontId="21" fillId="0" borderId="7" xfId="1" applyNumberFormat="1" applyBorder="1" applyAlignment="1">
      <alignment horizontal="center"/>
    </xf>
    <xf numFmtId="49" fontId="21" fillId="0" borderId="1" xfId="1" applyNumberFormat="1" applyBorder="1" applyAlignment="1">
      <alignment horizontal="center"/>
    </xf>
    <xf numFmtId="49" fontId="21" fillId="0" borderId="8" xfId="1" applyNumberFormat="1" applyBorder="1" applyAlignment="1">
      <alignment horizontal="center"/>
    </xf>
    <xf numFmtId="49" fontId="21" fillId="0" borderId="6" xfId="1" applyNumberFormat="1" applyBorder="1"/>
    <xf numFmtId="49" fontId="21" fillId="0" borderId="9" xfId="1" applyNumberFormat="1" applyBorder="1"/>
    <xf numFmtId="49" fontId="19" fillId="0" borderId="8" xfId="1" applyNumberFormat="1" applyFont="1" applyBorder="1" applyAlignment="1">
      <alignment horizontal="center"/>
    </xf>
    <xf numFmtId="49" fontId="19" fillId="0" borderId="9" xfId="1" applyNumberFormat="1" applyFont="1" applyBorder="1"/>
    <xf numFmtId="49" fontId="19" fillId="0" borderId="6" xfId="1" applyNumberFormat="1" applyFont="1" applyBorder="1"/>
    <xf numFmtId="49" fontId="36" fillId="20" borderId="22" xfId="2" applyNumberFormat="1" applyFont="1" applyFill="1" applyBorder="1" applyAlignment="1">
      <alignment horizontal="center" vertical="center" wrapText="1"/>
    </xf>
    <xf numFmtId="49" fontId="29" fillId="6" borderId="21" xfId="2" applyNumberFormat="1" applyFont="1" applyFill="1" applyBorder="1" applyAlignment="1">
      <alignment horizontal="right" vertical="center"/>
    </xf>
    <xf numFmtId="1" fontId="35" fillId="20" borderId="46" xfId="2" applyNumberFormat="1" applyFont="1" applyFill="1" applyBorder="1" applyAlignment="1">
      <alignment horizontal="center" vertical="center"/>
    </xf>
    <xf numFmtId="49" fontId="39" fillId="21" borderId="22" xfId="2" applyNumberFormat="1" applyFont="1" applyFill="1" applyBorder="1" applyAlignment="1">
      <alignment horizontal="center" vertical="center" wrapText="1"/>
    </xf>
    <xf numFmtId="49" fontId="39" fillId="6" borderId="22" xfId="2" applyNumberFormat="1" applyFont="1" applyFill="1" applyBorder="1" applyAlignment="1">
      <alignment horizontal="center" vertical="center" wrapText="1"/>
    </xf>
    <xf numFmtId="49" fontId="29" fillId="12" borderId="25" xfId="2" applyNumberFormat="1" applyFont="1" applyFill="1" applyBorder="1" applyAlignment="1">
      <alignment vertical="center"/>
    </xf>
    <xf numFmtId="49" fontId="35" fillId="20" borderId="21" xfId="2" applyNumberFormat="1" applyFont="1" applyFill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3" fontId="29" fillId="0" borderId="0" xfId="2" applyNumberFormat="1" applyFont="1" applyAlignment="1">
      <alignment horizontal="center" vertical="center"/>
    </xf>
    <xf numFmtId="2" fontId="28" fillId="20" borderId="1" xfId="2" applyNumberFormat="1" applyFill="1" applyBorder="1" applyAlignment="1">
      <alignment horizontal="center" vertical="center"/>
    </xf>
    <xf numFmtId="0" fontId="29" fillId="5" borderId="3" xfId="2" applyFont="1" applyFill="1" applyBorder="1" applyAlignment="1">
      <alignment horizontal="center" vertical="center"/>
    </xf>
    <xf numFmtId="0" fontId="29" fillId="5" borderId="3" xfId="2" applyFont="1" applyFill="1" applyBorder="1" applyAlignment="1">
      <alignment horizontal="center" vertical="center" wrapText="1"/>
    </xf>
    <xf numFmtId="49" fontId="31" fillId="5" borderId="1" xfId="2" applyNumberFormat="1" applyFont="1" applyFill="1" applyBorder="1" applyAlignment="1">
      <alignment horizontal="center" vertical="center"/>
    </xf>
    <xf numFmtId="1" fontId="31" fillId="5" borderId="1" xfId="2" applyNumberFormat="1" applyFont="1" applyFill="1" applyBorder="1" applyAlignment="1">
      <alignment horizontal="center" vertical="center"/>
    </xf>
    <xf numFmtId="49" fontId="28" fillId="5" borderId="1" xfId="2" applyNumberFormat="1" applyFill="1" applyBorder="1" applyAlignment="1">
      <alignment horizontal="center" vertical="center"/>
    </xf>
    <xf numFmtId="3" fontId="28" fillId="5" borderId="1" xfId="2" applyNumberFormat="1" applyFill="1" applyBorder="1" applyAlignment="1">
      <alignment horizontal="center" vertical="center"/>
    </xf>
    <xf numFmtId="49" fontId="28" fillId="5" borderId="24" xfId="2" applyNumberFormat="1" applyFill="1" applyBorder="1" applyAlignment="1">
      <alignment horizontal="center" vertical="center"/>
    </xf>
    <xf numFmtId="3" fontId="28" fillId="5" borderId="24" xfId="2" applyNumberFormat="1" applyFill="1" applyBorder="1" applyAlignment="1">
      <alignment horizontal="center" vertical="center"/>
    </xf>
    <xf numFmtId="49" fontId="29" fillId="5" borderId="23" xfId="2" applyNumberFormat="1" applyFont="1" applyFill="1" applyBorder="1" applyAlignment="1">
      <alignment horizontal="right" vertical="center"/>
    </xf>
    <xf numFmtId="49" fontId="39" fillId="5" borderId="25" xfId="2" applyNumberFormat="1" applyFont="1" applyFill="1" applyBorder="1" applyAlignment="1">
      <alignment horizontal="center" vertical="center" wrapText="1"/>
    </xf>
    <xf numFmtId="49" fontId="29" fillId="6" borderId="45" xfId="2" applyNumberFormat="1" applyFont="1" applyFill="1" applyBorder="1" applyAlignment="1">
      <alignment horizontal="right" vertical="center"/>
    </xf>
    <xf numFmtId="49" fontId="39" fillId="6" borderId="47" xfId="2" applyNumberFormat="1" applyFont="1" applyFill="1" applyBorder="1" applyAlignment="1">
      <alignment horizontal="center" vertical="center" wrapText="1"/>
    </xf>
    <xf numFmtId="49" fontId="18" fillId="0" borderId="6" xfId="1" applyNumberFormat="1" applyFont="1" applyBorder="1"/>
    <xf numFmtId="49" fontId="18" fillId="0" borderId="1" xfId="1" applyNumberFormat="1" applyFont="1" applyBorder="1" applyAlignment="1">
      <alignment horizontal="center"/>
    </xf>
    <xf numFmtId="49" fontId="18" fillId="0" borderId="9" xfId="1" applyNumberFormat="1" applyFont="1" applyBorder="1"/>
    <xf numFmtId="49" fontId="18" fillId="0" borderId="8" xfId="1" applyNumberFormat="1" applyFont="1" applyBorder="1" applyAlignment="1">
      <alignment horizontal="center"/>
    </xf>
    <xf numFmtId="14" fontId="21" fillId="0" borderId="8" xfId="1" applyNumberFormat="1" applyBorder="1" applyAlignment="1">
      <alignment horizontal="center" vertical="center"/>
    </xf>
    <xf numFmtId="49" fontId="21" fillId="0" borderId="8" xfId="1" applyNumberFormat="1" applyBorder="1" applyAlignment="1">
      <alignment vertical="center"/>
    </xf>
    <xf numFmtId="49" fontId="25" fillId="18" borderId="5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Border="1" applyAlignment="1">
      <alignment vertical="center"/>
    </xf>
    <xf numFmtId="49" fontId="17" fillId="0" borderId="8" xfId="1" applyNumberFormat="1" applyFont="1" applyBorder="1" applyAlignment="1">
      <alignment horizontal="center" vertical="center"/>
    </xf>
    <xf numFmtId="49" fontId="17" fillId="0" borderId="8" xfId="1" applyNumberFormat="1" applyFont="1" applyBorder="1" applyAlignment="1">
      <alignment vertical="center" wrapText="1"/>
    </xf>
    <xf numFmtId="49" fontId="17" fillId="0" borderId="8" xfId="1" applyNumberFormat="1" applyFont="1" applyBorder="1" applyAlignment="1">
      <alignment vertical="center"/>
    </xf>
    <xf numFmtId="49" fontId="17" fillId="0" borderId="8" xfId="1" applyNumberFormat="1" applyFont="1" applyBorder="1" applyAlignment="1">
      <alignment horizontal="center"/>
    </xf>
    <xf numFmtId="49" fontId="17" fillId="0" borderId="9" xfId="1" applyNumberFormat="1" applyFont="1" applyBorder="1"/>
    <xf numFmtId="49" fontId="16" fillId="0" borderId="8" xfId="1" applyNumberFormat="1" applyFont="1" applyBorder="1" applyAlignment="1">
      <alignment horizontal="center"/>
    </xf>
    <xf numFmtId="49" fontId="16" fillId="0" borderId="9" xfId="1" applyNumberFormat="1" applyFont="1" applyBorder="1"/>
    <xf numFmtId="14" fontId="15" fillId="0" borderId="7" xfId="1" applyNumberFormat="1" applyFont="1" applyBorder="1" applyAlignment="1">
      <alignment horizontal="center"/>
    </xf>
    <xf numFmtId="49" fontId="15" fillId="0" borderId="8" xfId="1" applyNumberFormat="1" applyFont="1" applyBorder="1" applyAlignment="1">
      <alignment horizontal="center"/>
    </xf>
    <xf numFmtId="49" fontId="15" fillId="0" borderId="9" xfId="1" applyNumberFormat="1" applyFont="1" applyBorder="1"/>
    <xf numFmtId="49" fontId="14" fillId="0" borderId="8" xfId="1" applyNumberFormat="1" applyFont="1" applyBorder="1" applyAlignment="1">
      <alignment vertical="center"/>
    </xf>
    <xf numFmtId="49" fontId="14" fillId="0" borderId="8" xfId="1" applyNumberFormat="1" applyFont="1" applyBorder="1" applyAlignment="1">
      <alignment horizontal="center"/>
    </xf>
    <xf numFmtId="49" fontId="14" fillId="0" borderId="9" xfId="1" applyNumberFormat="1" applyFont="1" applyBorder="1"/>
    <xf numFmtId="49" fontId="13" fillId="0" borderId="8" xfId="1" applyNumberFormat="1" applyFont="1" applyBorder="1" applyAlignment="1">
      <alignment vertical="center"/>
    </xf>
    <xf numFmtId="49" fontId="13" fillId="0" borderId="8" xfId="1" applyNumberFormat="1" applyFont="1" applyBorder="1" applyAlignment="1">
      <alignment horizontal="center" vertical="center"/>
    </xf>
    <xf numFmtId="49" fontId="13" fillId="0" borderId="8" xfId="1" applyNumberFormat="1" applyFont="1" applyBorder="1" applyAlignment="1">
      <alignment horizontal="center"/>
    </xf>
    <xf numFmtId="49" fontId="13" fillId="0" borderId="9" xfId="1" applyNumberFormat="1" applyFont="1" applyBorder="1"/>
    <xf numFmtId="1" fontId="32" fillId="17" borderId="49" xfId="1" applyNumberFormat="1" applyFont="1" applyFill="1" applyBorder="1" applyAlignment="1">
      <alignment horizontal="center" vertical="center"/>
    </xf>
    <xf numFmtId="49" fontId="12" fillId="0" borderId="8" xfId="1" applyNumberFormat="1" applyFont="1" applyBorder="1" applyAlignment="1">
      <alignment vertical="center"/>
    </xf>
    <xf numFmtId="49" fontId="11" fillId="0" borderId="8" xfId="1" applyNumberFormat="1" applyFont="1" applyBorder="1" applyAlignment="1">
      <alignment vertical="center"/>
    </xf>
    <xf numFmtId="49" fontId="11" fillId="0" borderId="8" xfId="1" applyNumberFormat="1" applyFont="1" applyBorder="1" applyAlignment="1">
      <alignment horizontal="center" vertical="center"/>
    </xf>
    <xf numFmtId="49" fontId="25" fillId="18" borderId="51" xfId="1" quotePrefix="1" applyNumberFormat="1" applyFont="1" applyFill="1" applyBorder="1" applyAlignment="1">
      <alignment horizontal="center" vertical="center" wrapText="1"/>
    </xf>
    <xf numFmtId="49" fontId="10" fillId="0" borderId="8" xfId="1" applyNumberFormat="1" applyFont="1" applyBorder="1" applyAlignment="1">
      <alignment vertical="center"/>
    </xf>
    <xf numFmtId="49" fontId="10" fillId="0" borderId="9" xfId="1" applyNumberFormat="1" applyFont="1" applyBorder="1" applyAlignment="1">
      <alignment horizontal="center" vertical="center"/>
    </xf>
    <xf numFmtId="14" fontId="21" fillId="23" borderId="7" xfId="1" applyNumberFormat="1" applyFill="1" applyBorder="1" applyAlignment="1">
      <alignment horizontal="center" vertical="center"/>
    </xf>
    <xf numFmtId="49" fontId="9" fillId="23" borderId="8" xfId="1" applyNumberFormat="1" applyFont="1" applyFill="1" applyBorder="1" applyAlignment="1">
      <alignment horizontal="center" vertical="center"/>
    </xf>
    <xf numFmtId="1" fontId="21" fillId="23" borderId="8" xfId="1" applyNumberFormat="1" applyFill="1" applyBorder="1" applyAlignment="1">
      <alignment vertical="center"/>
    </xf>
    <xf numFmtId="49" fontId="9" fillId="23" borderId="9" xfId="1" applyNumberFormat="1" applyFont="1" applyFill="1" applyBorder="1" applyAlignment="1">
      <alignment vertical="center"/>
    </xf>
    <xf numFmtId="0" fontId="30" fillId="0" borderId="0" xfId="2" applyFont="1" applyAlignment="1">
      <alignment horizontal="center" vertical="center"/>
    </xf>
    <xf numFmtId="49" fontId="8" fillId="0" borderId="8" xfId="1" applyNumberFormat="1" applyFont="1" applyBorder="1" applyAlignment="1">
      <alignment horizontal="center" vertical="center"/>
    </xf>
    <xf numFmtId="49" fontId="8" fillId="23" borderId="9" xfId="1" applyNumberFormat="1" applyFont="1" applyFill="1" applyBorder="1" applyAlignment="1">
      <alignment vertical="center"/>
    </xf>
    <xf numFmtId="49" fontId="8" fillId="0" borderId="9" xfId="1" applyNumberFormat="1" applyFont="1" applyBorder="1" applyAlignment="1">
      <alignment vertical="center"/>
    </xf>
    <xf numFmtId="0" fontId="40" fillId="0" borderId="1" xfId="1" applyFont="1" applyBorder="1" applyAlignment="1">
      <alignment horizontal="left" vertical="center"/>
    </xf>
    <xf numFmtId="0" fontId="40" fillId="0" borderId="5" xfId="1" applyFont="1" applyBorder="1" applyAlignment="1">
      <alignment horizontal="left" vertical="center"/>
    </xf>
    <xf numFmtId="49" fontId="40" fillId="0" borderId="1" xfId="1" applyNumberFormat="1" applyFont="1" applyBorder="1" applyAlignment="1">
      <alignment horizontal="center" vertical="center"/>
    </xf>
    <xf numFmtId="0" fontId="40" fillId="0" borderId="1" xfId="1" applyFont="1" applyBorder="1" applyAlignment="1">
      <alignment horizontal="center" vertical="center"/>
    </xf>
    <xf numFmtId="1" fontId="40" fillId="0" borderId="1" xfId="1" applyNumberFormat="1" applyFont="1" applyBorder="1" applyAlignment="1">
      <alignment horizontal="center" vertical="center"/>
    </xf>
    <xf numFmtId="0" fontId="40" fillId="5" borderId="5" xfId="1" applyFont="1" applyFill="1" applyBorder="1" applyAlignment="1">
      <alignment horizontal="left" vertical="center"/>
    </xf>
    <xf numFmtId="0" fontId="40" fillId="5" borderId="1" xfId="1" applyFont="1" applyFill="1" applyBorder="1" applyAlignment="1">
      <alignment horizontal="left" vertical="center"/>
    </xf>
    <xf numFmtId="49" fontId="40" fillId="5" borderId="1" xfId="1" applyNumberFormat="1" applyFont="1" applyFill="1" applyBorder="1" applyAlignment="1">
      <alignment horizontal="center" vertical="center"/>
    </xf>
    <xf numFmtId="0" fontId="40" fillId="5" borderId="1" xfId="1" applyFont="1" applyFill="1" applyBorder="1" applyAlignment="1">
      <alignment horizontal="center" vertical="center"/>
    </xf>
    <xf numFmtId="0" fontId="41" fillId="6" borderId="5" xfId="0" applyFont="1" applyFill="1" applyBorder="1" applyAlignment="1">
      <alignment horizontal="left" vertical="center" wrapText="1"/>
    </xf>
    <xf numFmtId="0" fontId="40" fillId="6" borderId="1" xfId="1" applyFont="1" applyFill="1" applyBorder="1" applyAlignment="1">
      <alignment horizontal="left" vertical="center"/>
    </xf>
    <xf numFmtId="49" fontId="41" fillId="6" borderId="1" xfId="0" applyNumberFormat="1" applyFont="1" applyFill="1" applyBorder="1" applyAlignment="1">
      <alignment horizontal="center" vertical="center" wrapText="1"/>
    </xf>
    <xf numFmtId="0" fontId="40" fillId="6" borderId="1" xfId="1" applyFont="1" applyFill="1" applyBorder="1" applyAlignment="1">
      <alignment horizontal="center" vertical="center"/>
    </xf>
    <xf numFmtId="0" fontId="40" fillId="2" borderId="7" xfId="1" applyFont="1" applyFill="1" applyBorder="1" applyAlignment="1">
      <alignment horizontal="left" vertical="center"/>
    </xf>
    <xf numFmtId="0" fontId="40" fillId="2" borderId="8" xfId="1" applyFont="1" applyFill="1" applyBorder="1" applyAlignment="1">
      <alignment horizontal="left" vertical="center"/>
    </xf>
    <xf numFmtId="49" fontId="41" fillId="2" borderId="8" xfId="0" applyNumberFormat="1" applyFont="1" applyFill="1" applyBorder="1" applyAlignment="1">
      <alignment horizontal="center" vertical="center" wrapText="1"/>
    </xf>
    <xf numFmtId="0" fontId="40" fillId="2" borderId="8" xfId="1" applyFont="1" applyFill="1" applyBorder="1" applyAlignment="1">
      <alignment horizontal="center" vertical="center"/>
    </xf>
    <xf numFmtId="0" fontId="40" fillId="0" borderId="52" xfId="0" applyFont="1" applyBorder="1" applyAlignment="1">
      <alignment horizontal="center" vertical="center"/>
    </xf>
    <xf numFmtId="0" fontId="42" fillId="4" borderId="1" xfId="1" applyFont="1" applyFill="1" applyBorder="1" applyAlignment="1">
      <alignment horizontal="left" vertical="center" wrapText="1"/>
    </xf>
    <xf numFmtId="49" fontId="42" fillId="4" borderId="1" xfId="1" applyNumberFormat="1" applyFont="1" applyFill="1" applyBorder="1" applyAlignment="1">
      <alignment horizontal="center" vertical="center" wrapText="1"/>
    </xf>
    <xf numFmtId="0" fontId="42" fillId="4" borderId="1" xfId="1" applyFont="1" applyFill="1" applyBorder="1" applyAlignment="1">
      <alignment horizontal="center" vertical="center" wrapText="1"/>
    </xf>
    <xf numFmtId="0" fontId="42" fillId="4" borderId="2" xfId="1" applyFont="1" applyFill="1" applyBorder="1" applyAlignment="1">
      <alignment horizontal="left" vertical="center" wrapText="1"/>
    </xf>
    <xf numFmtId="0" fontId="42" fillId="4" borderId="3" xfId="1" applyFont="1" applyFill="1" applyBorder="1" applyAlignment="1">
      <alignment horizontal="left" vertical="center" wrapText="1"/>
    </xf>
    <xf numFmtId="49" fontId="42" fillId="4" borderId="3" xfId="1" applyNumberFormat="1" applyFont="1" applyFill="1" applyBorder="1" applyAlignment="1">
      <alignment horizontal="center" vertical="center" wrapText="1"/>
    </xf>
    <xf numFmtId="0" fontId="42" fillId="4" borderId="3" xfId="1" applyFont="1" applyFill="1" applyBorder="1" applyAlignment="1">
      <alignment horizontal="center" vertical="center" wrapText="1"/>
    </xf>
    <xf numFmtId="0" fontId="42" fillId="4" borderId="4" xfId="1" applyFont="1" applyFill="1" applyBorder="1" applyAlignment="1">
      <alignment horizontal="center" vertical="center" wrapText="1"/>
    </xf>
    <xf numFmtId="49" fontId="7" fillId="0" borderId="8" xfId="1" applyNumberFormat="1" applyFont="1" applyBorder="1" applyAlignment="1">
      <alignment vertical="center"/>
    </xf>
    <xf numFmtId="49" fontId="7" fillId="0" borderId="8" xfId="1" applyNumberFormat="1" applyFont="1" applyBorder="1" applyAlignment="1">
      <alignment horizontal="center"/>
    </xf>
    <xf numFmtId="3" fontId="21" fillId="0" borderId="3" xfId="1" applyNumberFormat="1" applyBorder="1" applyAlignment="1">
      <alignment vertical="center"/>
    </xf>
    <xf numFmtId="3" fontId="21" fillId="0" borderId="20" xfId="1" applyNumberFormat="1" applyBorder="1" applyAlignment="1">
      <alignment vertical="center"/>
    </xf>
    <xf numFmtId="3" fontId="21" fillId="0" borderId="1" xfId="1" applyNumberFormat="1" applyBorder="1" applyAlignment="1">
      <alignment vertical="center"/>
    </xf>
    <xf numFmtId="3" fontId="21" fillId="0" borderId="22" xfId="1" applyNumberFormat="1" applyBorder="1" applyAlignment="1">
      <alignment vertical="center"/>
    </xf>
    <xf numFmtId="3" fontId="21" fillId="0" borderId="24" xfId="1" applyNumberFormat="1" applyBorder="1" applyAlignment="1">
      <alignment vertical="center"/>
    </xf>
    <xf numFmtId="3" fontId="21" fillId="0" borderId="25" xfId="1" applyNumberFormat="1" applyBorder="1" applyAlignment="1">
      <alignment vertical="center"/>
    </xf>
    <xf numFmtId="3" fontId="20" fillId="0" borderId="26" xfId="0" applyNumberFormat="1" applyFont="1" applyBorder="1" applyAlignment="1">
      <alignment vertical="center"/>
    </xf>
    <xf numFmtId="3" fontId="20" fillId="0" borderId="11" xfId="0" applyNumberFormat="1" applyFont="1" applyBorder="1" applyAlignment="1">
      <alignment vertical="center"/>
    </xf>
    <xf numFmtId="3" fontId="21" fillId="7" borderId="3" xfId="1" applyNumberFormat="1" applyFill="1" applyBorder="1" applyAlignment="1">
      <alignment vertical="center"/>
    </xf>
    <xf numFmtId="3" fontId="23" fillId="7" borderId="3" xfId="1" applyNumberFormat="1" applyFont="1" applyFill="1" applyBorder="1" applyAlignment="1">
      <alignment vertical="center"/>
    </xf>
    <xf numFmtId="3" fontId="21" fillId="7" borderId="1" xfId="1" applyNumberFormat="1" applyFill="1" applyBorder="1" applyAlignment="1">
      <alignment vertical="center"/>
    </xf>
    <xf numFmtId="3" fontId="23" fillId="7" borderId="1" xfId="1" applyNumberFormat="1" applyFont="1" applyFill="1" applyBorder="1" applyAlignment="1">
      <alignment vertical="center"/>
    </xf>
    <xf numFmtId="3" fontId="21" fillId="8" borderId="1" xfId="1" applyNumberFormat="1" applyFill="1" applyBorder="1" applyAlignment="1">
      <alignment vertical="center"/>
    </xf>
    <xf numFmtId="3" fontId="12" fillId="8" borderId="1" xfId="1" applyNumberFormat="1" applyFont="1" applyFill="1" applyBorder="1" applyAlignment="1">
      <alignment vertical="center"/>
    </xf>
    <xf numFmtId="3" fontId="23" fillId="8" borderId="1" xfId="1" applyNumberFormat="1" applyFont="1" applyFill="1" applyBorder="1" applyAlignment="1">
      <alignment vertical="center"/>
    </xf>
    <xf numFmtId="3" fontId="21" fillId="9" borderId="1" xfId="1" applyNumberFormat="1" applyFill="1" applyBorder="1" applyAlignment="1">
      <alignment vertical="center"/>
    </xf>
    <xf numFmtId="3" fontId="23" fillId="9" borderId="1" xfId="1" applyNumberFormat="1" applyFont="1" applyFill="1" applyBorder="1" applyAlignment="1">
      <alignment vertical="center"/>
    </xf>
    <xf numFmtId="3" fontId="21" fillId="10" borderId="1" xfId="1" applyNumberFormat="1" applyFill="1" applyBorder="1" applyAlignment="1">
      <alignment vertical="center"/>
    </xf>
    <xf numFmtId="3" fontId="23" fillId="10" borderId="1" xfId="1" applyNumberFormat="1" applyFont="1" applyFill="1" applyBorder="1" applyAlignment="1">
      <alignment vertical="center"/>
    </xf>
    <xf numFmtId="3" fontId="40" fillId="0" borderId="1" xfId="1" applyNumberFormat="1" applyFont="1" applyBorder="1" applyAlignment="1">
      <alignment vertical="center"/>
    </xf>
    <xf numFmtId="3" fontId="40" fillId="0" borderId="6" xfId="1" applyNumberFormat="1" applyFont="1" applyBorder="1" applyAlignment="1">
      <alignment vertical="center"/>
    </xf>
    <xf numFmtId="3" fontId="40" fillId="5" borderId="1" xfId="1" applyNumberFormat="1" applyFont="1" applyFill="1" applyBorder="1" applyAlignment="1">
      <alignment vertical="center"/>
    </xf>
    <xf numFmtId="3" fontId="40" fillId="5" borderId="6" xfId="1" applyNumberFormat="1" applyFont="1" applyFill="1" applyBorder="1" applyAlignment="1">
      <alignment vertical="center"/>
    </xf>
    <xf numFmtId="3" fontId="40" fillId="6" borderId="1" xfId="1" applyNumberFormat="1" applyFont="1" applyFill="1" applyBorder="1"/>
    <xf numFmtId="3" fontId="40" fillId="6" borderId="6" xfId="1" applyNumberFormat="1" applyFont="1" applyFill="1" applyBorder="1"/>
    <xf numFmtId="3" fontId="40" fillId="2" borderId="8" xfId="1" applyNumberFormat="1" applyFont="1" applyFill="1" applyBorder="1"/>
    <xf numFmtId="3" fontId="40" fillId="2" borderId="9" xfId="1" applyNumberFormat="1" applyFont="1" applyFill="1" applyBorder="1"/>
    <xf numFmtId="3" fontId="40" fillId="0" borderId="52" xfId="0" applyNumberFormat="1" applyFont="1" applyBorder="1" applyAlignment="1">
      <alignment horizontal="center" vertical="center"/>
    </xf>
    <xf numFmtId="49" fontId="40" fillId="5" borderId="1" xfId="1" quotePrefix="1" applyNumberFormat="1" applyFont="1" applyFill="1" applyBorder="1" applyAlignment="1">
      <alignment horizontal="center" vertical="center"/>
    </xf>
    <xf numFmtId="1" fontId="40" fillId="5" borderId="1" xfId="1" quotePrefix="1" applyNumberFormat="1" applyFont="1" applyFill="1" applyBorder="1" applyAlignment="1">
      <alignment horizontal="center" vertical="center"/>
    </xf>
    <xf numFmtId="0" fontId="45" fillId="0" borderId="0" xfId="0" applyFont="1"/>
    <xf numFmtId="49" fontId="6" fillId="0" borderId="8" xfId="1" applyNumberFormat="1" applyFont="1" applyBorder="1" applyAlignment="1">
      <alignment vertical="center"/>
    </xf>
    <xf numFmtId="49" fontId="6" fillId="0" borderId="9" xfId="1" applyNumberFormat="1" applyFont="1" applyBorder="1" applyAlignment="1">
      <alignment horizontal="center" vertical="center"/>
    </xf>
    <xf numFmtId="49" fontId="21" fillId="0" borderId="9" xfId="1" applyNumberFormat="1" applyBorder="1" applyAlignment="1">
      <alignment horizontal="center" vertical="center"/>
    </xf>
    <xf numFmtId="49" fontId="5" fillId="0" borderId="8" xfId="1" applyNumberFormat="1" applyFont="1" applyBorder="1" applyAlignment="1">
      <alignment vertical="center"/>
    </xf>
    <xf numFmtId="49" fontId="5" fillId="0" borderId="9" xfId="1" applyNumberFormat="1" applyFont="1" applyBorder="1" applyAlignment="1">
      <alignment horizontal="center" vertical="center"/>
    </xf>
    <xf numFmtId="49" fontId="5" fillId="0" borderId="8" xfId="1" applyNumberFormat="1" applyFont="1" applyBorder="1" applyAlignment="1">
      <alignment horizontal="center"/>
    </xf>
    <xf numFmtId="49" fontId="5" fillId="0" borderId="9" xfId="1" applyNumberFormat="1" applyFont="1" applyBorder="1"/>
    <xf numFmtId="3" fontId="29" fillId="21" borderId="1" xfId="2" applyNumberFormat="1" applyFont="1" applyFill="1" applyBorder="1" applyAlignment="1">
      <alignment horizontal="right" vertical="center"/>
    </xf>
    <xf numFmtId="3" fontId="29" fillId="6" borderId="1" xfId="2" applyNumberFormat="1" applyFont="1" applyFill="1" applyBorder="1" applyAlignment="1">
      <alignment horizontal="right" vertical="center"/>
    </xf>
    <xf numFmtId="3" fontId="29" fillId="5" borderId="24" xfId="2" applyNumberFormat="1" applyFont="1" applyFill="1" applyBorder="1" applyAlignment="1">
      <alignment horizontal="right" vertical="center"/>
    </xf>
    <xf numFmtId="3" fontId="29" fillId="6" borderId="46" xfId="2" applyNumberFormat="1" applyFont="1" applyFill="1" applyBorder="1" applyAlignment="1">
      <alignment horizontal="right" vertical="center"/>
    </xf>
    <xf numFmtId="3" fontId="38" fillId="12" borderId="24" xfId="3" applyNumberFormat="1" applyFont="1" applyFill="1" applyBorder="1" applyAlignment="1">
      <alignment horizontal="right" vertical="center" wrapText="1"/>
    </xf>
    <xf numFmtId="3" fontId="29" fillId="12" borderId="24" xfId="2" applyNumberFormat="1" applyFont="1" applyFill="1" applyBorder="1" applyAlignment="1">
      <alignment horizontal="right" vertical="center"/>
    </xf>
    <xf numFmtId="3" fontId="0" fillId="0" borderId="0" xfId="0" applyNumberFormat="1"/>
    <xf numFmtId="49" fontId="4" fillId="0" borderId="8" xfId="1" applyNumberFormat="1" applyFont="1" applyBorder="1" applyAlignment="1">
      <alignment vertical="center"/>
    </xf>
    <xf numFmtId="49" fontId="4" fillId="0" borderId="8" xfId="1" applyNumberFormat="1" applyFont="1" applyBorder="1" applyAlignment="1">
      <alignment horizontal="center" vertical="center"/>
    </xf>
    <xf numFmtId="49" fontId="4" fillId="0" borderId="9" xfId="1" applyNumberFormat="1" applyFont="1" applyBorder="1" applyAlignment="1">
      <alignment vertical="center"/>
    </xf>
    <xf numFmtId="49" fontId="23" fillId="11" borderId="8" xfId="1" applyNumberFormat="1" applyFont="1" applyFill="1" applyBorder="1" applyAlignment="1">
      <alignment horizontal="right" vertical="center"/>
    </xf>
    <xf numFmtId="49" fontId="24" fillId="0" borderId="48" xfId="0" applyNumberFormat="1" applyFont="1" applyBorder="1" applyAlignment="1">
      <alignment horizontal="center" vertical="center"/>
    </xf>
    <xf numFmtId="49" fontId="24" fillId="0" borderId="49" xfId="0" applyNumberFormat="1" applyFont="1" applyBorder="1" applyAlignment="1">
      <alignment horizontal="center" vertical="center"/>
    </xf>
    <xf numFmtId="49" fontId="24" fillId="0" borderId="50" xfId="0" applyNumberFormat="1" applyFont="1" applyBorder="1" applyAlignment="1">
      <alignment horizontal="center" vertical="center"/>
    </xf>
    <xf numFmtId="4" fontId="21" fillId="0" borderId="3" xfId="1" applyNumberFormat="1" applyBorder="1" applyAlignment="1">
      <alignment vertical="center"/>
    </xf>
    <xf numFmtId="4" fontId="21" fillId="0" borderId="1" xfId="1" applyNumberFormat="1" applyBorder="1" applyAlignment="1">
      <alignment vertical="center"/>
    </xf>
    <xf numFmtId="4" fontId="21" fillId="0" borderId="8" xfId="1" applyNumberFormat="1" applyBorder="1" applyAlignment="1">
      <alignment vertical="center"/>
    </xf>
    <xf numFmtId="49" fontId="24" fillId="4" borderId="48" xfId="1" quotePrefix="1" applyNumberFormat="1" applyFont="1" applyFill="1" applyBorder="1" applyAlignment="1">
      <alignment horizontal="center" vertical="center"/>
    </xf>
    <xf numFmtId="49" fontId="24" fillId="4" borderId="49" xfId="1" applyNumberFormat="1" applyFont="1" applyFill="1" applyBorder="1" applyAlignment="1">
      <alignment horizontal="center" vertical="center"/>
    </xf>
    <xf numFmtId="49" fontId="24" fillId="4" borderId="50" xfId="1" applyNumberFormat="1" applyFont="1" applyFill="1" applyBorder="1" applyAlignment="1">
      <alignment horizontal="center" vertical="center"/>
    </xf>
    <xf numFmtId="0" fontId="42" fillId="4" borderId="8" xfId="1" applyFont="1" applyFill="1" applyBorder="1" applyAlignment="1">
      <alignment horizontal="left" vertical="center" wrapText="1"/>
    </xf>
    <xf numFmtId="49" fontId="42" fillId="4" borderId="8" xfId="1" applyNumberFormat="1" applyFont="1" applyFill="1" applyBorder="1" applyAlignment="1">
      <alignment horizontal="center" vertical="center" wrapText="1"/>
    </xf>
    <xf numFmtId="0" fontId="42" fillId="4" borderId="8" xfId="1" applyFont="1" applyFill="1" applyBorder="1" applyAlignment="1">
      <alignment horizontal="center" vertical="center" wrapText="1"/>
    </xf>
    <xf numFmtId="3" fontId="21" fillId="0" borderId="0" xfId="1" applyNumberFormat="1"/>
    <xf numFmtId="4" fontId="21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49" fontId="3" fillId="0" borderId="8" xfId="1" applyNumberFormat="1" applyFont="1" applyBorder="1" applyAlignment="1">
      <alignment horizontal="center"/>
    </xf>
    <xf numFmtId="49" fontId="3" fillId="0" borderId="9" xfId="1" applyNumberFormat="1" applyFont="1" applyBorder="1"/>
    <xf numFmtId="49" fontId="3" fillId="0" borderId="8" xfId="1" applyNumberFormat="1" applyFont="1" applyBorder="1" applyAlignment="1">
      <alignment horizontal="center" vertical="center"/>
    </xf>
    <xf numFmtId="49" fontId="3" fillId="0" borderId="9" xfId="1" applyNumberFormat="1" applyFont="1" applyBorder="1" applyAlignment="1">
      <alignment vertical="center"/>
    </xf>
    <xf numFmtId="0" fontId="40" fillId="0" borderId="0" xfId="0" applyFont="1" applyAlignment="1">
      <alignment horizontal="center" vertical="center"/>
    </xf>
    <xf numFmtId="2" fontId="40" fillId="0" borderId="1" xfId="1" applyNumberFormat="1" applyFont="1" applyBorder="1" applyAlignment="1">
      <alignment vertical="center"/>
    </xf>
    <xf numFmtId="2" fontId="40" fillId="0" borderId="6" xfId="1" applyNumberFormat="1" applyFont="1" applyBorder="1" applyAlignment="1">
      <alignment vertical="center"/>
    </xf>
    <xf numFmtId="2" fontId="40" fillId="5" borderId="1" xfId="1" applyNumberFormat="1" applyFont="1" applyFill="1" applyBorder="1" applyAlignment="1">
      <alignment vertical="center"/>
    </xf>
    <xf numFmtId="2" fontId="40" fillId="5" borderId="6" xfId="1" applyNumberFormat="1" applyFont="1" applyFill="1" applyBorder="1" applyAlignment="1">
      <alignment vertical="center"/>
    </xf>
    <xf numFmtId="2" fontId="40" fillId="6" borderId="1" xfId="1" applyNumberFormat="1" applyFont="1" applyFill="1" applyBorder="1"/>
    <xf numFmtId="2" fontId="40" fillId="6" borderId="6" xfId="1" applyNumberFormat="1" applyFont="1" applyFill="1" applyBorder="1"/>
    <xf numFmtId="2" fontId="40" fillId="2" borderId="8" xfId="1" applyNumberFormat="1" applyFont="1" applyFill="1" applyBorder="1"/>
    <xf numFmtId="2" fontId="40" fillId="2" borderId="9" xfId="1" applyNumberFormat="1" applyFont="1" applyFill="1" applyBorder="1"/>
    <xf numFmtId="2" fontId="40" fillId="0" borderId="0" xfId="0" applyNumberFormat="1" applyFont="1" applyAlignment="1">
      <alignment horizontal="center" vertical="center"/>
    </xf>
    <xf numFmtId="164" fontId="21" fillId="0" borderId="0" xfId="1" applyNumberFormat="1"/>
    <xf numFmtId="165" fontId="23" fillId="11" borderId="8" xfId="1" applyNumberFormat="1" applyFont="1" applyFill="1" applyBorder="1" applyAlignment="1">
      <alignment vertical="center"/>
    </xf>
    <xf numFmtId="49" fontId="2" fillId="0" borderId="8" xfId="1" applyNumberFormat="1" applyFont="1" applyBorder="1" applyAlignment="1">
      <alignment horizontal="center"/>
    </xf>
    <xf numFmtId="49" fontId="2" fillId="0" borderId="9" xfId="1" applyNumberFormat="1" applyFont="1" applyBorder="1"/>
    <xf numFmtId="49" fontId="1" fillId="0" borderId="8" xfId="1" applyNumberFormat="1" applyFont="1" applyBorder="1" applyAlignment="1">
      <alignment horizontal="center"/>
    </xf>
    <xf numFmtId="49" fontId="1" fillId="0" borderId="9" xfId="1" applyNumberFormat="1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 vertical="center"/>
    </xf>
    <xf numFmtId="0" fontId="43" fillId="3" borderId="1" xfId="1" applyFont="1" applyFill="1" applyBorder="1" applyAlignment="1">
      <alignment horizontal="center" vertical="center"/>
    </xf>
    <xf numFmtId="0" fontId="44" fillId="0" borderId="1" xfId="1" applyFont="1" applyBorder="1"/>
    <xf numFmtId="0" fontId="26" fillId="0" borderId="38" xfId="1" applyFont="1" applyBorder="1" applyAlignment="1">
      <alignment horizontal="center" vertical="center"/>
    </xf>
    <xf numFmtId="0" fontId="26" fillId="0" borderId="27" xfId="1" applyFont="1" applyBorder="1" applyAlignment="1">
      <alignment horizontal="center" vertical="center"/>
    </xf>
    <xf numFmtId="0" fontId="26" fillId="0" borderId="39" xfId="1" applyFont="1" applyBorder="1" applyAlignment="1">
      <alignment horizontal="center" vertical="center"/>
    </xf>
    <xf numFmtId="0" fontId="27" fillId="0" borderId="38" xfId="1" applyFont="1" applyBorder="1" applyAlignment="1">
      <alignment horizontal="center" vertical="center"/>
    </xf>
    <xf numFmtId="0" fontId="27" fillId="0" borderId="27" xfId="1" applyFont="1" applyBorder="1" applyAlignment="1">
      <alignment horizontal="center" vertical="center"/>
    </xf>
    <xf numFmtId="0" fontId="27" fillId="0" borderId="39" xfId="1" applyFont="1" applyBorder="1" applyAlignment="1">
      <alignment horizontal="center" vertical="center"/>
    </xf>
    <xf numFmtId="2" fontId="29" fillId="16" borderId="0" xfId="2" applyNumberFormat="1" applyFont="1" applyFill="1" applyAlignment="1">
      <alignment horizontal="left" vertical="center"/>
    </xf>
    <xf numFmtId="0" fontId="28" fillId="0" borderId="28" xfId="2" applyBorder="1" applyAlignment="1">
      <alignment horizontal="center"/>
    </xf>
    <xf numFmtId="0" fontId="28" fillId="0" borderId="0" xfId="2" applyAlignment="1">
      <alignment horizontal="center"/>
    </xf>
    <xf numFmtId="2" fontId="28" fillId="0" borderId="28" xfId="2" applyNumberFormat="1" applyBorder="1" applyAlignment="1">
      <alignment horizontal="left" vertical="center" wrapText="1"/>
    </xf>
    <xf numFmtId="2" fontId="28" fillId="0" borderId="0" xfId="2" applyNumberFormat="1" applyAlignment="1">
      <alignment horizontal="left" vertical="center" wrapText="1"/>
    </xf>
    <xf numFmtId="2" fontId="29" fillId="13" borderId="0" xfId="2" applyNumberFormat="1" applyFont="1" applyFill="1" applyAlignment="1">
      <alignment horizontal="left" vertical="center" wrapText="1"/>
    </xf>
    <xf numFmtId="0" fontId="28" fillId="15" borderId="0" xfId="2" applyFill="1" applyAlignment="1">
      <alignment horizontal="left" vertical="center"/>
    </xf>
    <xf numFmtId="0" fontId="28" fillId="12" borderId="13" xfId="2" applyFill="1" applyBorder="1" applyAlignment="1">
      <alignment horizontal="center" vertical="center"/>
    </xf>
    <xf numFmtId="0" fontId="28" fillId="12" borderId="14" xfId="2" applyFill="1" applyBorder="1" applyAlignment="1">
      <alignment horizontal="center" vertical="center"/>
    </xf>
    <xf numFmtId="0" fontId="28" fillId="12" borderId="15" xfId="2" applyFill="1" applyBorder="1" applyAlignment="1">
      <alignment horizontal="center" vertical="center"/>
    </xf>
    <xf numFmtId="0" fontId="29" fillId="0" borderId="13" xfId="2" applyFont="1" applyBorder="1" applyAlignment="1">
      <alignment horizontal="center" vertical="center"/>
    </xf>
    <xf numFmtId="0" fontId="29" fillId="0" borderId="15" xfId="2" applyFont="1" applyBorder="1" applyAlignment="1">
      <alignment horizontal="center" vertical="center"/>
    </xf>
    <xf numFmtId="2" fontId="29" fillId="13" borderId="28" xfId="2" applyNumberFormat="1" applyFont="1" applyFill="1" applyBorder="1" applyAlignment="1">
      <alignment horizontal="center" vertical="center"/>
    </xf>
    <xf numFmtId="2" fontId="29" fillId="13" borderId="0" xfId="2" applyNumberFormat="1" applyFont="1" applyFill="1" applyAlignment="1">
      <alignment horizontal="center" vertical="center"/>
    </xf>
    <xf numFmtId="2" fontId="28" fillId="0" borderId="28" xfId="2" applyNumberFormat="1" applyBorder="1" applyAlignment="1">
      <alignment horizontal="center" vertical="center" wrapText="1"/>
    </xf>
    <xf numFmtId="2" fontId="28" fillId="0" borderId="0" xfId="2" applyNumberFormat="1" applyAlignment="1">
      <alignment horizontal="center" vertical="center" wrapText="1"/>
    </xf>
    <xf numFmtId="2" fontId="37" fillId="22" borderId="0" xfId="2" applyNumberFormat="1" applyFont="1" applyFill="1" applyAlignment="1">
      <alignment horizontal="left" vertical="center" wrapText="1"/>
    </xf>
    <xf numFmtId="0" fontId="29" fillId="5" borderId="19" xfId="2" applyFont="1" applyFill="1" applyBorder="1" applyAlignment="1">
      <alignment horizontal="center" vertical="center"/>
    </xf>
    <xf numFmtId="0" fontId="29" fillId="5" borderId="3" xfId="2" applyFont="1" applyFill="1" applyBorder="1" applyAlignment="1">
      <alignment horizontal="center" vertical="center"/>
    </xf>
    <xf numFmtId="0" fontId="31" fillId="5" borderId="21" xfId="2" applyFont="1" applyFill="1" applyBorder="1" applyAlignment="1">
      <alignment horizontal="left" vertical="center"/>
    </xf>
    <xf numFmtId="0" fontId="31" fillId="5" borderId="1" xfId="2" applyFont="1" applyFill="1" applyBorder="1" applyAlignment="1">
      <alignment horizontal="left" vertical="center"/>
    </xf>
    <xf numFmtId="0" fontId="28" fillId="5" borderId="21" xfId="2" applyFill="1" applyBorder="1" applyAlignment="1">
      <alignment horizontal="left" vertical="center"/>
    </xf>
    <xf numFmtId="0" fontId="28" fillId="5" borderId="1" xfId="2" applyFill="1" applyBorder="1" applyAlignment="1">
      <alignment horizontal="left" vertical="center"/>
    </xf>
    <xf numFmtId="0" fontId="28" fillId="5" borderId="24" xfId="2" applyFill="1" applyBorder="1" applyAlignment="1">
      <alignment horizontal="left" vertical="center" wrapText="1"/>
    </xf>
    <xf numFmtId="0" fontId="28" fillId="5" borderId="25" xfId="2" applyFill="1" applyBorder="1" applyAlignment="1">
      <alignment horizontal="left" vertical="center" wrapText="1"/>
    </xf>
    <xf numFmtId="0" fontId="28" fillId="5" borderId="23" xfId="2" applyFill="1" applyBorder="1" applyAlignment="1">
      <alignment horizontal="left" vertical="center"/>
    </xf>
    <xf numFmtId="0" fontId="28" fillId="5" borderId="24" xfId="2" applyFill="1" applyBorder="1" applyAlignment="1">
      <alignment horizontal="left" vertical="center"/>
    </xf>
    <xf numFmtId="0" fontId="29" fillId="6" borderId="21" xfId="2" applyFont="1" applyFill="1" applyBorder="1" applyAlignment="1">
      <alignment horizontal="center" vertical="center"/>
    </xf>
    <xf numFmtId="0" fontId="29" fillId="6" borderId="1" xfId="2" applyFont="1" applyFill="1" applyBorder="1" applyAlignment="1">
      <alignment horizontal="center" vertical="center"/>
    </xf>
    <xf numFmtId="0" fontId="29" fillId="5" borderId="13" xfId="2" applyFont="1" applyFill="1" applyBorder="1" applyAlignment="1">
      <alignment horizontal="center" vertical="center"/>
    </xf>
    <xf numFmtId="0" fontId="29" fillId="5" borderId="14" xfId="2" applyFont="1" applyFill="1" applyBorder="1" applyAlignment="1">
      <alignment horizontal="center" vertical="center"/>
    </xf>
    <xf numFmtId="0" fontId="29" fillId="5" borderId="15" xfId="2" applyFont="1" applyFill="1" applyBorder="1" applyAlignment="1">
      <alignment horizontal="center" vertical="center"/>
    </xf>
    <xf numFmtId="0" fontId="29" fillId="5" borderId="20" xfId="2" applyFont="1" applyFill="1" applyBorder="1" applyAlignment="1">
      <alignment horizontal="center" vertical="center"/>
    </xf>
    <xf numFmtId="0" fontId="28" fillId="5" borderId="22" xfId="2" applyFill="1" applyBorder="1" applyAlignment="1">
      <alignment horizontal="left" vertical="center"/>
    </xf>
    <xf numFmtId="3" fontId="29" fillId="6" borderId="1" xfId="2" applyNumberFormat="1" applyFont="1" applyFill="1" applyBorder="1" applyAlignment="1">
      <alignment horizontal="center" vertical="center"/>
    </xf>
    <xf numFmtId="0" fontId="29" fillId="6" borderId="23" xfId="2" applyFont="1" applyFill="1" applyBorder="1" applyAlignment="1">
      <alignment horizontal="center" vertical="center"/>
    </xf>
    <xf numFmtId="0" fontId="29" fillId="6" borderId="24" xfId="2" applyFont="1" applyFill="1" applyBorder="1" applyAlignment="1">
      <alignment horizontal="center" vertical="center"/>
    </xf>
    <xf numFmtId="3" fontId="29" fillId="6" borderId="24" xfId="2" applyNumberFormat="1" applyFont="1" applyFill="1" applyBorder="1" applyAlignment="1">
      <alignment horizontal="center" vertical="center"/>
    </xf>
    <xf numFmtId="0" fontId="28" fillId="6" borderId="1" xfId="2" applyFill="1" applyBorder="1" applyAlignment="1">
      <alignment horizontal="left" vertical="center"/>
    </xf>
    <xf numFmtId="0" fontId="28" fillId="6" borderId="22" xfId="2" applyFill="1" applyBorder="1" applyAlignment="1">
      <alignment horizontal="left" vertical="center"/>
    </xf>
    <xf numFmtId="0" fontId="28" fillId="6" borderId="24" xfId="2" applyFill="1" applyBorder="1" applyAlignment="1">
      <alignment horizontal="left" vertical="center" wrapText="1"/>
    </xf>
    <xf numFmtId="0" fontId="28" fillId="6" borderId="25" xfId="2" applyFill="1" applyBorder="1" applyAlignment="1">
      <alignment horizontal="left" vertical="center" wrapText="1"/>
    </xf>
    <xf numFmtId="0" fontId="28" fillId="19" borderId="38" xfId="2" applyFill="1" applyBorder="1" applyAlignment="1">
      <alignment horizontal="left" vertical="center" wrapText="1"/>
    </xf>
    <xf numFmtId="0" fontId="28" fillId="19" borderId="27" xfId="2" applyFill="1" applyBorder="1" applyAlignment="1">
      <alignment horizontal="left" vertical="center" wrapText="1"/>
    </xf>
    <xf numFmtId="0" fontId="28" fillId="19" borderId="39" xfId="2" applyFill="1" applyBorder="1" applyAlignment="1">
      <alignment horizontal="left" vertical="center" wrapText="1"/>
    </xf>
    <xf numFmtId="0" fontId="28" fillId="19" borderId="28" xfId="2" applyFill="1" applyBorder="1" applyAlignment="1">
      <alignment horizontal="left" vertical="center" wrapText="1"/>
    </xf>
    <xf numFmtId="0" fontId="28" fillId="19" borderId="0" xfId="2" applyFill="1" applyAlignment="1">
      <alignment horizontal="left" vertical="center" wrapText="1"/>
    </xf>
    <xf numFmtId="0" fontId="28" fillId="19" borderId="40" xfId="2" applyFill="1" applyBorder="1" applyAlignment="1">
      <alignment horizontal="left" vertical="center" wrapText="1"/>
    </xf>
    <xf numFmtId="0" fontId="28" fillId="19" borderId="41" xfId="2" applyFill="1" applyBorder="1" applyAlignment="1">
      <alignment horizontal="left" vertical="center" wrapText="1"/>
    </xf>
    <xf numFmtId="0" fontId="28" fillId="19" borderId="10" xfId="2" applyFill="1" applyBorder="1" applyAlignment="1">
      <alignment horizontal="left" vertical="center" wrapText="1"/>
    </xf>
    <xf numFmtId="0" fontId="28" fillId="19" borderId="42" xfId="2" applyFill="1" applyBorder="1" applyAlignment="1">
      <alignment horizontal="left" vertical="center" wrapText="1"/>
    </xf>
    <xf numFmtId="0" fontId="30" fillId="0" borderId="38" xfId="2" applyFont="1" applyBorder="1" applyAlignment="1">
      <alignment horizontal="center" vertical="center"/>
    </xf>
    <xf numFmtId="0" fontId="30" fillId="0" borderId="39" xfId="2" applyFont="1" applyBorder="1" applyAlignment="1">
      <alignment horizontal="center" vertical="center"/>
    </xf>
    <xf numFmtId="0" fontId="30" fillId="0" borderId="28" xfId="2" applyFont="1" applyBorder="1" applyAlignment="1">
      <alignment horizontal="center" vertical="center"/>
    </xf>
    <xf numFmtId="0" fontId="30" fillId="0" borderId="40" xfId="2" applyFont="1" applyBorder="1" applyAlignment="1">
      <alignment horizontal="center" vertical="center"/>
    </xf>
    <xf numFmtId="0" fontId="30" fillId="0" borderId="41" xfId="2" applyFont="1" applyBorder="1" applyAlignment="1">
      <alignment horizontal="center" vertical="center"/>
    </xf>
    <xf numFmtId="0" fontId="30" fillId="0" borderId="42" xfId="2" applyFont="1" applyBorder="1" applyAlignment="1">
      <alignment horizontal="center" vertical="center"/>
    </xf>
    <xf numFmtId="0" fontId="34" fillId="12" borderId="6" xfId="2" applyFont="1" applyFill="1" applyBorder="1" applyAlignment="1">
      <alignment horizontal="center" vertical="center" wrapText="1"/>
    </xf>
    <xf numFmtId="0" fontId="34" fillId="12" borderId="43" xfId="2" applyFont="1" applyFill="1" applyBorder="1" applyAlignment="1">
      <alignment horizontal="center" vertical="center" wrapText="1"/>
    </xf>
    <xf numFmtId="0" fontId="34" fillId="12" borderId="5" xfId="2" applyFont="1" applyFill="1" applyBorder="1" applyAlignment="1">
      <alignment horizontal="center" vertical="center" wrapText="1"/>
    </xf>
    <xf numFmtId="0" fontId="29" fillId="6" borderId="45" xfId="2" applyFont="1" applyFill="1" applyBorder="1" applyAlignment="1">
      <alignment horizontal="center" vertical="center"/>
    </xf>
    <xf numFmtId="0" fontId="29" fillId="6" borderId="46" xfId="2" applyFont="1" applyFill="1" applyBorder="1" applyAlignment="1">
      <alignment horizontal="center" vertical="center"/>
    </xf>
    <xf numFmtId="3" fontId="29" fillId="6" borderId="46" xfId="2" applyNumberFormat="1" applyFont="1" applyFill="1" applyBorder="1" applyAlignment="1">
      <alignment horizontal="center" vertical="center"/>
    </xf>
    <xf numFmtId="0" fontId="29" fillId="6" borderId="38" xfId="2" applyFont="1" applyFill="1" applyBorder="1" applyAlignment="1">
      <alignment horizontal="center" vertical="center"/>
    </xf>
    <xf numFmtId="0" fontId="29" fillId="6" borderId="27" xfId="2" applyFont="1" applyFill="1" applyBorder="1" applyAlignment="1">
      <alignment horizontal="center" vertical="center"/>
    </xf>
    <xf numFmtId="0" fontId="29" fillId="6" borderId="39" xfId="2" applyFont="1" applyFill="1" applyBorder="1" applyAlignment="1">
      <alignment horizontal="center" vertical="center"/>
    </xf>
    <xf numFmtId="0" fontId="28" fillId="6" borderId="46" xfId="2" applyFill="1" applyBorder="1" applyAlignment="1">
      <alignment horizontal="left" vertical="center"/>
    </xf>
    <xf numFmtId="0" fontId="28" fillId="6" borderId="47" xfId="2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">
    <cellStyle name="Normal" xfId="0" builtinId="0"/>
    <cellStyle name="Normal 2 2" xfId="2" xr:uid="{00000000-0005-0000-0000-000001000000}"/>
    <cellStyle name="Normal 5" xfId="1" xr:uid="{00000000-0005-0000-0000-000002000000}"/>
    <cellStyle name="Normal 5 2" xfId="3" xr:uid="{00000000-0005-0000-0000-000003000000}"/>
  </cellStyles>
  <dxfs count="260">
    <dxf>
      <numFmt numFmtId="19" formatCode="d/m/yyyy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font>
        <b val="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19" formatCode="d/m/yyyy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19" formatCode="d/m/yyyy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57BEEFA-A371-4AE6-A589-AA6F11CD7367}" autoFormatId="16" applyNumberFormats="0" applyBorderFormats="0" applyFontFormats="0" applyPatternFormats="0" applyAlignmentFormats="0" applyWidthHeightFormats="0">
  <queryTableRefresh nextId="9">
    <queryTableFields count="8">
      <queryTableField id="1" name="Fecha" tableColumnId="1"/>
      <queryTableField id="2" name="Concepto" tableColumnId="2"/>
      <queryTableField id="3" name="Descripcion" tableColumnId="3"/>
      <queryTableField id="4" name="Monto" tableColumnId="4"/>
      <queryTableField id="5" name="Categoria" tableColumnId="5"/>
      <queryTableField id="6" name="Tipo" tableColumnId="6"/>
      <queryTableField id="7" name="Detalles" tableColumnId="7"/>
      <queryTableField id="8" name="Medio de Pago" tableColumnId="8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Ene" displayName="Ene" ref="A1:F67" totalsRowShown="0">
  <autoFilter ref="A1:F67" xr:uid="{00000000-0009-0000-0100-000006000000}"/>
  <sortState xmlns:xlrd2="http://schemas.microsoft.com/office/spreadsheetml/2017/richdata2" ref="A2:F67">
    <sortCondition descending="1" ref="E1:E67"/>
  </sortState>
  <tableColumns count="6">
    <tableColumn id="1" xr3:uid="{00000000-0010-0000-0000-000001000000}" name="Columna1"/>
    <tableColumn id="2" xr3:uid="{00000000-0010-0000-0000-000002000000}" name="Fecha" dataDxfId="259"/>
    <tableColumn id="3" xr3:uid="{00000000-0010-0000-0000-000003000000}" name="Concepto"/>
    <tableColumn id="4" xr3:uid="{00000000-0010-0000-0000-000004000000}" name="Descripcion"/>
    <tableColumn id="5" xr3:uid="{00000000-0010-0000-0000-000005000000}" name="Monto" dataDxfId="258"/>
    <tableColumn id="6" xr3:uid="{00000000-0010-0000-0000-000006000000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Ene_Debitos" displayName="Ene_Debitos" ref="A1:J60" totalsRowCount="1">
  <autoFilter ref="A1:J59" xr:uid="{00000000-0009-0000-0100-000007000000}"/>
  <tableColumns count="10">
    <tableColumn id="1" xr3:uid="{00000000-0010-0000-0100-000001000000}" name="Columna1"/>
    <tableColumn id="2" xr3:uid="{00000000-0010-0000-0100-000002000000}" name="Fecha" dataDxfId="257"/>
    <tableColumn id="3" xr3:uid="{00000000-0010-0000-0100-000003000000}" name="Concepto"/>
    <tableColumn id="4" xr3:uid="{00000000-0010-0000-0100-000004000000}" name="Descripcion"/>
    <tableColumn id="5" xr3:uid="{00000000-0010-0000-0100-000005000000}" name="Gastos" totalsRowFunction="sum" dataDxfId="256" totalsRowDxfId="255"/>
    <tableColumn id="6" xr3:uid="{00000000-0010-0000-0100-000006000000}" name="Tarjetas" totalsRowFunction="sum" dataDxfId="254" totalsRowDxfId="253"/>
    <tableColumn id="7" xr3:uid="{00000000-0010-0000-0100-000007000000}" name="Impuestos" totalsRowFunction="sum" dataDxfId="252" totalsRowDxfId="251"/>
    <tableColumn id="8" xr3:uid="{00000000-0010-0000-0100-000008000000}" name="Inversiones" totalsRowFunction="sum" dataDxfId="250" totalsRowDxfId="249"/>
    <tableColumn id="9" xr3:uid="{00000000-0010-0000-0100-000009000000}" name="Extracciones" totalsRowFunction="sum" dataDxfId="248" totalsRowDxfId="247"/>
    <tableColumn id="10" xr3:uid="{00000000-0010-0000-0100-00000A000000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Ene_Creditos" displayName="Ene_Creditos" ref="A1:G12" totalsRowCount="1">
  <autoFilter ref="A1:G11" xr:uid="{00000000-0009-0000-0100-000008000000}"/>
  <tableColumns count="7">
    <tableColumn id="1" xr3:uid="{00000000-0010-0000-0200-000001000000}" name="Columna1"/>
    <tableColumn id="2" xr3:uid="{00000000-0010-0000-0200-000002000000}" name="Fecha" dataDxfId="246"/>
    <tableColumn id="3" xr3:uid="{00000000-0010-0000-0200-000003000000}" name="Concepto"/>
    <tableColumn id="4" xr3:uid="{00000000-0010-0000-0200-000004000000}" name="Descripcion"/>
    <tableColumn id="5" xr3:uid="{00000000-0010-0000-0200-000005000000}" name="Haberes" totalsRowFunction="sum" dataDxfId="245"/>
    <tableColumn id="6" xr3:uid="{00000000-0010-0000-0200-000006000000}" name="Extras" totalsRowFunction="sum" dataDxfId="244"/>
    <tableColumn id="7" xr3:uid="{00000000-0010-0000-0200-000007000000}" name="Inversiones" totalsRowFunction="sum" dataDxfId="2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Feb" displayName="Feb" ref="A1:F75" totalsRowShown="0">
  <autoFilter ref="A1:F75" xr:uid="{00000000-0009-0000-0100-00000A000000}"/>
  <tableColumns count="6">
    <tableColumn id="1" xr3:uid="{00000000-0010-0000-0300-000001000000}" name="Columna1"/>
    <tableColumn id="2" xr3:uid="{00000000-0010-0000-0300-000002000000}" name="Fecha" dataDxfId="242"/>
    <tableColumn id="3" xr3:uid="{00000000-0010-0000-0300-000003000000}" name="Concepto"/>
    <tableColumn id="4" xr3:uid="{00000000-0010-0000-0300-000004000000}" name="Descripcion"/>
    <tableColumn id="5" xr3:uid="{00000000-0010-0000-0300-000005000000}" name="Monto" dataDxfId="241"/>
    <tableColumn id="6" xr3:uid="{00000000-0010-0000-0300-000006000000}" name="NroComproba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Feb_Debitos" displayName="Feb_Debitos" ref="A1:J68" totalsRowCount="1">
  <autoFilter ref="A1:J67" xr:uid="{00000000-0009-0000-0100-00000D000000}"/>
  <tableColumns count="10">
    <tableColumn id="1" xr3:uid="{00000000-0010-0000-0400-000001000000}" name="Columna1"/>
    <tableColumn id="2" xr3:uid="{00000000-0010-0000-0400-000002000000}" name="Fecha" dataDxfId="240"/>
    <tableColumn id="3" xr3:uid="{00000000-0010-0000-0400-000003000000}" name="Concepto"/>
    <tableColumn id="4" xr3:uid="{00000000-0010-0000-0400-000004000000}" name="Descripcion"/>
    <tableColumn id="5" xr3:uid="{00000000-0010-0000-0400-000005000000}" name="Gastos" totalsRowFunction="sum" dataDxfId="239" totalsRowDxfId="238"/>
    <tableColumn id="6" xr3:uid="{00000000-0010-0000-0400-000006000000}" name="Tarjetas" totalsRowFunction="sum" dataDxfId="237" totalsRowDxfId="236"/>
    <tableColumn id="7" xr3:uid="{00000000-0010-0000-0400-000007000000}" name="Impuestos" totalsRowFunction="sum" dataDxfId="235" totalsRowDxfId="234"/>
    <tableColumn id="8" xr3:uid="{00000000-0010-0000-0400-000008000000}" name="Inversiones" totalsRowFunction="sum" dataDxfId="233" totalsRowDxfId="232"/>
    <tableColumn id="9" xr3:uid="{00000000-0010-0000-0400-000009000000}" name="Extracciones" totalsRowFunction="sum" dataDxfId="231" totalsRowDxfId="230"/>
    <tableColumn id="10" xr3:uid="{00000000-0010-0000-0400-00000A000000}" name="Comentario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5000000}" name="Feb_Creditos" displayName="Feb_Creditos" ref="A1:G12" totalsRowCount="1">
  <autoFilter ref="A1:G11" xr:uid="{00000000-0009-0000-0100-00000E000000}"/>
  <tableColumns count="7">
    <tableColumn id="1" xr3:uid="{00000000-0010-0000-0500-000001000000}" name="Columna1"/>
    <tableColumn id="2" xr3:uid="{00000000-0010-0000-0500-000002000000}" name="Fecha" dataDxfId="229"/>
    <tableColumn id="3" xr3:uid="{00000000-0010-0000-0500-000003000000}" name="Concepto"/>
    <tableColumn id="4" xr3:uid="{00000000-0010-0000-0500-000004000000}" name="Descripcion"/>
    <tableColumn id="5" xr3:uid="{00000000-0010-0000-0500-000005000000}" name="Haberes" totalsRowFunction="sum" dataDxfId="228" totalsRowDxfId="227"/>
    <tableColumn id="6" xr3:uid="{00000000-0010-0000-0500-000006000000}" name="Extras" totalsRowFunction="sum" dataDxfId="226" totalsRowDxfId="225"/>
    <tableColumn id="7" xr3:uid="{00000000-0010-0000-0500-000007000000}" name="Inversiones" totalsRowFunction="count" dataDxfId="2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6000000}" name="Feb_Efectivo" displayName="Feb_Efectivo" ref="A1:I5" totalsRowCount="1">
  <autoFilter ref="A1:I4" xr:uid="{00000000-0009-0000-0100-00000F000000}"/>
  <tableColumns count="9">
    <tableColumn id="1" xr3:uid="{00000000-0010-0000-0600-000001000000}" name="Fecha" dataDxfId="223"/>
    <tableColumn id="2" xr3:uid="{00000000-0010-0000-0600-000002000000}" name="Concepto"/>
    <tableColumn id="3" xr3:uid="{00000000-0010-0000-0600-000003000000}" name="Descripcion"/>
    <tableColumn id="4" xr3:uid="{00000000-0010-0000-0600-000004000000}" name="Gastos" totalsRowFunction="sum" dataDxfId="222" totalsRowDxfId="221"/>
    <tableColumn id="5" xr3:uid="{00000000-0010-0000-0600-000005000000}" name="Tarjetas" totalsRowFunction="sum" dataDxfId="220" totalsRowDxfId="219"/>
    <tableColumn id="6" xr3:uid="{00000000-0010-0000-0600-000006000000}" name="Impuestos" totalsRowFunction="sum" dataDxfId="218" totalsRowDxfId="217"/>
    <tableColumn id="7" xr3:uid="{00000000-0010-0000-0600-000007000000}" name="Inversiones" totalsRowFunction="sum" dataDxfId="216" totalsRowDxfId="215"/>
    <tableColumn id="8" xr3:uid="{00000000-0010-0000-0600-000008000000}" name="Extras" totalsRowFunction="sum" dataDxfId="214" totalsRowDxfId="213"/>
    <tableColumn id="9" xr3:uid="{00000000-0010-0000-0600-000009000000}" name="Comentarios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Mar" displayName="Mar" ref="A1:F83" totalsRowShown="0">
  <autoFilter ref="A1:F83" xr:uid="{00000000-0009-0000-0100-000010000000}"/>
  <tableColumns count="6">
    <tableColumn id="1" xr3:uid="{00000000-0010-0000-0700-000001000000}" name="Columna1"/>
    <tableColumn id="2" xr3:uid="{00000000-0010-0000-0700-000002000000}" name="Fecha" dataDxfId="212"/>
    <tableColumn id="3" xr3:uid="{00000000-0010-0000-0700-000003000000}" name="Concepto"/>
    <tableColumn id="4" xr3:uid="{00000000-0010-0000-0700-000004000000}" name="Descripcion"/>
    <tableColumn id="5" xr3:uid="{00000000-0010-0000-0700-000005000000}" name="Monto" dataDxfId="211"/>
    <tableColumn id="6" xr3:uid="{00000000-0010-0000-0700-000006000000}" name="NroComprobant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ar_Debitos" displayName="Mar_Debitos" ref="A1:J74" totalsRowCount="1">
  <autoFilter ref="A1:J73" xr:uid="{00000000-0009-0000-0100-000012000000}"/>
  <tableColumns count="10">
    <tableColumn id="1" xr3:uid="{00000000-0010-0000-0800-000001000000}" name="Columna1"/>
    <tableColumn id="2" xr3:uid="{00000000-0010-0000-0800-000002000000}" name="Fecha" dataDxfId="210"/>
    <tableColumn id="3" xr3:uid="{00000000-0010-0000-0800-000003000000}" name="Concepto"/>
    <tableColumn id="4" xr3:uid="{00000000-0010-0000-0800-000004000000}" name="Descripcion"/>
    <tableColumn id="5" xr3:uid="{00000000-0010-0000-0800-000005000000}" name="Gastos" totalsRowFunction="sum" dataDxfId="209" totalsRowDxfId="208"/>
    <tableColumn id="6" xr3:uid="{00000000-0010-0000-0800-000006000000}" name="Tarjetas" totalsRowFunction="sum" dataDxfId="207" totalsRowDxfId="206"/>
    <tableColumn id="7" xr3:uid="{00000000-0010-0000-0800-000007000000}" name="Impuestos" totalsRowFunction="sum" dataDxfId="205" totalsRowDxfId="204"/>
    <tableColumn id="8" xr3:uid="{00000000-0010-0000-0800-000008000000}" name="Inversiones" totalsRowFunction="sum" dataDxfId="203" totalsRowDxfId="202"/>
    <tableColumn id="9" xr3:uid="{00000000-0010-0000-0800-000009000000}" name="Extracciones" totalsRowFunction="sum" dataDxfId="201" totalsRowDxfId="200"/>
    <tableColumn id="10" xr3:uid="{00000000-0010-0000-0800-00000A000000}" name="Comentarios" totalsRowFunction="coun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9000000}" name="Mar_Creditos" displayName="Mar_Creditos" ref="A1:H14" totalsRowCount="1">
  <autoFilter ref="A1:H13" xr:uid="{00000000-0009-0000-0100-000013000000}"/>
  <tableColumns count="8">
    <tableColumn id="1" xr3:uid="{00000000-0010-0000-0900-000001000000}" name="Columna1"/>
    <tableColumn id="2" xr3:uid="{00000000-0010-0000-0900-000002000000}" name="Fecha" dataDxfId="199"/>
    <tableColumn id="3" xr3:uid="{00000000-0010-0000-0900-000003000000}" name="Concepto"/>
    <tableColumn id="4" xr3:uid="{00000000-0010-0000-0900-000004000000}" name="Descripcion"/>
    <tableColumn id="5" xr3:uid="{00000000-0010-0000-0900-000005000000}" name="Haberes" totalsRowFunction="sum" dataDxfId="198" totalsRowDxfId="197"/>
    <tableColumn id="6" xr3:uid="{00000000-0010-0000-0900-000006000000}" name="Extras" totalsRowFunction="sum" dataDxfId="196" totalsRowDxfId="195"/>
    <tableColumn id="7" xr3:uid="{00000000-0010-0000-0900-000007000000}" name="Inversiones" totalsRowFunction="sum" dataDxfId="194" totalsRowDxfId="193"/>
    <tableColumn id="8" xr3:uid="{00000000-0010-0000-0900-000008000000}" name="Columna2" totalsRowFunction="custom" dataDxfId="192" totalsRowDxfId="191">
      <totalsRowFormula>Mar_Creditos[[#Totals],[Extras]]+Mar_Creditos[[#Totals],[Inversiones]]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A000000}" name="Mar_Efectivo" displayName="Mar_Efectivo" ref="A1:I3" totalsRowCount="1">
  <autoFilter ref="A1:I2" xr:uid="{00000000-0009-0000-0100-000014000000}"/>
  <tableColumns count="9">
    <tableColumn id="1" xr3:uid="{00000000-0010-0000-0A00-000001000000}" name="Fecha" dataDxfId="190"/>
    <tableColumn id="2" xr3:uid="{00000000-0010-0000-0A00-000002000000}" name="Concepto"/>
    <tableColumn id="3" xr3:uid="{00000000-0010-0000-0A00-000003000000}" name="Descripcion"/>
    <tableColumn id="4" xr3:uid="{00000000-0010-0000-0A00-000004000000}" name="Gastos" totalsRowFunction="sum" dataDxfId="189" totalsRowDxfId="188"/>
    <tableColumn id="5" xr3:uid="{00000000-0010-0000-0A00-000005000000}" name="Tarjetas" totalsRowFunction="sum" dataDxfId="187" totalsRowDxfId="186"/>
    <tableColumn id="6" xr3:uid="{00000000-0010-0000-0A00-000006000000}" name="Impuestos" totalsRowFunction="sum" dataDxfId="185" totalsRowDxfId="184"/>
    <tableColumn id="7" xr3:uid="{00000000-0010-0000-0A00-000007000000}" name="Inversiones" totalsRowFunction="sum" dataDxfId="183" totalsRowDxfId="182"/>
    <tableColumn id="8" xr3:uid="{00000000-0010-0000-0A00-000008000000}" name="Extras" totalsRowFunction="sum" dataDxfId="181" totalsRowDxfId="180"/>
    <tableColumn id="9" xr3:uid="{00000000-0010-0000-0A00-000009000000}" name="Comentarios" totalsRowFunction="cou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B000000}" name="Meses" displayName="Meses" ref="A1:F518" totalsRowShown="0">
  <autoFilter ref="A1:F518" xr:uid="{00000000-0009-0000-0100-000015000000}">
    <filterColumn colId="1">
      <filters>
        <dateGroupItem year="2023" month="7" dateTimeGrouping="month"/>
      </filters>
    </filterColumn>
  </autoFilter>
  <sortState xmlns:xlrd2="http://schemas.microsoft.com/office/spreadsheetml/2017/richdata2" ref="A438:F518">
    <sortCondition ref="B1:B518"/>
  </sortState>
  <tableColumns count="6">
    <tableColumn id="1" xr3:uid="{00000000-0010-0000-0B00-000001000000}" name="Columna1" totalsRowDxfId="179"/>
    <tableColumn id="2" xr3:uid="{00000000-0010-0000-0B00-000002000000}" name="Fecha" dataDxfId="178" totalsRowDxfId="177"/>
    <tableColumn id="3" xr3:uid="{00000000-0010-0000-0B00-000003000000}" name="Concepto" totalsRowDxfId="176"/>
    <tableColumn id="4" xr3:uid="{00000000-0010-0000-0B00-000004000000}" name="Descripcion" totalsRowDxfId="175"/>
    <tableColumn id="5" xr3:uid="{00000000-0010-0000-0B00-000005000000}" name="Monto" dataDxfId="174" totalsRowDxfId="173"/>
    <tableColumn id="6" xr3:uid="{00000000-0010-0000-0B00-000006000000}" name="NroComprobante" totalsRowDxfId="17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C000000}" name="Abr" displayName="Abr" ref="A1:F70" totalsRowShown="0">
  <autoFilter ref="A1:F70" xr:uid="{00000000-0009-0000-0100-000016000000}"/>
  <tableColumns count="6">
    <tableColumn id="1" xr3:uid="{00000000-0010-0000-0C00-000001000000}" name="Columna1"/>
    <tableColumn id="2" xr3:uid="{00000000-0010-0000-0C00-000002000000}" name="Fecha" dataDxfId="171"/>
    <tableColumn id="3" xr3:uid="{00000000-0010-0000-0C00-000003000000}" name="Concepto"/>
    <tableColumn id="4" xr3:uid="{00000000-0010-0000-0C00-000004000000}" name="Descripcion"/>
    <tableColumn id="5" xr3:uid="{00000000-0010-0000-0C00-000005000000}" name="Monto" dataDxfId="170"/>
    <tableColumn id="6" xr3:uid="{00000000-0010-0000-0C00-000006000000}" name="NroComproban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D000000}" name="Debitos" displayName="Debitos" ref="A1:J457" headerRowDxfId="169">
  <autoFilter ref="A1:J457" xr:uid="{00000000-0009-0000-0100-000005000000}">
    <filterColumn colId="1">
      <filters>
        <dateGroupItem year="2023" month="7" dateTimeGrouping="month"/>
      </filters>
    </filterColumn>
  </autoFilter>
  <tableColumns count="10">
    <tableColumn id="1" xr3:uid="{00000000-0010-0000-0D00-000001000000}" name="Columna1" totalsRowLabel="Total"/>
    <tableColumn id="2" xr3:uid="{00000000-0010-0000-0D00-000002000000}" name="Fecha" dataDxfId="168"/>
    <tableColumn id="3" xr3:uid="{00000000-0010-0000-0D00-000003000000}" name="Concepto" totalsRowFunction="count"/>
    <tableColumn id="4" xr3:uid="{00000000-0010-0000-0D00-000004000000}" name="Descripcion"/>
    <tableColumn id="5" xr3:uid="{00000000-0010-0000-0D00-000005000000}" name="Gastos" totalsRowFunction="sum" dataDxfId="167" totalsRowDxfId="166"/>
    <tableColumn id="6" xr3:uid="{00000000-0010-0000-0D00-000006000000}" name="Tarjetas" totalsRowFunction="sum" dataDxfId="165" totalsRowDxfId="164"/>
    <tableColumn id="7" xr3:uid="{00000000-0010-0000-0D00-000007000000}" name="Impuestos" totalsRowFunction="sum" dataDxfId="163" totalsRowDxfId="162"/>
    <tableColumn id="8" xr3:uid="{00000000-0010-0000-0D00-000008000000}" name="Inversiones" totalsRowFunction="sum" dataDxfId="161" totalsRowDxfId="160"/>
    <tableColumn id="9" xr3:uid="{00000000-0010-0000-0D00-000009000000}" name="Extracciones" totalsRowFunction="sum" dataDxfId="159" totalsRowDxfId="158"/>
    <tableColumn id="10" xr3:uid="{00000000-0010-0000-0D00-00000A000000}" name="Comentarios" totalsRowFunction="count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564D81-0E0E-4FB5-BC2B-1018915073A7}" name="Respuestas_de_formulario_1" displayName="Respuestas_de_formulario_1" ref="A1:H68" tableType="queryTable" totalsRowShown="0">
  <autoFilter ref="A1:H68" xr:uid="{AC564D81-0E0E-4FB5-BC2B-1018915073A7}"/>
  <tableColumns count="8">
    <tableColumn id="1" xr3:uid="{DE432D7C-4B65-471B-9CF8-85ED3932FA06}" uniqueName="1" name="Fecha" queryTableFieldId="1" dataDxfId="0"/>
    <tableColumn id="2" xr3:uid="{DB2CD2A2-6125-4915-82D7-8FCDDB872C43}" uniqueName="2" name="Concepto" queryTableFieldId="2" dataDxfId="157"/>
    <tableColumn id="3" xr3:uid="{D3FA66F3-9F3B-4D46-AC16-84D11564AE4A}" uniqueName="3" name="Descripcion" queryTableFieldId="3" dataDxfId="156"/>
    <tableColumn id="4" xr3:uid="{44B4B80B-4523-44C0-9719-0CB8CA9EAD4C}" uniqueName="4" name="Monto" queryTableFieldId="4"/>
    <tableColumn id="5" xr3:uid="{6FE1F110-634B-4C29-9738-0D912E7DB5A4}" uniqueName="5" name="Categoria" queryTableFieldId="5" dataDxfId="155"/>
    <tableColumn id="6" xr3:uid="{60FBD25E-1B61-42A9-8114-8A191C09C2A1}" uniqueName="6" name="Tipo" queryTableFieldId="6" dataDxfId="154"/>
    <tableColumn id="7" xr3:uid="{B90A6A77-5A41-4D0D-83CD-95C28D20C65B}" uniqueName="7" name="Detalles" queryTableFieldId="7" dataDxfId="153"/>
    <tableColumn id="8" xr3:uid="{D4566A53-3DB9-43EA-BEFE-B20BE22F066D}" uniqueName="8" name="Medio de Pago" queryTableFieldId="8" dataDxfId="15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E000000}" name="Creditos" displayName="Creditos" ref="A1:H88" headerRowDxfId="151">
  <autoFilter ref="A1:H88" xr:uid="{00000000-0009-0000-0100-000017000000}">
    <filterColumn colId="1">
      <filters>
        <dateGroupItem year="2023" month="7" dateTimeGrouping="month"/>
      </filters>
    </filterColumn>
  </autoFilter>
  <tableColumns count="8">
    <tableColumn id="1" xr3:uid="{00000000-0010-0000-0E00-000001000000}" name="Columna1" totalsRowLabel="Total"/>
    <tableColumn id="2" xr3:uid="{00000000-0010-0000-0E00-000002000000}" name="Fecha" dataDxfId="150"/>
    <tableColumn id="3" xr3:uid="{00000000-0010-0000-0E00-000003000000}" name="Concepto"/>
    <tableColumn id="4" xr3:uid="{00000000-0010-0000-0E00-000004000000}" name="Descripcion"/>
    <tableColumn id="5" xr3:uid="{00000000-0010-0000-0E00-000005000000}" name="Haberes" totalsRowFunction="sum" dataDxfId="149" totalsRowDxfId="148"/>
    <tableColumn id="6" xr3:uid="{00000000-0010-0000-0E00-000006000000}" name="Extras" totalsRowFunction="sum" dataDxfId="147" totalsRowDxfId="146"/>
    <tableColumn id="7" xr3:uid="{00000000-0010-0000-0E00-000007000000}" name="Inversiones" totalsRowFunction="sum" dataDxfId="145" totalsRowDxfId="144"/>
    <tableColumn id="8" xr3:uid="{00000000-0010-0000-0E00-000008000000}" name="Comentarios" totalsRowFunction="count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Abr_Efectivo" displayName="Abr_Efectivo" ref="A1:I3" totalsRowCount="1">
  <autoFilter ref="A1:I2" xr:uid="{00000000-0009-0000-0100-000018000000}"/>
  <tableColumns count="9">
    <tableColumn id="1" xr3:uid="{00000000-0010-0000-0F00-000001000000}" name="Fecha" dataDxfId="143"/>
    <tableColumn id="2" xr3:uid="{00000000-0010-0000-0F00-000002000000}" name="Concepto"/>
    <tableColumn id="3" xr3:uid="{00000000-0010-0000-0F00-000003000000}" name="Descripcion"/>
    <tableColumn id="4" xr3:uid="{00000000-0010-0000-0F00-000004000000}" name="Gastos" totalsRowFunction="sum" dataDxfId="142" totalsRowDxfId="141"/>
    <tableColumn id="5" xr3:uid="{00000000-0010-0000-0F00-000005000000}" name="Tarjetas" totalsRowFunction="sum" dataDxfId="140" totalsRowDxfId="139"/>
    <tableColumn id="6" xr3:uid="{00000000-0010-0000-0F00-000006000000}" name="Impuestos" totalsRowFunction="sum" dataDxfId="138" totalsRowDxfId="137"/>
    <tableColumn id="7" xr3:uid="{00000000-0010-0000-0F00-000007000000}" name="Inversiones" totalsRowFunction="sum" dataDxfId="136" totalsRowDxfId="135"/>
    <tableColumn id="8" xr3:uid="{00000000-0010-0000-0F00-000008000000}" name="Extras" totalsRowFunction="sum" dataDxfId="134" totalsRowDxfId="133"/>
    <tableColumn id="9" xr3:uid="{00000000-0010-0000-0F00-000009000000}" name="Comentarios" totalsRowFunction="coun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0000000}" name="Dic_Efectivo" displayName="Dic_Efectivo" ref="A1:I3" totalsRowCount="1">
  <autoFilter ref="A1:I2" xr:uid="{00000000-0009-0000-0100-000004000000}"/>
  <tableColumns count="9">
    <tableColumn id="1" xr3:uid="{00000000-0010-0000-1000-000001000000}" name="Fecha" dataDxfId="132"/>
    <tableColumn id="2" xr3:uid="{00000000-0010-0000-1000-000002000000}" name="Concepto"/>
    <tableColumn id="3" xr3:uid="{00000000-0010-0000-1000-000003000000}" name="Descripcion"/>
    <tableColumn id="4" xr3:uid="{00000000-0010-0000-1000-000004000000}" name="Gastos" totalsRowFunction="sum" dataDxfId="131" totalsRowDxfId="130"/>
    <tableColumn id="5" xr3:uid="{00000000-0010-0000-1000-000005000000}" name="Tarjetas" totalsRowFunction="sum" dataDxfId="129" totalsRowDxfId="128"/>
    <tableColumn id="6" xr3:uid="{00000000-0010-0000-1000-000006000000}" name="Impuestos" totalsRowFunction="sum" dataDxfId="127" totalsRowDxfId="126"/>
    <tableColumn id="7" xr3:uid="{00000000-0010-0000-1000-000007000000}" name="Inversiones" totalsRowFunction="sum" dataDxfId="125" totalsRowDxfId="124"/>
    <tableColumn id="8" xr3:uid="{00000000-0010-0000-1000-000008000000}" name="Extras" totalsRowFunction="sum" dataDxfId="123" totalsRowDxfId="122"/>
    <tableColumn id="9" xr3:uid="{00000000-0010-0000-1000-000009000000}" name="Comentarios" totalsRowLabel="Regalo Niño Dios " totalsRowDxfId="12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1000000}" name="Dic_Debitos" displayName="Dic_Debitos" ref="A1:J79" totalsRowCount="1">
  <autoFilter ref="A1:J78" xr:uid="{00000000-0009-0000-0100-000003000000}"/>
  <tableColumns count="10">
    <tableColumn id="1" xr3:uid="{00000000-0010-0000-1100-000001000000}" name="Columna1"/>
    <tableColumn id="2" xr3:uid="{00000000-0010-0000-1100-000002000000}" name="Fecha" dataDxfId="120"/>
    <tableColumn id="3" xr3:uid="{00000000-0010-0000-1100-000003000000}" name="Concepto"/>
    <tableColumn id="4" xr3:uid="{00000000-0010-0000-1100-000004000000}" name="Descripcion"/>
    <tableColumn id="5" xr3:uid="{00000000-0010-0000-1100-000005000000}" name="Gastos" totalsRowFunction="sum" dataDxfId="119" totalsRowDxfId="118"/>
    <tableColumn id="6" xr3:uid="{00000000-0010-0000-1100-000006000000}" name="Tarjetas" totalsRowFunction="sum" dataDxfId="117" totalsRowDxfId="116"/>
    <tableColumn id="7" xr3:uid="{00000000-0010-0000-1100-000007000000}" name="Impuestos" totalsRowFunction="sum" dataDxfId="115" totalsRowDxfId="114"/>
    <tableColumn id="8" xr3:uid="{00000000-0010-0000-1100-000008000000}" name="Inversiones" totalsRowFunction="sum" dataDxfId="113" totalsRowDxfId="112"/>
    <tableColumn id="9" xr3:uid="{00000000-0010-0000-1100-000009000000}" name="Extracciones" totalsRowFunction="sum" dataDxfId="111" totalsRowDxfId="110"/>
    <tableColumn id="10" xr3:uid="{00000000-0010-0000-1100-00000A000000}" name="Comentarios" totalsRowFunction="count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12000000}" name="Dic_Creditos" displayName="Dic_Creditos" ref="A1:H8" totalsRowCount="1">
  <autoFilter ref="A1:H7" xr:uid="{00000000-0009-0000-0100-000034000000}"/>
  <tableColumns count="8">
    <tableColumn id="1" xr3:uid="{00000000-0010-0000-1200-000001000000}" name="Columna1"/>
    <tableColumn id="2" xr3:uid="{00000000-0010-0000-1200-000002000000}" name="Fecha" dataDxfId="109"/>
    <tableColumn id="3" xr3:uid="{00000000-0010-0000-1200-000003000000}" name="Concepto"/>
    <tableColumn id="4" xr3:uid="{00000000-0010-0000-1200-000004000000}" name="Descripcion"/>
    <tableColumn id="5" xr3:uid="{00000000-0010-0000-1200-000005000000}" name="Haberes" totalsRowFunction="sum" dataDxfId="108" totalsRowDxfId="107"/>
    <tableColumn id="6" xr3:uid="{00000000-0010-0000-1200-000006000000}" name="Extras" totalsRowFunction="sum" dataDxfId="106" totalsRowDxfId="105"/>
    <tableColumn id="7" xr3:uid="{00000000-0010-0000-1200-000007000000}" name="Inversiones" totalsRowFunction="sum" dataDxfId="104" totalsRowDxfId="103"/>
    <tableColumn id="8" xr3:uid="{00000000-0010-0000-1200-000008000000}" name="Comentarios" dataDxfId="10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3000000}" name="Ene_Efectivo" displayName="Ene_Efectivo" ref="A1:I3" totalsRowCount="1">
  <autoFilter ref="A1:I2" xr:uid="{00000000-0009-0000-0100-000009000000}"/>
  <tableColumns count="9">
    <tableColumn id="1" xr3:uid="{00000000-0010-0000-1300-000001000000}" name="Fecha" dataDxfId="101"/>
    <tableColumn id="2" xr3:uid="{00000000-0010-0000-1300-000002000000}" name="Concepto"/>
    <tableColumn id="3" xr3:uid="{00000000-0010-0000-1300-000003000000}" name="Descripcion"/>
    <tableColumn id="4" xr3:uid="{00000000-0010-0000-1300-000004000000}" name="Gastos" totalsRowFunction="sum" dataDxfId="100" totalsRowDxfId="99"/>
    <tableColumn id="5" xr3:uid="{00000000-0010-0000-1300-000005000000}" name="Tarjetas" totalsRowFunction="sum" dataDxfId="98" totalsRowDxfId="97"/>
    <tableColumn id="6" xr3:uid="{00000000-0010-0000-1300-000006000000}" name="Impuestos" totalsRowFunction="sum" dataDxfId="96" totalsRowDxfId="95"/>
    <tableColumn id="7" xr3:uid="{00000000-0010-0000-1300-000007000000}" name="Inversiones" totalsRowFunction="sum" dataDxfId="94" totalsRowDxfId="93"/>
    <tableColumn id="8" xr3:uid="{00000000-0010-0000-1300-000008000000}" name="Extras" totalsRowFunction="sum" dataDxfId="92" totalsRowDxfId="91"/>
    <tableColumn id="9" xr3:uid="{00000000-0010-0000-1300-000009000000}" name="Comentarios" totalsRowFunction="coun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otales" displayName="Totales" ref="A1:P7" totalsRowShown="0">
  <autoFilter ref="A1:P7" xr:uid="{00000000-0009-0000-0100-000019000000}"/>
  <tableColumns count="16">
    <tableColumn id="1" xr3:uid="{00000000-0010-0000-1600-000001000000}" name="Fecha" dataDxfId="90"/>
    <tableColumn id="2" xr3:uid="{00000000-0010-0000-1600-000002000000}" name="Concepto"/>
    <tableColumn id="3" xr3:uid="{00000000-0010-0000-1600-000003000000}" name="Descripcion"/>
    <tableColumn id="4" xr3:uid="{00000000-0010-0000-1600-000004000000}" name="Gastos" dataDxfId="89"/>
    <tableColumn id="5" xr3:uid="{00000000-0010-0000-1600-000005000000}" name="Tarjetas" dataDxfId="88"/>
    <tableColumn id="6" xr3:uid="{00000000-0010-0000-1600-000006000000}" name="Impuestos" dataDxfId="87"/>
    <tableColumn id="7" xr3:uid="{00000000-0010-0000-1600-000007000000}" name="Inversiones" dataDxfId="86"/>
    <tableColumn id="8" xr3:uid="{00000000-0010-0000-1600-000008000000}" name="Extracciones" dataDxfId="85"/>
    <tableColumn id="9" xr3:uid="{00000000-0010-0000-1600-000009000000}" name="Gastos_efe" dataDxfId="84"/>
    <tableColumn id="10" xr3:uid="{00000000-0010-0000-1600-00000A000000}" name="Tarjetas_efe" dataDxfId="83"/>
    <tableColumn id="11" xr3:uid="{00000000-0010-0000-1600-00000B000000}" name="Impuestos_efe" dataDxfId="82"/>
    <tableColumn id="12" xr3:uid="{00000000-0010-0000-1600-00000C000000}" name="Haberes" dataDxfId="81"/>
    <tableColumn id="13" xr3:uid="{00000000-0010-0000-1600-00000D000000}" name="Extras" dataDxfId="80"/>
    <tableColumn id="14" xr3:uid="{00000000-0010-0000-1600-00000E000000}" name="Inversiones_acred" dataDxfId="79"/>
    <tableColumn id="15" xr3:uid="{00000000-0010-0000-1600-00000F000000}" name="Extras_efe" dataDxfId="78"/>
    <tableColumn id="16" xr3:uid="{00000000-0010-0000-1600-000010000000}" name="Comentarios" dataDxfId="77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7000000}" name="Impuestos_2022" displayName="Impuestos_2022" ref="A3:Q17" totalsRowCount="1" headerRowDxfId="76" dataDxfId="74" totalsRowDxfId="72" headerRowBorderDxfId="75" tableBorderDxfId="73" totalsRowBorderDxfId="71" headerRowCellStyle="Normal 5">
  <autoFilter ref="A3:Q16" xr:uid="{00000000-0009-0000-0100-000001000000}"/>
  <sortState xmlns:xlrd2="http://schemas.microsoft.com/office/spreadsheetml/2017/richdata2" ref="A4:Q16">
    <sortCondition descending="1" ref="A3:A16"/>
  </sortState>
  <tableColumns count="17">
    <tableColumn id="1" xr3:uid="{00000000-0010-0000-1700-000001000000}" name="ADMINISTRACION" dataDxfId="70" totalsRowDxfId="69"/>
    <tableColumn id="2" xr3:uid="{00000000-0010-0000-1700-000002000000}" name="TIPO" dataDxfId="68" totalsRowDxfId="67"/>
    <tableColumn id="3" xr3:uid="{00000000-0010-0000-1700-000003000000}" name="DESCRIPCION" dataDxfId="66" totalsRowDxfId="65"/>
    <tableColumn id="4" xr3:uid="{00000000-0010-0000-1700-000004000000}" name="CUENTA" dataDxfId="64" totalsRowDxfId="63"/>
    <tableColumn id="5" xr3:uid="{00000000-0010-0000-1700-000005000000}" name="PLAN" dataDxfId="62" totalsRowDxfId="61"/>
    <tableColumn id="6" xr3:uid="{00000000-0010-0000-1700-000006000000}" name="FEB" totalsRowFunction="sum" dataDxfId="60" totalsRowDxfId="59"/>
    <tableColumn id="7" xr3:uid="{00000000-0010-0000-1700-000007000000}" name="MAR" totalsRowFunction="sum" dataDxfId="58" totalsRowDxfId="57"/>
    <tableColumn id="8" xr3:uid="{00000000-0010-0000-1700-000008000000}" name="ABR" totalsRowFunction="sum" dataDxfId="56" totalsRowDxfId="55"/>
    <tableColumn id="9" xr3:uid="{00000000-0010-0000-1700-000009000000}" name="MAY" totalsRowFunction="sum" dataDxfId="54" totalsRowDxfId="53"/>
    <tableColumn id="10" xr3:uid="{00000000-0010-0000-1700-00000A000000}" name="JUN" totalsRowFunction="sum" dataDxfId="52" totalsRowDxfId="51"/>
    <tableColumn id="11" xr3:uid="{00000000-0010-0000-1700-00000B000000}" name="JUL" totalsRowFunction="sum" dataDxfId="50" totalsRowDxfId="49"/>
    <tableColumn id="12" xr3:uid="{00000000-0010-0000-1700-00000C000000}" name="AGO" totalsRowFunction="sum" dataDxfId="48" totalsRowDxfId="47"/>
    <tableColumn id="13" xr3:uid="{00000000-0010-0000-1700-00000D000000}" name="SEP" totalsRowFunction="sum" dataDxfId="46" totalsRowDxfId="45"/>
    <tableColumn id="14" xr3:uid="{00000000-0010-0000-1700-00000E000000}" name="OCT" totalsRowFunction="sum" dataDxfId="44" totalsRowDxfId="43"/>
    <tableColumn id="15" xr3:uid="{00000000-0010-0000-1700-00000F000000}" name="NOV" totalsRowFunction="sum" dataDxfId="42" totalsRowDxfId="41"/>
    <tableColumn id="16" xr3:uid="{00000000-0010-0000-1700-000010000000}" name="DIC" totalsRowFunction="sum" dataDxfId="40" totalsRowDxfId="39"/>
    <tableColumn id="17" xr3:uid="{00000000-0010-0000-1700-000011000000}" name="ENE" totalsRowFunction="sum" dataDxfId="38" totalsRowDxfId="37"/>
  </tableColumns>
  <tableStyleInfo name="TableStyleLight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8000000}" name="Tabla11" displayName="Tabla11" ref="A1:K25" totalsRowShown="0" headerRowDxfId="36" dataDxfId="34" headerRowBorderDxfId="35" tableBorderDxfId="33" headerRowCellStyle="Normal 5" dataCellStyle="Normal 5">
  <autoFilter ref="A1:K2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1800-000001000000}" name="Fecha Emisión" dataDxfId="32" dataCellStyle="Normal 5"/>
    <tableColumn id="2" xr3:uid="{00000000-0010-0000-1800-000002000000}" name="Fecha Vencimiento" dataDxfId="31" dataCellStyle="Normal 5"/>
    <tableColumn id="3" xr3:uid="{00000000-0010-0000-1800-000003000000}" name="Capital" dataDxfId="30" dataCellStyle="Normal 5"/>
    <tableColumn id="4" xr3:uid="{00000000-0010-0000-1800-000004000000}" name="Interes" dataDxfId="29" dataCellStyle="Normal 5"/>
    <tableColumn id="5" xr3:uid="{00000000-0010-0000-1800-000005000000}" name="Total" dataDxfId="28" dataCellStyle="Normal 5"/>
    <tableColumn id="6" xr3:uid="{00000000-0010-0000-1800-000006000000}" name="Nombre" dataDxfId="27" dataCellStyle="Normal 5"/>
    <tableColumn id="7" xr3:uid="{00000000-0010-0000-1800-000007000000}" name="Tipo" dataDxfId="26" dataCellStyle="Normal 5"/>
    <tableColumn id="8" xr3:uid="{00000000-0010-0000-1800-000008000000}" name="Comentario" dataDxfId="25" dataCellStyle="Normal 5"/>
    <tableColumn id="9" xr3:uid="{00000000-0010-0000-1800-000009000000}" name="ESTADO" dataDxfId="24" dataCellStyle="Normal 5"/>
    <tableColumn id="10" xr3:uid="{00000000-0010-0000-1800-00000A000000}" name="Banco" dataDxfId="23" dataCellStyle="Normal 5"/>
    <tableColumn id="11" xr3:uid="{00000000-0010-0000-1800-00000B000000}" name="Certificado" dataDxfId="22"/>
  </tableColumns>
  <tableStyleInfo name="TableStyleMedium1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9000000}" name="Tabla12" displayName="Tabla12" ref="A1:F51" totalsRowShown="0" headerRowDxfId="21" headerRowBorderDxfId="20" tableBorderDxfId="19" totalsRowBorderDxfId="18" headerRowCellStyle="Normal 5" dataCellStyle="Normal 5">
  <autoFilter ref="A1:F51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1900-000001000000}" name="Fecha" dataDxfId="17" dataCellStyle="Normal 5"/>
    <tableColumn id="2" xr3:uid="{00000000-0010-0000-1900-000002000000}" name="Referencia" dataDxfId="16" dataCellStyle="Normal 5"/>
    <tableColumn id="3" xr3:uid="{00000000-0010-0000-1900-000003000000}" name="Credito" dataDxfId="15" dataCellStyle="Normal 5"/>
    <tableColumn id="4" xr3:uid="{00000000-0010-0000-1900-000004000000}" name="Debito" dataDxfId="14" dataCellStyle="Normal 5"/>
    <tableColumn id="5" xr3:uid="{00000000-0010-0000-1900-000005000000}" name="Saldo" dataDxfId="13" dataCellStyle="Normal 5"/>
    <tableColumn id="6" xr3:uid="{00000000-0010-0000-1900-000006000000}" name="Comentario" dataDxfId="12" dataCellStyle="Normal 5"/>
  </tableColumns>
  <tableStyleInfo name="TableStyleMedium1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A000000}" name="Tabla17" displayName="Tabla17" ref="A1:F17" totalsRowShown="0" headerRowDxfId="11" dataDxfId="9" headerRowBorderDxfId="10" tableBorderDxfId="8" totalsRowBorderDxfId="7" headerRowCellStyle="Normal 5" dataCellStyle="Normal 5">
  <autoFilter ref="A1:F17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1A00-000001000000}" name="Fecha" dataDxfId="6" dataCellStyle="Normal 5"/>
    <tableColumn id="2" xr3:uid="{00000000-0010-0000-1A00-000002000000}" name="Referencia" dataDxfId="5" dataCellStyle="Normal 5"/>
    <tableColumn id="3" xr3:uid="{00000000-0010-0000-1A00-000003000000}" name="Credito" dataDxfId="4" dataCellStyle="Normal 5"/>
    <tableColumn id="4" xr3:uid="{00000000-0010-0000-1A00-000004000000}" name="Debito" dataDxfId="3" dataCellStyle="Normal 5"/>
    <tableColumn id="5" xr3:uid="{00000000-0010-0000-1A00-000005000000}" name="Saldo" dataDxfId="2" dataCellStyle="Normal 5"/>
    <tableColumn id="6" xr3:uid="{00000000-0010-0000-1A00-000006000000}" name="Comentario" dataDxfId="1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M24"/>
  <sheetViews>
    <sheetView workbookViewId="0">
      <selection activeCell="H3" sqref="H3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322" t="s">
        <v>320</v>
      </c>
      <c r="G2" s="322"/>
      <c r="H2" s="3" t="s">
        <v>590</v>
      </c>
      <c r="I2" t="s">
        <v>461</v>
      </c>
    </row>
    <row r="11" spans="2:9" x14ac:dyDescent="0.25">
      <c r="B11" s="4" t="s">
        <v>15</v>
      </c>
    </row>
    <row r="12" spans="2:9" x14ac:dyDescent="0.25">
      <c r="B12" s="4"/>
    </row>
    <row r="13" spans="2:9" x14ac:dyDescent="0.25">
      <c r="B13" s="323" t="s">
        <v>16</v>
      </c>
      <c r="C13" s="323"/>
      <c r="D13" s="323"/>
      <c r="E13" s="323"/>
      <c r="F13" s="323"/>
      <c r="G13" s="323"/>
      <c r="H13" s="323"/>
      <c r="I13" s="323"/>
    </row>
    <row r="14" spans="2:9" x14ac:dyDescent="0.25">
      <c r="B14" s="323" t="s">
        <v>17</v>
      </c>
      <c r="C14" s="323"/>
      <c r="D14" s="323"/>
      <c r="E14" s="323"/>
      <c r="F14" s="323"/>
      <c r="G14" s="323"/>
      <c r="H14" s="323"/>
      <c r="I14" s="323"/>
    </row>
    <row r="15" spans="2:9" x14ac:dyDescent="0.25">
      <c r="B15" s="323" t="s">
        <v>18</v>
      </c>
      <c r="C15" s="323"/>
      <c r="D15" s="323"/>
      <c r="E15" s="323"/>
      <c r="F15" s="323"/>
      <c r="G15" s="323"/>
      <c r="H15" s="323"/>
      <c r="I15" s="323"/>
    </row>
    <row r="16" spans="2:9" x14ac:dyDescent="0.25">
      <c r="B16" s="323"/>
      <c r="C16" s="323"/>
      <c r="D16" s="323"/>
      <c r="E16" s="323"/>
      <c r="F16" s="323"/>
      <c r="G16" s="323"/>
      <c r="H16" s="323"/>
      <c r="I16" s="323"/>
    </row>
    <row r="17" spans="2:13" x14ac:dyDescent="0.25">
      <c r="B17" s="323"/>
      <c r="C17" s="323"/>
      <c r="D17" s="323"/>
      <c r="E17" s="323"/>
      <c r="F17" s="323"/>
      <c r="G17" s="323"/>
      <c r="H17" s="323"/>
      <c r="I17" s="323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320" t="s">
        <v>19</v>
      </c>
      <c r="C19" s="320"/>
      <c r="D19" s="320"/>
      <c r="E19" s="320"/>
      <c r="F19" s="320"/>
      <c r="G19" s="320"/>
      <c r="H19" s="320"/>
      <c r="I19" s="320"/>
      <c r="J19" s="320"/>
      <c r="K19" s="320"/>
      <c r="L19" s="320"/>
      <c r="M19" s="320"/>
    </row>
    <row r="20" spans="2:13" x14ac:dyDescent="0.25">
      <c r="B20" s="321" t="s">
        <v>20</v>
      </c>
      <c r="C20" s="321"/>
      <c r="D20" s="321"/>
      <c r="E20" s="321"/>
      <c r="F20" s="321"/>
      <c r="G20" s="321"/>
      <c r="H20" s="321"/>
      <c r="I20" s="321"/>
      <c r="J20" s="321"/>
      <c r="K20" s="321"/>
      <c r="L20" s="321"/>
      <c r="M20" s="321"/>
    </row>
    <row r="21" spans="2:13" x14ac:dyDescent="0.25">
      <c r="B21" s="320" t="s">
        <v>21</v>
      </c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A1:F67"/>
  <sheetViews>
    <sheetView topLeftCell="A49" workbookViewId="0">
      <selection activeCell="J20" sqref="J2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95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95" t="s">
        <v>323</v>
      </c>
      <c r="F1" t="s">
        <v>324</v>
      </c>
    </row>
    <row r="2" spans="1:6" x14ac:dyDescent="0.25">
      <c r="A2">
        <v>38</v>
      </c>
      <c r="B2" s="94">
        <v>44937</v>
      </c>
      <c r="C2" t="s">
        <v>243</v>
      </c>
      <c r="E2" s="95">
        <v>371575.34</v>
      </c>
      <c r="F2">
        <v>452624</v>
      </c>
    </row>
    <row r="3" spans="1:6" x14ac:dyDescent="0.25">
      <c r="A3">
        <v>53</v>
      </c>
      <c r="B3" s="94">
        <v>44931</v>
      </c>
      <c r="C3" t="s">
        <v>226</v>
      </c>
      <c r="D3" t="s">
        <v>227</v>
      </c>
      <c r="E3" s="95">
        <v>157806.07999999999</v>
      </c>
      <c r="F3">
        <v>0</v>
      </c>
    </row>
    <row r="4" spans="1:6" x14ac:dyDescent="0.25">
      <c r="A4">
        <v>4</v>
      </c>
      <c r="B4" s="94">
        <v>44956</v>
      </c>
      <c r="C4" t="s">
        <v>221</v>
      </c>
      <c r="D4" t="s">
        <v>356</v>
      </c>
      <c r="E4" s="95">
        <v>80000</v>
      </c>
      <c r="F4">
        <v>415126</v>
      </c>
    </row>
    <row r="5" spans="1:6" x14ac:dyDescent="0.25">
      <c r="A5">
        <v>26</v>
      </c>
      <c r="B5" s="94">
        <v>44943</v>
      </c>
      <c r="C5" t="s">
        <v>358</v>
      </c>
      <c r="D5" t="s">
        <v>359</v>
      </c>
      <c r="E5" s="95">
        <v>47077</v>
      </c>
      <c r="F5">
        <v>938990</v>
      </c>
    </row>
    <row r="6" spans="1:6" x14ac:dyDescent="0.25">
      <c r="A6">
        <v>15</v>
      </c>
      <c r="B6" s="94">
        <v>44950</v>
      </c>
      <c r="C6" t="s">
        <v>221</v>
      </c>
      <c r="D6" t="s">
        <v>357</v>
      </c>
      <c r="E6" s="95">
        <v>23000</v>
      </c>
      <c r="F6">
        <v>530654</v>
      </c>
    </row>
    <row r="7" spans="1:6" x14ac:dyDescent="0.25">
      <c r="A7">
        <v>43</v>
      </c>
      <c r="B7" s="94">
        <v>44935</v>
      </c>
      <c r="C7" t="s">
        <v>325</v>
      </c>
      <c r="D7" t="s">
        <v>326</v>
      </c>
      <c r="E7" s="95">
        <v>20500</v>
      </c>
      <c r="F7">
        <v>15312</v>
      </c>
    </row>
    <row r="8" spans="1:6" x14ac:dyDescent="0.25">
      <c r="A8">
        <v>61</v>
      </c>
      <c r="B8" s="94">
        <v>44929</v>
      </c>
      <c r="C8" t="s">
        <v>221</v>
      </c>
      <c r="D8" t="s">
        <v>257</v>
      </c>
      <c r="E8" s="95">
        <v>2500</v>
      </c>
      <c r="F8">
        <v>125410</v>
      </c>
    </row>
    <row r="9" spans="1:6" x14ac:dyDescent="0.25">
      <c r="A9">
        <v>49</v>
      </c>
      <c r="B9" s="94">
        <v>44935</v>
      </c>
      <c r="C9" t="s">
        <v>221</v>
      </c>
      <c r="D9" t="s">
        <v>257</v>
      </c>
      <c r="E9" s="95">
        <v>1700</v>
      </c>
      <c r="F9">
        <v>321880</v>
      </c>
    </row>
    <row r="10" spans="1:6" x14ac:dyDescent="0.25">
      <c r="A10">
        <v>64</v>
      </c>
      <c r="B10" s="94">
        <v>44928</v>
      </c>
      <c r="C10" t="s">
        <v>360</v>
      </c>
      <c r="D10" t="s">
        <v>361</v>
      </c>
      <c r="E10" s="95">
        <v>1000</v>
      </c>
      <c r="F10">
        <v>4250080</v>
      </c>
    </row>
    <row r="11" spans="1:6" x14ac:dyDescent="0.25">
      <c r="A11">
        <v>65</v>
      </c>
      <c r="B11" s="94">
        <v>44927</v>
      </c>
      <c r="C11" t="s">
        <v>231</v>
      </c>
      <c r="E11" s="95">
        <v>38.01</v>
      </c>
      <c r="F11">
        <v>0</v>
      </c>
    </row>
    <row r="12" spans="1:6" x14ac:dyDescent="0.25">
      <c r="A12">
        <v>51</v>
      </c>
      <c r="B12" s="94">
        <v>44932</v>
      </c>
      <c r="C12" t="s">
        <v>211</v>
      </c>
      <c r="D12" t="s">
        <v>342</v>
      </c>
      <c r="E12" s="95">
        <v>-198.9</v>
      </c>
      <c r="F12">
        <v>2208</v>
      </c>
    </row>
    <row r="13" spans="1:6" x14ac:dyDescent="0.25">
      <c r="A13">
        <v>37</v>
      </c>
      <c r="B13" s="94">
        <v>44937</v>
      </c>
      <c r="C13" t="s">
        <v>211</v>
      </c>
      <c r="D13" t="s">
        <v>335</v>
      </c>
      <c r="E13" s="95">
        <v>-200</v>
      </c>
      <c r="F13">
        <v>915403</v>
      </c>
    </row>
    <row r="14" spans="1:6" x14ac:dyDescent="0.25">
      <c r="A14">
        <v>16</v>
      </c>
      <c r="B14" s="94">
        <v>44949</v>
      </c>
      <c r="C14" t="s">
        <v>211</v>
      </c>
      <c r="D14" t="s">
        <v>329</v>
      </c>
      <c r="E14" s="95">
        <v>-270</v>
      </c>
      <c r="F14">
        <v>18780</v>
      </c>
    </row>
    <row r="15" spans="1:6" x14ac:dyDescent="0.25">
      <c r="A15">
        <v>36</v>
      </c>
      <c r="B15" s="94">
        <v>44937</v>
      </c>
      <c r="C15" t="s">
        <v>211</v>
      </c>
      <c r="D15" t="s">
        <v>334</v>
      </c>
      <c r="E15" s="95">
        <v>-360</v>
      </c>
      <c r="F15">
        <v>25789</v>
      </c>
    </row>
    <row r="16" spans="1:6" x14ac:dyDescent="0.25">
      <c r="A16">
        <v>59</v>
      </c>
      <c r="B16" s="94">
        <v>44929</v>
      </c>
      <c r="C16" t="s">
        <v>211</v>
      </c>
      <c r="D16" t="s">
        <v>331</v>
      </c>
      <c r="E16" s="95">
        <v>-371.77</v>
      </c>
      <c r="F16">
        <v>69556</v>
      </c>
    </row>
    <row r="17" spans="1:6" x14ac:dyDescent="0.25">
      <c r="A17">
        <v>8</v>
      </c>
      <c r="B17" s="94">
        <v>44952</v>
      </c>
      <c r="C17" t="s">
        <v>211</v>
      </c>
      <c r="D17" t="s">
        <v>336</v>
      </c>
      <c r="E17" s="95">
        <v>-420</v>
      </c>
      <c r="F17">
        <v>74613</v>
      </c>
    </row>
    <row r="18" spans="1:6" x14ac:dyDescent="0.25">
      <c r="A18">
        <v>1</v>
      </c>
      <c r="B18" s="94">
        <v>44957</v>
      </c>
      <c r="C18" t="s">
        <v>215</v>
      </c>
      <c r="E18" s="95">
        <v>-437.54</v>
      </c>
      <c r="F18">
        <v>0</v>
      </c>
    </row>
    <row r="19" spans="1:6" x14ac:dyDescent="0.25">
      <c r="A19">
        <v>9</v>
      </c>
      <c r="B19" s="94">
        <v>44952</v>
      </c>
      <c r="C19" t="s">
        <v>211</v>
      </c>
      <c r="D19" t="s">
        <v>336</v>
      </c>
      <c r="E19" s="95">
        <v>-440</v>
      </c>
      <c r="F19">
        <v>19812</v>
      </c>
    </row>
    <row r="20" spans="1:6" x14ac:dyDescent="0.25">
      <c r="A20">
        <v>28</v>
      </c>
      <c r="B20" s="94">
        <v>44942</v>
      </c>
      <c r="C20" t="s">
        <v>211</v>
      </c>
      <c r="D20" t="s">
        <v>352</v>
      </c>
      <c r="E20" s="95">
        <v>-600</v>
      </c>
      <c r="F20">
        <v>632342</v>
      </c>
    </row>
    <row r="21" spans="1:6" x14ac:dyDescent="0.25">
      <c r="A21">
        <v>21</v>
      </c>
      <c r="B21" s="94">
        <v>44944</v>
      </c>
      <c r="C21" t="s">
        <v>211</v>
      </c>
      <c r="D21" t="s">
        <v>268</v>
      </c>
      <c r="E21" s="95">
        <v>-600</v>
      </c>
      <c r="F21">
        <v>981039</v>
      </c>
    </row>
    <row r="22" spans="1:6" x14ac:dyDescent="0.25">
      <c r="A22">
        <v>20</v>
      </c>
      <c r="B22" s="94">
        <v>44945</v>
      </c>
      <c r="C22" t="s">
        <v>211</v>
      </c>
      <c r="D22" t="s">
        <v>219</v>
      </c>
      <c r="E22" s="95">
        <v>-623.32000000000005</v>
      </c>
      <c r="F22">
        <v>414465</v>
      </c>
    </row>
    <row r="23" spans="1:6" x14ac:dyDescent="0.25">
      <c r="A23">
        <v>41</v>
      </c>
      <c r="B23" s="94">
        <v>44936</v>
      </c>
      <c r="C23" t="s">
        <v>211</v>
      </c>
      <c r="D23" t="s">
        <v>337</v>
      </c>
      <c r="E23" s="95">
        <v>-670</v>
      </c>
      <c r="F23">
        <v>857728</v>
      </c>
    </row>
    <row r="24" spans="1:6" x14ac:dyDescent="0.25">
      <c r="A24">
        <v>50</v>
      </c>
      <c r="B24" s="94">
        <v>44932</v>
      </c>
      <c r="C24" t="s">
        <v>211</v>
      </c>
      <c r="D24" t="s">
        <v>341</v>
      </c>
      <c r="E24" s="95">
        <v>-718.16</v>
      </c>
      <c r="F24">
        <v>19861</v>
      </c>
    </row>
    <row r="25" spans="1:6" x14ac:dyDescent="0.25">
      <c r="A25">
        <v>10</v>
      </c>
      <c r="B25" s="94">
        <v>44952</v>
      </c>
      <c r="C25" t="s">
        <v>211</v>
      </c>
      <c r="D25" t="s">
        <v>330</v>
      </c>
      <c r="E25" s="95">
        <v>-750</v>
      </c>
      <c r="F25">
        <v>66043</v>
      </c>
    </row>
    <row r="26" spans="1:6" x14ac:dyDescent="0.25">
      <c r="A26">
        <v>47</v>
      </c>
      <c r="B26" s="94">
        <v>44935</v>
      </c>
      <c r="C26" t="s">
        <v>211</v>
      </c>
      <c r="D26" t="s">
        <v>340</v>
      </c>
      <c r="E26" s="95">
        <v>-760</v>
      </c>
      <c r="F26">
        <v>28045</v>
      </c>
    </row>
    <row r="27" spans="1:6" x14ac:dyDescent="0.25">
      <c r="A27">
        <v>33</v>
      </c>
      <c r="B27" s="94">
        <v>44939</v>
      </c>
      <c r="C27" t="s">
        <v>211</v>
      </c>
      <c r="D27" t="s">
        <v>332</v>
      </c>
      <c r="E27" s="95">
        <v>-890</v>
      </c>
      <c r="F27">
        <v>21871</v>
      </c>
    </row>
    <row r="28" spans="1:6" x14ac:dyDescent="0.25">
      <c r="A28">
        <v>2</v>
      </c>
      <c r="B28" s="94">
        <v>44956</v>
      </c>
      <c r="C28" t="s">
        <v>211</v>
      </c>
      <c r="D28" t="s">
        <v>330</v>
      </c>
      <c r="E28" s="95">
        <v>-1000</v>
      </c>
      <c r="F28">
        <v>74049</v>
      </c>
    </row>
    <row r="29" spans="1:6" x14ac:dyDescent="0.25">
      <c r="A29">
        <v>14</v>
      </c>
      <c r="B29" s="94">
        <v>44950</v>
      </c>
      <c r="C29" t="s">
        <v>211</v>
      </c>
      <c r="D29" t="s">
        <v>351</v>
      </c>
      <c r="E29" s="95">
        <v>-1000</v>
      </c>
      <c r="F29">
        <v>72195</v>
      </c>
    </row>
    <row r="30" spans="1:6" x14ac:dyDescent="0.25">
      <c r="A30">
        <v>18</v>
      </c>
      <c r="B30" s="94">
        <v>44949</v>
      </c>
      <c r="C30" t="s">
        <v>211</v>
      </c>
      <c r="D30" t="s">
        <v>329</v>
      </c>
      <c r="E30" s="95">
        <v>-1029</v>
      </c>
      <c r="F30">
        <v>82446</v>
      </c>
    </row>
    <row r="31" spans="1:6" x14ac:dyDescent="0.25">
      <c r="A31">
        <v>6</v>
      </c>
      <c r="B31" s="94">
        <v>44953</v>
      </c>
      <c r="C31" t="s">
        <v>211</v>
      </c>
      <c r="D31" t="s">
        <v>330</v>
      </c>
      <c r="E31" s="95">
        <v>-1040</v>
      </c>
      <c r="F31">
        <v>96268</v>
      </c>
    </row>
    <row r="32" spans="1:6" x14ac:dyDescent="0.25">
      <c r="A32">
        <v>27</v>
      </c>
      <c r="B32" s="94">
        <v>44942</v>
      </c>
      <c r="C32" t="s">
        <v>211</v>
      </c>
      <c r="D32" t="s">
        <v>330</v>
      </c>
      <c r="E32" s="95">
        <v>-1120</v>
      </c>
      <c r="F32">
        <v>34838</v>
      </c>
    </row>
    <row r="33" spans="1:6" x14ac:dyDescent="0.25">
      <c r="A33">
        <v>13</v>
      </c>
      <c r="B33" s="94">
        <v>44951</v>
      </c>
      <c r="C33" t="s">
        <v>211</v>
      </c>
      <c r="D33" t="s">
        <v>347</v>
      </c>
      <c r="E33" s="95">
        <v>-1150</v>
      </c>
      <c r="F33">
        <v>940618</v>
      </c>
    </row>
    <row r="34" spans="1:6" x14ac:dyDescent="0.25">
      <c r="A34">
        <v>19</v>
      </c>
      <c r="B34" s="94">
        <v>44945</v>
      </c>
      <c r="C34" t="s">
        <v>211</v>
      </c>
      <c r="D34" t="s">
        <v>354</v>
      </c>
      <c r="E34" s="95">
        <v>-1180</v>
      </c>
      <c r="F34">
        <v>19587</v>
      </c>
    </row>
    <row r="35" spans="1:6" x14ac:dyDescent="0.25">
      <c r="A35">
        <v>39</v>
      </c>
      <c r="B35" s="94">
        <v>44936</v>
      </c>
      <c r="C35" t="s">
        <v>211</v>
      </c>
      <c r="D35" t="s">
        <v>329</v>
      </c>
      <c r="E35" s="95">
        <v>-1332</v>
      </c>
      <c r="F35">
        <v>47569</v>
      </c>
    </row>
    <row r="36" spans="1:6" x14ac:dyDescent="0.25">
      <c r="A36">
        <v>32</v>
      </c>
      <c r="B36" s="94">
        <v>44939</v>
      </c>
      <c r="C36" t="s">
        <v>211</v>
      </c>
      <c r="D36" t="s">
        <v>329</v>
      </c>
      <c r="E36" s="95">
        <v>-1333</v>
      </c>
      <c r="F36">
        <v>63420</v>
      </c>
    </row>
    <row r="37" spans="1:6" x14ac:dyDescent="0.25">
      <c r="A37">
        <v>63</v>
      </c>
      <c r="B37" s="94">
        <v>44928</v>
      </c>
      <c r="C37" t="s">
        <v>211</v>
      </c>
      <c r="D37" t="s">
        <v>350</v>
      </c>
      <c r="E37" s="95">
        <v>-1360.92</v>
      </c>
      <c r="F37">
        <v>103468</v>
      </c>
    </row>
    <row r="38" spans="1:6" x14ac:dyDescent="0.25">
      <c r="A38">
        <v>48</v>
      </c>
      <c r="B38" s="94">
        <v>44935</v>
      </c>
      <c r="C38" t="s">
        <v>211</v>
      </c>
      <c r="D38" t="s">
        <v>329</v>
      </c>
      <c r="E38" s="95">
        <v>-1380</v>
      </c>
      <c r="F38">
        <v>91174</v>
      </c>
    </row>
    <row r="39" spans="1:6" x14ac:dyDescent="0.25">
      <c r="A39">
        <v>35</v>
      </c>
      <c r="B39" s="94">
        <v>44937</v>
      </c>
      <c r="C39" t="s">
        <v>211</v>
      </c>
      <c r="D39" t="s">
        <v>330</v>
      </c>
      <c r="E39" s="95">
        <v>-1440</v>
      </c>
      <c r="F39">
        <v>70979</v>
      </c>
    </row>
    <row r="40" spans="1:6" x14ac:dyDescent="0.25">
      <c r="A40">
        <v>44</v>
      </c>
      <c r="B40" s="94">
        <v>44935</v>
      </c>
      <c r="C40" t="s">
        <v>211</v>
      </c>
      <c r="D40" t="s">
        <v>338</v>
      </c>
      <c r="E40" s="95">
        <v>-1700</v>
      </c>
      <c r="F40">
        <v>370436</v>
      </c>
    </row>
    <row r="41" spans="1:6" x14ac:dyDescent="0.25">
      <c r="A41">
        <v>11</v>
      </c>
      <c r="B41" s="94">
        <v>44952</v>
      </c>
      <c r="C41" t="s">
        <v>211</v>
      </c>
      <c r="D41" t="s">
        <v>329</v>
      </c>
      <c r="E41" s="95">
        <v>-1720</v>
      </c>
      <c r="F41">
        <v>62913</v>
      </c>
    </row>
    <row r="42" spans="1:6" x14ac:dyDescent="0.25">
      <c r="A42">
        <v>31</v>
      </c>
      <c r="B42" s="94">
        <v>44939</v>
      </c>
      <c r="C42" t="s">
        <v>211</v>
      </c>
      <c r="D42" t="s">
        <v>330</v>
      </c>
      <c r="E42" s="95">
        <v>-1780</v>
      </c>
      <c r="F42">
        <v>14877</v>
      </c>
    </row>
    <row r="43" spans="1:6" x14ac:dyDescent="0.25">
      <c r="A43">
        <v>29</v>
      </c>
      <c r="B43" s="94">
        <v>44942</v>
      </c>
      <c r="C43" t="s">
        <v>211</v>
      </c>
      <c r="D43" t="s">
        <v>346</v>
      </c>
      <c r="E43" s="95">
        <v>-1790</v>
      </c>
      <c r="F43">
        <v>84068</v>
      </c>
    </row>
    <row r="44" spans="1:6" x14ac:dyDescent="0.25">
      <c r="A44">
        <v>22</v>
      </c>
      <c r="B44" s="94">
        <v>44944</v>
      </c>
      <c r="C44" t="s">
        <v>211</v>
      </c>
      <c r="D44" t="s">
        <v>278</v>
      </c>
      <c r="E44" s="95">
        <v>-1828.25</v>
      </c>
      <c r="F44">
        <v>969183</v>
      </c>
    </row>
    <row r="45" spans="1:6" x14ac:dyDescent="0.25">
      <c r="A45">
        <v>54</v>
      </c>
      <c r="B45" s="94">
        <v>44930</v>
      </c>
      <c r="C45" t="s">
        <v>211</v>
      </c>
      <c r="D45" t="s">
        <v>344</v>
      </c>
      <c r="E45" s="95">
        <v>-1850</v>
      </c>
      <c r="F45">
        <v>63516</v>
      </c>
    </row>
    <row r="46" spans="1:6" x14ac:dyDescent="0.25">
      <c r="A46">
        <v>34</v>
      </c>
      <c r="B46" s="94">
        <v>44938</v>
      </c>
      <c r="C46" t="s">
        <v>211</v>
      </c>
      <c r="D46" t="s">
        <v>333</v>
      </c>
      <c r="E46" s="95">
        <v>-1930</v>
      </c>
      <c r="F46">
        <v>305722</v>
      </c>
    </row>
    <row r="47" spans="1:6" x14ac:dyDescent="0.25">
      <c r="A47">
        <v>52</v>
      </c>
      <c r="B47" s="94">
        <v>44931</v>
      </c>
      <c r="C47" t="s">
        <v>211</v>
      </c>
      <c r="D47" t="s">
        <v>343</v>
      </c>
      <c r="E47" s="95">
        <v>-2000</v>
      </c>
      <c r="F47">
        <v>392853</v>
      </c>
    </row>
    <row r="48" spans="1:6" x14ac:dyDescent="0.25">
      <c r="A48">
        <v>0</v>
      </c>
      <c r="B48" s="94">
        <v>44957</v>
      </c>
      <c r="C48" t="s">
        <v>214</v>
      </c>
      <c r="E48" s="95">
        <v>-2083.5300000000002</v>
      </c>
      <c r="F48">
        <v>0</v>
      </c>
    </row>
    <row r="49" spans="1:6" x14ac:dyDescent="0.25">
      <c r="A49">
        <v>17</v>
      </c>
      <c r="B49" s="94">
        <v>44949</v>
      </c>
      <c r="C49" t="s">
        <v>211</v>
      </c>
      <c r="D49" t="s">
        <v>353</v>
      </c>
      <c r="E49" s="95">
        <v>-2200</v>
      </c>
      <c r="F49">
        <v>44160</v>
      </c>
    </row>
    <row r="50" spans="1:6" x14ac:dyDescent="0.25">
      <c r="A50">
        <v>40</v>
      </c>
      <c r="B50" s="94">
        <v>44936</v>
      </c>
      <c r="C50" t="s">
        <v>211</v>
      </c>
      <c r="D50" t="s">
        <v>336</v>
      </c>
      <c r="E50" s="95">
        <v>-2580</v>
      </c>
      <c r="F50">
        <v>51231</v>
      </c>
    </row>
    <row r="51" spans="1:6" x14ac:dyDescent="0.25">
      <c r="A51">
        <v>12</v>
      </c>
      <c r="B51" s="94">
        <v>44952</v>
      </c>
      <c r="C51" t="s">
        <v>217</v>
      </c>
      <c r="D51" t="s">
        <v>362</v>
      </c>
      <c r="E51" s="95">
        <v>-3000</v>
      </c>
      <c r="F51">
        <v>366767</v>
      </c>
    </row>
    <row r="52" spans="1:6" x14ac:dyDescent="0.25">
      <c r="A52">
        <v>3</v>
      </c>
      <c r="B52" s="94">
        <v>44956</v>
      </c>
      <c r="C52" t="s">
        <v>211</v>
      </c>
      <c r="D52" t="s">
        <v>348</v>
      </c>
      <c r="E52" s="95">
        <v>-3110</v>
      </c>
      <c r="F52">
        <v>74558</v>
      </c>
    </row>
    <row r="53" spans="1:6" x14ac:dyDescent="0.25">
      <c r="A53">
        <v>5</v>
      </c>
      <c r="B53" s="94">
        <v>44953</v>
      </c>
      <c r="C53" t="s">
        <v>211</v>
      </c>
      <c r="D53" t="s">
        <v>349</v>
      </c>
      <c r="E53" s="95">
        <v>-3160</v>
      </c>
      <c r="F53">
        <v>104156</v>
      </c>
    </row>
    <row r="54" spans="1:6" x14ac:dyDescent="0.25">
      <c r="A54">
        <v>45</v>
      </c>
      <c r="B54" s="94">
        <v>44935</v>
      </c>
      <c r="C54" t="s">
        <v>211</v>
      </c>
      <c r="D54" t="s">
        <v>339</v>
      </c>
      <c r="E54" s="95">
        <v>-3990</v>
      </c>
      <c r="F54">
        <v>25141</v>
      </c>
    </row>
    <row r="55" spans="1:6" x14ac:dyDescent="0.25">
      <c r="A55">
        <v>24</v>
      </c>
      <c r="B55" s="94">
        <v>44943</v>
      </c>
      <c r="C55" t="s">
        <v>211</v>
      </c>
      <c r="D55" t="s">
        <v>355</v>
      </c>
      <c r="E55" s="95">
        <v>-4200</v>
      </c>
      <c r="F55">
        <v>809569</v>
      </c>
    </row>
    <row r="56" spans="1:6" x14ac:dyDescent="0.25">
      <c r="A56">
        <v>55</v>
      </c>
      <c r="B56" s="94">
        <v>44930</v>
      </c>
      <c r="C56" t="s">
        <v>211</v>
      </c>
      <c r="D56" t="s">
        <v>345</v>
      </c>
      <c r="E56" s="95">
        <v>-5738.14</v>
      </c>
      <c r="F56">
        <v>833536</v>
      </c>
    </row>
    <row r="57" spans="1:6" x14ac:dyDescent="0.25">
      <c r="A57">
        <v>30</v>
      </c>
      <c r="B57" s="94">
        <v>44942</v>
      </c>
      <c r="C57" t="s">
        <v>211</v>
      </c>
      <c r="D57" t="s">
        <v>329</v>
      </c>
      <c r="E57" s="95">
        <v>-5839</v>
      </c>
      <c r="F57">
        <v>23304</v>
      </c>
    </row>
    <row r="58" spans="1:6" x14ac:dyDescent="0.25">
      <c r="A58">
        <v>7</v>
      </c>
      <c r="B58" s="94">
        <v>44953</v>
      </c>
      <c r="C58" t="s">
        <v>217</v>
      </c>
      <c r="D58" t="s">
        <v>363</v>
      </c>
      <c r="E58" s="95">
        <v>-6000</v>
      </c>
      <c r="F58">
        <v>420763</v>
      </c>
    </row>
    <row r="59" spans="1:6" x14ac:dyDescent="0.25">
      <c r="A59">
        <v>42</v>
      </c>
      <c r="B59" s="94">
        <v>44936</v>
      </c>
      <c r="C59" t="s">
        <v>217</v>
      </c>
      <c r="D59" t="s">
        <v>363</v>
      </c>
      <c r="E59" s="95">
        <v>-6000</v>
      </c>
      <c r="F59">
        <v>268533</v>
      </c>
    </row>
    <row r="60" spans="1:6" x14ac:dyDescent="0.25">
      <c r="A60">
        <v>60</v>
      </c>
      <c r="B60" s="94">
        <v>44929</v>
      </c>
      <c r="C60" t="s">
        <v>211</v>
      </c>
      <c r="D60" t="s">
        <v>345</v>
      </c>
      <c r="E60" s="95">
        <v>-6267.17</v>
      </c>
      <c r="F60">
        <v>539917</v>
      </c>
    </row>
    <row r="61" spans="1:6" x14ac:dyDescent="0.25">
      <c r="A61">
        <v>23</v>
      </c>
      <c r="B61" s="94">
        <v>44944</v>
      </c>
      <c r="C61" t="s">
        <v>229</v>
      </c>
      <c r="D61" t="s">
        <v>230</v>
      </c>
      <c r="E61" s="95">
        <v>-10000</v>
      </c>
      <c r="F61">
        <v>5479</v>
      </c>
    </row>
    <row r="62" spans="1:6" x14ac:dyDescent="0.25">
      <c r="A62">
        <v>57</v>
      </c>
      <c r="B62" s="94">
        <v>44929</v>
      </c>
      <c r="C62" t="s">
        <v>327</v>
      </c>
      <c r="D62" t="s">
        <v>328</v>
      </c>
      <c r="E62" s="95">
        <v>-15007</v>
      </c>
      <c r="F62">
        <v>660959</v>
      </c>
    </row>
    <row r="63" spans="1:6" x14ac:dyDescent="0.25">
      <c r="A63">
        <v>58</v>
      </c>
      <c r="B63" s="94">
        <v>44929</v>
      </c>
      <c r="C63" t="s">
        <v>211</v>
      </c>
      <c r="D63" t="s">
        <v>219</v>
      </c>
      <c r="E63" s="95">
        <v>-15428.1</v>
      </c>
      <c r="F63">
        <v>559189</v>
      </c>
    </row>
    <row r="64" spans="1:6" x14ac:dyDescent="0.25">
      <c r="A64">
        <v>46</v>
      </c>
      <c r="B64" s="94">
        <v>44935</v>
      </c>
      <c r="C64" t="s">
        <v>211</v>
      </c>
      <c r="D64" t="s">
        <v>339</v>
      </c>
      <c r="E64" s="95">
        <v>-20500</v>
      </c>
      <c r="F64">
        <v>80730</v>
      </c>
    </row>
    <row r="65" spans="1:6" x14ac:dyDescent="0.25">
      <c r="A65">
        <v>25</v>
      </c>
      <c r="B65" s="94">
        <v>44943</v>
      </c>
      <c r="C65" t="s">
        <v>211</v>
      </c>
      <c r="D65" t="s">
        <v>286</v>
      </c>
      <c r="E65" s="95">
        <v>-42877.3</v>
      </c>
      <c r="F65">
        <v>55983</v>
      </c>
    </row>
    <row r="66" spans="1:6" x14ac:dyDescent="0.25">
      <c r="A66">
        <v>62</v>
      </c>
      <c r="B66" s="94">
        <v>44928</v>
      </c>
      <c r="C66" t="s">
        <v>224</v>
      </c>
      <c r="D66" t="s">
        <v>225</v>
      </c>
      <c r="E66" s="95">
        <v>-70193.279999999999</v>
      </c>
      <c r="F66">
        <v>400815</v>
      </c>
    </row>
    <row r="67" spans="1:6" x14ac:dyDescent="0.25">
      <c r="A67">
        <v>56</v>
      </c>
      <c r="B67" s="94">
        <v>44930</v>
      </c>
      <c r="C67" t="s">
        <v>222</v>
      </c>
      <c r="D67" t="s">
        <v>223</v>
      </c>
      <c r="E67" s="95">
        <v>-119932.09</v>
      </c>
      <c r="F67">
        <v>230103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/>
  <dimension ref="A1:J63"/>
  <sheetViews>
    <sheetView topLeftCell="A27" workbookViewId="0">
      <selection activeCell="A2" sqref="A2:J59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95" customWidth="1"/>
    <col min="9" max="9" width="14.625" style="95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233</v>
      </c>
      <c r="F1" s="95" t="s">
        <v>234</v>
      </c>
      <c r="G1" s="95" t="s">
        <v>235</v>
      </c>
      <c r="H1" s="95" t="s">
        <v>236</v>
      </c>
      <c r="I1" s="95" t="s">
        <v>237</v>
      </c>
      <c r="J1" t="s">
        <v>238</v>
      </c>
    </row>
    <row r="2" spans="1:10" x14ac:dyDescent="0.25">
      <c r="A2">
        <v>51</v>
      </c>
      <c r="B2" s="94">
        <v>44932</v>
      </c>
      <c r="C2" t="s">
        <v>211</v>
      </c>
      <c r="D2" t="s">
        <v>342</v>
      </c>
      <c r="E2" s="95">
        <v>-198.9</v>
      </c>
    </row>
    <row r="3" spans="1:10" x14ac:dyDescent="0.25">
      <c r="A3">
        <v>37</v>
      </c>
      <c r="B3" s="94">
        <v>44937</v>
      </c>
      <c r="C3" t="s">
        <v>211</v>
      </c>
      <c r="D3" t="s">
        <v>335</v>
      </c>
      <c r="E3" s="95">
        <v>-200</v>
      </c>
    </row>
    <row r="4" spans="1:10" x14ac:dyDescent="0.25">
      <c r="A4">
        <v>16</v>
      </c>
      <c r="B4" s="94">
        <v>44949</v>
      </c>
      <c r="C4" t="s">
        <v>211</v>
      </c>
      <c r="D4" t="s">
        <v>329</v>
      </c>
      <c r="E4" s="95">
        <v>-270</v>
      </c>
    </row>
    <row r="5" spans="1:10" x14ac:dyDescent="0.25">
      <c r="A5">
        <v>36</v>
      </c>
      <c r="B5" s="94">
        <v>44937</v>
      </c>
      <c r="C5" t="s">
        <v>211</v>
      </c>
      <c r="D5" t="s">
        <v>334</v>
      </c>
      <c r="E5" s="95">
        <v>-360</v>
      </c>
    </row>
    <row r="6" spans="1:10" x14ac:dyDescent="0.25">
      <c r="A6">
        <v>59</v>
      </c>
      <c r="B6" s="94">
        <v>44929</v>
      </c>
      <c r="C6" t="s">
        <v>211</v>
      </c>
      <c r="D6" t="s">
        <v>331</v>
      </c>
      <c r="E6" s="95">
        <v>-371.77</v>
      </c>
    </row>
    <row r="7" spans="1:10" x14ac:dyDescent="0.25">
      <c r="A7">
        <v>8</v>
      </c>
      <c r="B7" s="94">
        <v>44952</v>
      </c>
      <c r="C7" t="s">
        <v>211</v>
      </c>
      <c r="D7" t="s">
        <v>336</v>
      </c>
      <c r="E7" s="95">
        <v>-420</v>
      </c>
    </row>
    <row r="8" spans="1:10" x14ac:dyDescent="0.25">
      <c r="A8">
        <v>1</v>
      </c>
      <c r="B8" s="94">
        <v>44957</v>
      </c>
      <c r="C8" t="s">
        <v>215</v>
      </c>
      <c r="E8" s="95">
        <v>-437.54</v>
      </c>
    </row>
    <row r="9" spans="1:10" x14ac:dyDescent="0.25">
      <c r="A9">
        <v>9</v>
      </c>
      <c r="B9" s="94">
        <v>44952</v>
      </c>
      <c r="C9" t="s">
        <v>211</v>
      </c>
      <c r="D9" t="s">
        <v>336</v>
      </c>
      <c r="E9" s="95">
        <v>-440</v>
      </c>
    </row>
    <row r="10" spans="1:10" x14ac:dyDescent="0.25">
      <c r="A10">
        <v>21</v>
      </c>
      <c r="B10" s="94">
        <v>44944</v>
      </c>
      <c r="C10" t="s">
        <v>211</v>
      </c>
      <c r="D10" t="s">
        <v>268</v>
      </c>
      <c r="E10" s="95">
        <v>-600</v>
      </c>
    </row>
    <row r="11" spans="1:10" x14ac:dyDescent="0.25">
      <c r="A11">
        <v>28</v>
      </c>
      <c r="B11" s="94">
        <v>44942</v>
      </c>
      <c r="C11" t="s">
        <v>211</v>
      </c>
      <c r="D11" t="s">
        <v>352</v>
      </c>
      <c r="E11" s="95">
        <v>-600</v>
      </c>
    </row>
    <row r="12" spans="1:10" x14ac:dyDescent="0.25">
      <c r="A12">
        <v>20</v>
      </c>
      <c r="B12" s="94">
        <v>44945</v>
      </c>
      <c r="C12" t="s">
        <v>211</v>
      </c>
      <c r="D12" t="s">
        <v>219</v>
      </c>
      <c r="E12" s="95">
        <v>-623.32000000000005</v>
      </c>
    </row>
    <row r="13" spans="1:10" x14ac:dyDescent="0.25">
      <c r="A13">
        <v>41</v>
      </c>
      <c r="B13" s="94">
        <v>44936</v>
      </c>
      <c r="C13" t="s">
        <v>211</v>
      </c>
      <c r="D13" t="s">
        <v>337</v>
      </c>
      <c r="E13" s="95">
        <v>-670</v>
      </c>
    </row>
    <row r="14" spans="1:10" x14ac:dyDescent="0.25">
      <c r="A14">
        <v>50</v>
      </c>
      <c r="B14" s="94">
        <v>44932</v>
      </c>
      <c r="C14" t="s">
        <v>211</v>
      </c>
      <c r="D14" t="s">
        <v>341</v>
      </c>
      <c r="E14" s="95">
        <v>-718.16</v>
      </c>
    </row>
    <row r="15" spans="1:10" x14ac:dyDescent="0.25">
      <c r="A15">
        <v>10</v>
      </c>
      <c r="B15" s="94">
        <v>44952</v>
      </c>
      <c r="C15" t="s">
        <v>211</v>
      </c>
      <c r="D15" t="s">
        <v>330</v>
      </c>
      <c r="E15" s="95">
        <v>-750</v>
      </c>
    </row>
    <row r="16" spans="1:10" x14ac:dyDescent="0.25">
      <c r="A16">
        <v>47</v>
      </c>
      <c r="B16" s="94">
        <v>44935</v>
      </c>
      <c r="C16" t="s">
        <v>211</v>
      </c>
      <c r="D16" t="s">
        <v>340</v>
      </c>
      <c r="E16" s="95">
        <v>-760</v>
      </c>
    </row>
    <row r="17" spans="1:5" x14ac:dyDescent="0.25">
      <c r="A17">
        <v>33</v>
      </c>
      <c r="B17" s="94">
        <v>44939</v>
      </c>
      <c r="C17" t="s">
        <v>211</v>
      </c>
      <c r="D17" t="s">
        <v>332</v>
      </c>
      <c r="E17" s="95">
        <v>-890</v>
      </c>
    </row>
    <row r="18" spans="1:5" x14ac:dyDescent="0.25">
      <c r="A18">
        <v>2</v>
      </c>
      <c r="B18" s="94">
        <v>44956</v>
      </c>
      <c r="C18" t="s">
        <v>211</v>
      </c>
      <c r="D18" t="s">
        <v>330</v>
      </c>
      <c r="E18" s="95">
        <v>-1000</v>
      </c>
    </row>
    <row r="19" spans="1:5" x14ac:dyDescent="0.25">
      <c r="A19">
        <v>14</v>
      </c>
      <c r="B19" s="94">
        <v>44950</v>
      </c>
      <c r="C19" t="s">
        <v>211</v>
      </c>
      <c r="D19" t="s">
        <v>351</v>
      </c>
      <c r="E19" s="95">
        <v>-1000</v>
      </c>
    </row>
    <row r="20" spans="1:5" x14ac:dyDescent="0.25">
      <c r="A20">
        <v>18</v>
      </c>
      <c r="B20" s="94">
        <v>44949</v>
      </c>
      <c r="C20" t="s">
        <v>211</v>
      </c>
      <c r="D20" t="s">
        <v>329</v>
      </c>
      <c r="E20" s="95">
        <v>-1029</v>
      </c>
    </row>
    <row r="21" spans="1:5" x14ac:dyDescent="0.25">
      <c r="A21">
        <v>6</v>
      </c>
      <c r="B21" s="94">
        <v>44953</v>
      </c>
      <c r="C21" t="s">
        <v>211</v>
      </c>
      <c r="D21" t="s">
        <v>330</v>
      </c>
      <c r="E21" s="95">
        <v>-1040</v>
      </c>
    </row>
    <row r="22" spans="1:5" x14ac:dyDescent="0.25">
      <c r="A22">
        <v>27</v>
      </c>
      <c r="B22" s="94">
        <v>44942</v>
      </c>
      <c r="C22" t="s">
        <v>211</v>
      </c>
      <c r="D22" t="s">
        <v>330</v>
      </c>
      <c r="E22" s="95">
        <v>-1120</v>
      </c>
    </row>
    <row r="23" spans="1:5" x14ac:dyDescent="0.25">
      <c r="A23">
        <v>13</v>
      </c>
      <c r="B23" s="94">
        <v>44951</v>
      </c>
      <c r="C23" t="s">
        <v>211</v>
      </c>
      <c r="D23" t="s">
        <v>347</v>
      </c>
      <c r="E23" s="95">
        <v>-1150</v>
      </c>
    </row>
    <row r="24" spans="1:5" x14ac:dyDescent="0.25">
      <c r="A24">
        <v>19</v>
      </c>
      <c r="B24" s="94">
        <v>44945</v>
      </c>
      <c r="C24" t="s">
        <v>211</v>
      </c>
      <c r="D24" t="s">
        <v>354</v>
      </c>
      <c r="E24" s="95">
        <v>-1180</v>
      </c>
    </row>
    <row r="25" spans="1:5" x14ac:dyDescent="0.25">
      <c r="A25">
        <v>39</v>
      </c>
      <c r="B25" s="94">
        <v>44936</v>
      </c>
      <c r="C25" t="s">
        <v>211</v>
      </c>
      <c r="D25" t="s">
        <v>329</v>
      </c>
      <c r="E25" s="95">
        <v>-1332</v>
      </c>
    </row>
    <row r="26" spans="1:5" x14ac:dyDescent="0.25">
      <c r="A26">
        <v>32</v>
      </c>
      <c r="B26" s="94">
        <v>44939</v>
      </c>
      <c r="C26" t="s">
        <v>211</v>
      </c>
      <c r="D26" t="s">
        <v>329</v>
      </c>
      <c r="E26" s="95">
        <v>-1333</v>
      </c>
    </row>
    <row r="27" spans="1:5" x14ac:dyDescent="0.25">
      <c r="A27">
        <v>63</v>
      </c>
      <c r="B27" s="94">
        <v>44928</v>
      </c>
      <c r="C27" t="s">
        <v>211</v>
      </c>
      <c r="D27" t="s">
        <v>350</v>
      </c>
      <c r="E27" s="95">
        <v>-1360.92</v>
      </c>
    </row>
    <row r="28" spans="1:5" x14ac:dyDescent="0.25">
      <c r="A28">
        <v>48</v>
      </c>
      <c r="B28" s="94">
        <v>44935</v>
      </c>
      <c r="C28" t="s">
        <v>211</v>
      </c>
      <c r="D28" t="s">
        <v>329</v>
      </c>
      <c r="E28" s="95">
        <v>-1380</v>
      </c>
    </row>
    <row r="29" spans="1:5" x14ac:dyDescent="0.25">
      <c r="A29">
        <v>35</v>
      </c>
      <c r="B29" s="94">
        <v>44937</v>
      </c>
      <c r="C29" t="s">
        <v>211</v>
      </c>
      <c r="D29" t="s">
        <v>330</v>
      </c>
      <c r="E29" s="95">
        <v>-1440</v>
      </c>
    </row>
    <row r="30" spans="1:5" x14ac:dyDescent="0.25">
      <c r="A30">
        <v>44</v>
      </c>
      <c r="B30" s="94">
        <v>44935</v>
      </c>
      <c r="C30" t="s">
        <v>211</v>
      </c>
      <c r="D30" t="s">
        <v>338</v>
      </c>
      <c r="E30" s="95">
        <v>-1700</v>
      </c>
    </row>
    <row r="31" spans="1:5" x14ac:dyDescent="0.25">
      <c r="A31">
        <v>11</v>
      </c>
      <c r="B31" s="94">
        <v>44952</v>
      </c>
      <c r="C31" t="s">
        <v>211</v>
      </c>
      <c r="D31" t="s">
        <v>329</v>
      </c>
      <c r="E31" s="95">
        <v>-1720</v>
      </c>
    </row>
    <row r="32" spans="1:5" x14ac:dyDescent="0.25">
      <c r="A32">
        <v>31</v>
      </c>
      <c r="B32" s="94">
        <v>44939</v>
      </c>
      <c r="C32" t="s">
        <v>211</v>
      </c>
      <c r="D32" t="s">
        <v>330</v>
      </c>
      <c r="E32" s="95">
        <v>-1780</v>
      </c>
    </row>
    <row r="33" spans="1:5" x14ac:dyDescent="0.25">
      <c r="A33">
        <v>29</v>
      </c>
      <c r="B33" s="94">
        <v>44942</v>
      </c>
      <c r="C33" t="s">
        <v>211</v>
      </c>
      <c r="D33" t="s">
        <v>346</v>
      </c>
      <c r="E33" s="95">
        <v>-1790</v>
      </c>
    </row>
    <row r="34" spans="1:5" x14ac:dyDescent="0.25">
      <c r="A34">
        <v>22</v>
      </c>
      <c r="B34" s="94">
        <v>44944</v>
      </c>
      <c r="C34" t="s">
        <v>211</v>
      </c>
      <c r="D34" t="s">
        <v>278</v>
      </c>
      <c r="E34" s="95">
        <v>-1828.25</v>
      </c>
    </row>
    <row r="35" spans="1:5" x14ac:dyDescent="0.25">
      <c r="A35">
        <v>54</v>
      </c>
      <c r="B35" s="94">
        <v>44930</v>
      </c>
      <c r="C35" t="s">
        <v>211</v>
      </c>
      <c r="D35" t="s">
        <v>344</v>
      </c>
      <c r="E35" s="95">
        <v>-1850</v>
      </c>
    </row>
    <row r="36" spans="1:5" x14ac:dyDescent="0.25">
      <c r="A36">
        <v>34</v>
      </c>
      <c r="B36" s="94">
        <v>44938</v>
      </c>
      <c r="C36" t="s">
        <v>211</v>
      </c>
      <c r="D36" t="s">
        <v>333</v>
      </c>
      <c r="E36" s="95">
        <v>-1930</v>
      </c>
    </row>
    <row r="37" spans="1:5" x14ac:dyDescent="0.25">
      <c r="A37">
        <v>52</v>
      </c>
      <c r="B37" s="94">
        <v>44931</v>
      </c>
      <c r="C37" t="s">
        <v>211</v>
      </c>
      <c r="D37" t="s">
        <v>343</v>
      </c>
      <c r="E37" s="95">
        <v>-2000</v>
      </c>
    </row>
    <row r="38" spans="1:5" x14ac:dyDescent="0.25">
      <c r="A38">
        <v>0</v>
      </c>
      <c r="B38" s="94">
        <v>44957</v>
      </c>
      <c r="C38" t="s">
        <v>214</v>
      </c>
      <c r="E38" s="95">
        <v>-2083.5300000000002</v>
      </c>
    </row>
    <row r="39" spans="1:5" x14ac:dyDescent="0.25">
      <c r="A39">
        <v>17</v>
      </c>
      <c r="B39" s="94">
        <v>44949</v>
      </c>
      <c r="C39" t="s">
        <v>211</v>
      </c>
      <c r="D39" t="s">
        <v>353</v>
      </c>
      <c r="E39" s="95">
        <v>-2200</v>
      </c>
    </row>
    <row r="40" spans="1:5" x14ac:dyDescent="0.25">
      <c r="A40">
        <v>40</v>
      </c>
      <c r="B40" s="94">
        <v>44936</v>
      </c>
      <c r="C40" t="s">
        <v>211</v>
      </c>
      <c r="D40" t="s">
        <v>336</v>
      </c>
      <c r="E40" s="95">
        <v>-2580</v>
      </c>
    </row>
    <row r="41" spans="1:5" x14ac:dyDescent="0.25">
      <c r="A41">
        <v>12</v>
      </c>
      <c r="B41" s="94">
        <v>44952</v>
      </c>
      <c r="C41" t="s">
        <v>217</v>
      </c>
      <c r="D41" t="s">
        <v>362</v>
      </c>
      <c r="E41" s="95">
        <v>-3000</v>
      </c>
    </row>
    <row r="42" spans="1:5" x14ac:dyDescent="0.25">
      <c r="A42">
        <v>3</v>
      </c>
      <c r="B42" s="94">
        <v>44956</v>
      </c>
      <c r="C42" t="s">
        <v>211</v>
      </c>
      <c r="D42" t="s">
        <v>348</v>
      </c>
      <c r="E42" s="95">
        <v>-3110</v>
      </c>
    </row>
    <row r="43" spans="1:5" x14ac:dyDescent="0.25">
      <c r="A43">
        <v>5</v>
      </c>
      <c r="B43" s="94">
        <v>44953</v>
      </c>
      <c r="C43" t="s">
        <v>211</v>
      </c>
      <c r="D43" t="s">
        <v>349</v>
      </c>
      <c r="E43" s="95">
        <v>-3160</v>
      </c>
    </row>
    <row r="44" spans="1:5" x14ac:dyDescent="0.25">
      <c r="A44">
        <v>45</v>
      </c>
      <c r="B44" s="94">
        <v>44935</v>
      </c>
      <c r="C44" t="s">
        <v>211</v>
      </c>
      <c r="D44" t="s">
        <v>339</v>
      </c>
      <c r="E44" s="95">
        <v>-3990</v>
      </c>
    </row>
    <row r="45" spans="1:5" x14ac:dyDescent="0.25">
      <c r="A45">
        <v>24</v>
      </c>
      <c r="B45" s="94">
        <v>44943</v>
      </c>
      <c r="C45" t="s">
        <v>211</v>
      </c>
      <c r="D45" t="s">
        <v>355</v>
      </c>
      <c r="E45" s="95">
        <v>-4200</v>
      </c>
    </row>
    <row r="46" spans="1:5" x14ac:dyDescent="0.25">
      <c r="A46">
        <v>55</v>
      </c>
      <c r="B46" s="94">
        <v>44930</v>
      </c>
      <c r="C46" t="s">
        <v>211</v>
      </c>
      <c r="D46" t="s">
        <v>345</v>
      </c>
      <c r="E46" s="95">
        <v>-5738.14</v>
      </c>
    </row>
    <row r="47" spans="1:5" x14ac:dyDescent="0.25">
      <c r="A47">
        <v>30</v>
      </c>
      <c r="B47" s="94">
        <v>44942</v>
      </c>
      <c r="C47" t="s">
        <v>211</v>
      </c>
      <c r="D47" t="s">
        <v>329</v>
      </c>
      <c r="E47" s="95">
        <v>-5839</v>
      </c>
    </row>
    <row r="48" spans="1:5" x14ac:dyDescent="0.25">
      <c r="A48">
        <v>7</v>
      </c>
      <c r="B48" s="94">
        <v>44953</v>
      </c>
      <c r="C48" t="s">
        <v>217</v>
      </c>
      <c r="D48" t="s">
        <v>363</v>
      </c>
      <c r="E48" s="95">
        <v>-6000</v>
      </c>
    </row>
    <row r="49" spans="1:10" x14ac:dyDescent="0.25">
      <c r="A49">
        <v>42</v>
      </c>
      <c r="B49" s="94">
        <v>44936</v>
      </c>
      <c r="C49" t="s">
        <v>217</v>
      </c>
      <c r="D49" t="s">
        <v>363</v>
      </c>
      <c r="E49" s="95">
        <v>-6000</v>
      </c>
    </row>
    <row r="50" spans="1:10" x14ac:dyDescent="0.25">
      <c r="A50">
        <v>60</v>
      </c>
      <c r="B50" s="94">
        <v>44929</v>
      </c>
      <c r="C50" t="s">
        <v>211</v>
      </c>
      <c r="D50" t="s">
        <v>345</v>
      </c>
      <c r="E50" s="95">
        <v>-6267.17</v>
      </c>
    </row>
    <row r="51" spans="1:10" x14ac:dyDescent="0.25">
      <c r="A51">
        <v>57</v>
      </c>
      <c r="B51" s="94">
        <v>44929</v>
      </c>
      <c r="C51" t="s">
        <v>327</v>
      </c>
      <c r="D51" t="s">
        <v>328</v>
      </c>
      <c r="E51" s="95">
        <v>-15007</v>
      </c>
    </row>
    <row r="52" spans="1:10" x14ac:dyDescent="0.25">
      <c r="A52">
        <v>58</v>
      </c>
      <c r="B52" s="94">
        <v>44929</v>
      </c>
      <c r="C52" t="s">
        <v>211</v>
      </c>
      <c r="D52" t="s">
        <v>219</v>
      </c>
      <c r="E52" s="95">
        <v>-15428.1</v>
      </c>
    </row>
    <row r="53" spans="1:10" x14ac:dyDescent="0.25">
      <c r="A53">
        <v>46</v>
      </c>
      <c r="B53" s="94">
        <v>44935</v>
      </c>
      <c r="C53" t="s">
        <v>211</v>
      </c>
      <c r="D53" t="s">
        <v>339</v>
      </c>
      <c r="E53" s="95">
        <v>-20500</v>
      </c>
    </row>
    <row r="54" spans="1:10" x14ac:dyDescent="0.25">
      <c r="A54">
        <v>25</v>
      </c>
      <c r="B54" s="94">
        <v>44943</v>
      </c>
      <c r="C54" t="s">
        <v>211</v>
      </c>
      <c r="D54" t="s">
        <v>286</v>
      </c>
      <c r="E54" s="95">
        <v>-42877.3</v>
      </c>
    </row>
    <row r="55" spans="1:10" x14ac:dyDescent="0.25">
      <c r="A55">
        <v>62</v>
      </c>
      <c r="B55" s="94">
        <v>44928</v>
      </c>
      <c r="C55" t="s">
        <v>224</v>
      </c>
      <c r="D55" t="s">
        <v>225</v>
      </c>
      <c r="F55" s="95">
        <v>-70193.279999999999</v>
      </c>
    </row>
    <row r="56" spans="1:10" x14ac:dyDescent="0.25">
      <c r="A56">
        <v>56</v>
      </c>
      <c r="B56" s="94">
        <v>44930</v>
      </c>
      <c r="C56" t="s">
        <v>222</v>
      </c>
      <c r="D56" t="s">
        <v>223</v>
      </c>
      <c r="F56" s="95">
        <v>-119932.09</v>
      </c>
    </row>
    <row r="57" spans="1:10" x14ac:dyDescent="0.25">
      <c r="A57">
        <v>23</v>
      </c>
      <c r="B57" s="94">
        <v>44944</v>
      </c>
      <c r="C57" t="s">
        <v>229</v>
      </c>
      <c r="D57" t="s">
        <v>230</v>
      </c>
      <c r="I57" s="95">
        <v>-10000</v>
      </c>
    </row>
    <row r="58" spans="1:10" x14ac:dyDescent="0.25">
      <c r="A58" s="99"/>
      <c r="B58" s="98">
        <v>44930</v>
      </c>
      <c r="C58" s="99" t="s">
        <v>280</v>
      </c>
      <c r="D58" s="99"/>
      <c r="E58" s="96"/>
      <c r="F58" s="96"/>
      <c r="G58" s="96">
        <v>-14022</v>
      </c>
    </row>
    <row r="59" spans="1:10" x14ac:dyDescent="0.25">
      <c r="A59" s="99"/>
      <c r="B59" s="98">
        <v>44930</v>
      </c>
      <c r="C59" s="99" t="s">
        <v>253</v>
      </c>
      <c r="D59" s="99"/>
      <c r="E59" s="96"/>
      <c r="F59" s="96">
        <v>14022</v>
      </c>
    </row>
    <row r="60" spans="1:10" x14ac:dyDescent="0.25">
      <c r="E60" s="95">
        <f>SUBTOTAL(109,Ene_Debitos[Gastos])</f>
        <v>-185253.09999999998</v>
      </c>
      <c r="F60" s="95">
        <f>SUBTOTAL(109,Ene_Debitos[Tarjetas])</f>
        <v>-176103.37</v>
      </c>
      <c r="G60" s="95">
        <f>SUBTOTAL(109,Ene_Debitos[Impuestos])</f>
        <v>-14022</v>
      </c>
      <c r="H60" s="95">
        <f>SUBTOTAL(109,Ene_Debitos[Inversiones])</f>
        <v>0</v>
      </c>
      <c r="I60" s="95">
        <f>SUBTOTAL(109,Ene_Debitos[Extracciones])</f>
        <v>-10000</v>
      </c>
      <c r="J60">
        <f>SUBTOTAL(103,Ene_Debitos[Comentarios])</f>
        <v>0</v>
      </c>
    </row>
    <row r="62" spans="1:10" x14ac:dyDescent="0.25">
      <c r="C62" t="s">
        <v>209</v>
      </c>
      <c r="D62" t="s">
        <v>210</v>
      </c>
      <c r="E62" s="95" t="s">
        <v>233</v>
      </c>
      <c r="F62" s="95" t="s">
        <v>234</v>
      </c>
      <c r="G62" s="95" t="s">
        <v>235</v>
      </c>
      <c r="H62" s="95" t="s">
        <v>236</v>
      </c>
      <c r="I62" s="95" t="s">
        <v>237</v>
      </c>
      <c r="J62" t="s">
        <v>238</v>
      </c>
    </row>
    <row r="63" spans="1:10" x14ac:dyDescent="0.25">
      <c r="B63" s="94">
        <v>44957</v>
      </c>
      <c r="C63" t="s">
        <v>254</v>
      </c>
      <c r="E63" s="95">
        <v>-185253.1</v>
      </c>
      <c r="F63" s="95">
        <v>-176103.37</v>
      </c>
      <c r="G63" s="95">
        <v>-14022</v>
      </c>
      <c r="H63" s="95">
        <v>0</v>
      </c>
      <c r="I63" s="95">
        <v>-10000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5"/>
  <dimension ref="A1:G18"/>
  <sheetViews>
    <sheetView workbookViewId="0">
      <selection activeCell="A2" sqref="A2:G1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95" customWidth="1"/>
  </cols>
  <sheetData>
    <row r="1" spans="1:7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239</v>
      </c>
      <c r="F1" s="95" t="s">
        <v>240</v>
      </c>
      <c r="G1" s="95" t="s">
        <v>236</v>
      </c>
    </row>
    <row r="2" spans="1:7" x14ac:dyDescent="0.25">
      <c r="A2">
        <v>53</v>
      </c>
      <c r="B2" s="94">
        <v>44931</v>
      </c>
      <c r="C2" t="s">
        <v>226</v>
      </c>
      <c r="D2" t="s">
        <v>227</v>
      </c>
      <c r="E2" s="95">
        <v>157806.07999999999</v>
      </c>
    </row>
    <row r="3" spans="1:7" x14ac:dyDescent="0.25">
      <c r="A3">
        <v>65</v>
      </c>
      <c r="B3" s="94">
        <v>44927</v>
      </c>
      <c r="C3" t="s">
        <v>231</v>
      </c>
      <c r="F3" s="95">
        <v>38.01</v>
      </c>
    </row>
    <row r="4" spans="1:7" x14ac:dyDescent="0.25">
      <c r="A4">
        <v>64</v>
      </c>
      <c r="B4" s="94">
        <v>44928</v>
      </c>
      <c r="C4" t="s">
        <v>360</v>
      </c>
      <c r="D4" t="s">
        <v>361</v>
      </c>
      <c r="F4" s="95">
        <v>1000</v>
      </c>
    </row>
    <row r="5" spans="1:7" x14ac:dyDescent="0.25">
      <c r="A5">
        <v>49</v>
      </c>
      <c r="B5" s="94">
        <v>44935</v>
      </c>
      <c r="C5" t="s">
        <v>221</v>
      </c>
      <c r="D5" t="s">
        <v>257</v>
      </c>
      <c r="F5" s="95">
        <v>1700</v>
      </c>
    </row>
    <row r="6" spans="1:7" x14ac:dyDescent="0.25">
      <c r="A6">
        <v>61</v>
      </c>
      <c r="B6" s="94">
        <v>44929</v>
      </c>
      <c r="C6" t="s">
        <v>221</v>
      </c>
      <c r="D6" t="s">
        <v>257</v>
      </c>
      <c r="F6" s="95">
        <v>2500</v>
      </c>
    </row>
    <row r="7" spans="1:7" x14ac:dyDescent="0.25">
      <c r="A7">
        <v>43</v>
      </c>
      <c r="B7" s="94">
        <v>44935</v>
      </c>
      <c r="C7" t="s">
        <v>325</v>
      </c>
      <c r="D7" t="s">
        <v>326</v>
      </c>
      <c r="F7" s="95">
        <v>20500</v>
      </c>
    </row>
    <row r="8" spans="1:7" x14ac:dyDescent="0.25">
      <c r="A8">
        <v>15</v>
      </c>
      <c r="B8" s="94">
        <v>44950</v>
      </c>
      <c r="C8" t="s">
        <v>221</v>
      </c>
      <c r="D8" t="s">
        <v>357</v>
      </c>
      <c r="F8" s="95">
        <v>23000</v>
      </c>
    </row>
    <row r="9" spans="1:7" x14ac:dyDescent="0.25">
      <c r="A9">
        <v>26</v>
      </c>
      <c r="B9" s="94">
        <v>44943</v>
      </c>
      <c r="C9" t="s">
        <v>358</v>
      </c>
      <c r="D9" t="s">
        <v>359</v>
      </c>
      <c r="F9" s="95">
        <v>47077</v>
      </c>
    </row>
    <row r="10" spans="1:7" x14ac:dyDescent="0.25">
      <c r="A10">
        <v>4</v>
      </c>
      <c r="B10" s="94">
        <v>44956</v>
      </c>
      <c r="C10" t="s">
        <v>221</v>
      </c>
      <c r="D10" t="s">
        <v>356</v>
      </c>
      <c r="F10" s="95">
        <v>80000</v>
      </c>
    </row>
    <row r="11" spans="1:7" x14ac:dyDescent="0.25">
      <c r="A11">
        <v>38</v>
      </c>
      <c r="B11" s="94">
        <v>44937</v>
      </c>
      <c r="C11" t="s">
        <v>243</v>
      </c>
      <c r="G11" s="95">
        <f>371575.34-350000</f>
        <v>21575.340000000026</v>
      </c>
    </row>
    <row r="12" spans="1:7" x14ac:dyDescent="0.25">
      <c r="E12" s="95">
        <f>SUBTOTAL(109,Ene_Creditos[Haberes])</f>
        <v>157806.07999999999</v>
      </c>
      <c r="F12" s="95">
        <f>SUBTOTAL(109,Ene_Creditos[Extras])</f>
        <v>175815.01</v>
      </c>
      <c r="G12" s="95">
        <f>SUBTOTAL(109,Ene_Creditos[Inversiones])</f>
        <v>21575.340000000026</v>
      </c>
    </row>
    <row r="14" spans="1:7" x14ac:dyDescent="0.25">
      <c r="C14" t="s">
        <v>209</v>
      </c>
      <c r="D14" t="s">
        <v>210</v>
      </c>
      <c r="E14" s="95" t="s">
        <v>239</v>
      </c>
      <c r="F14" s="95" t="s">
        <v>240</v>
      </c>
      <c r="G14" s="95" t="s">
        <v>236</v>
      </c>
    </row>
    <row r="15" spans="1:7" x14ac:dyDescent="0.25">
      <c r="B15" s="94">
        <v>44957</v>
      </c>
      <c r="C15" t="s">
        <v>254</v>
      </c>
      <c r="E15" s="95">
        <v>157806.07999999999</v>
      </c>
      <c r="F15" s="95">
        <v>175815.01</v>
      </c>
      <c r="G15" s="95">
        <v>21575.340000000026</v>
      </c>
    </row>
    <row r="17" spans="6:6" x14ac:dyDescent="0.25">
      <c r="F17" s="95">
        <f>F15+G15</f>
        <v>197390.35000000003</v>
      </c>
    </row>
    <row r="18" spans="6:6" x14ac:dyDescent="0.25">
      <c r="F18" s="95">
        <f>E15+F17</f>
        <v>355196.43000000005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7"/>
  <dimension ref="A1:F75"/>
  <sheetViews>
    <sheetView workbookViewId="0">
      <selection activeCell="A2" sqref="A2:F7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95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95" t="s">
        <v>323</v>
      </c>
      <c r="F1" t="s">
        <v>324</v>
      </c>
    </row>
    <row r="2" spans="1:6" x14ac:dyDescent="0.25">
      <c r="A2">
        <v>62</v>
      </c>
      <c r="B2" s="94">
        <v>44960</v>
      </c>
      <c r="C2" t="s">
        <v>226</v>
      </c>
      <c r="D2" t="s">
        <v>227</v>
      </c>
      <c r="E2" s="95">
        <v>82673</v>
      </c>
      <c r="F2">
        <v>0</v>
      </c>
    </row>
    <row r="3" spans="1:6" x14ac:dyDescent="0.25">
      <c r="A3">
        <v>15</v>
      </c>
      <c r="B3" s="94">
        <v>44981</v>
      </c>
      <c r="C3" t="s">
        <v>226</v>
      </c>
      <c r="D3" t="s">
        <v>227</v>
      </c>
      <c r="E3" s="95">
        <v>14261</v>
      </c>
      <c r="F3">
        <v>0</v>
      </c>
    </row>
    <row r="4" spans="1:6" x14ac:dyDescent="0.25">
      <c r="A4">
        <v>25</v>
      </c>
      <c r="B4" s="94">
        <v>44974</v>
      </c>
      <c r="C4" t="s">
        <v>226</v>
      </c>
      <c r="D4" t="s">
        <v>227</v>
      </c>
      <c r="E4" s="95">
        <v>22818</v>
      </c>
      <c r="F4">
        <v>0</v>
      </c>
    </row>
    <row r="5" spans="1:6" x14ac:dyDescent="0.25">
      <c r="A5">
        <v>58</v>
      </c>
      <c r="B5" s="94">
        <v>44963</v>
      </c>
      <c r="C5" t="s">
        <v>226</v>
      </c>
      <c r="D5" t="s">
        <v>227</v>
      </c>
      <c r="E5" s="95">
        <v>338576.37</v>
      </c>
      <c r="F5">
        <v>0</v>
      </c>
    </row>
    <row r="6" spans="1:6" x14ac:dyDescent="0.25">
      <c r="A6">
        <v>2</v>
      </c>
      <c r="B6" s="94">
        <v>44984</v>
      </c>
      <c r="C6" t="s">
        <v>325</v>
      </c>
      <c r="D6" t="s">
        <v>279</v>
      </c>
      <c r="E6" s="95">
        <v>2000</v>
      </c>
      <c r="F6">
        <v>524639</v>
      </c>
    </row>
    <row r="7" spans="1:6" x14ac:dyDescent="0.25">
      <c r="A7">
        <v>56</v>
      </c>
      <c r="B7" s="94">
        <v>44963</v>
      </c>
      <c r="C7" t="s">
        <v>211</v>
      </c>
      <c r="D7" t="s">
        <v>366</v>
      </c>
      <c r="E7" s="95">
        <v>-1118</v>
      </c>
      <c r="F7">
        <v>129887</v>
      </c>
    </row>
    <row r="8" spans="1:6" x14ac:dyDescent="0.25">
      <c r="A8">
        <v>28</v>
      </c>
      <c r="B8" s="94">
        <v>44972</v>
      </c>
      <c r="C8" t="s">
        <v>211</v>
      </c>
      <c r="D8" t="s">
        <v>328</v>
      </c>
      <c r="E8" s="95">
        <v>-217.99</v>
      </c>
      <c r="F8">
        <v>499470</v>
      </c>
    </row>
    <row r="9" spans="1:6" x14ac:dyDescent="0.25">
      <c r="A9">
        <v>29</v>
      </c>
      <c r="B9" s="94">
        <v>44972</v>
      </c>
      <c r="C9" t="s">
        <v>211</v>
      </c>
      <c r="D9" t="s">
        <v>367</v>
      </c>
      <c r="E9" s="95">
        <v>-1500</v>
      </c>
      <c r="F9">
        <v>995807</v>
      </c>
    </row>
    <row r="10" spans="1:6" x14ac:dyDescent="0.25">
      <c r="A10">
        <v>32</v>
      </c>
      <c r="B10" s="94">
        <v>44971</v>
      </c>
      <c r="C10" t="s">
        <v>211</v>
      </c>
      <c r="D10" t="s">
        <v>328</v>
      </c>
      <c r="E10" s="95">
        <v>-747.74</v>
      </c>
      <c r="F10">
        <v>177935</v>
      </c>
    </row>
    <row r="11" spans="1:6" x14ac:dyDescent="0.25">
      <c r="A11">
        <v>35</v>
      </c>
      <c r="B11" s="94">
        <v>44970</v>
      </c>
      <c r="C11" t="s">
        <v>211</v>
      </c>
      <c r="D11" t="s">
        <v>345</v>
      </c>
      <c r="E11" s="95">
        <v>-6074.19</v>
      </c>
      <c r="F11">
        <v>915917</v>
      </c>
    </row>
    <row r="12" spans="1:6" x14ac:dyDescent="0.25">
      <c r="A12">
        <v>37</v>
      </c>
      <c r="B12" s="94">
        <v>44970</v>
      </c>
      <c r="C12" t="s">
        <v>211</v>
      </c>
      <c r="D12" t="s">
        <v>328</v>
      </c>
      <c r="E12" s="95">
        <v>-536.30999999999995</v>
      </c>
      <c r="F12">
        <v>655736</v>
      </c>
    </row>
    <row r="13" spans="1:6" x14ac:dyDescent="0.25">
      <c r="A13">
        <v>38</v>
      </c>
      <c r="B13" s="94">
        <v>44970</v>
      </c>
      <c r="C13" t="s">
        <v>211</v>
      </c>
      <c r="D13" t="s">
        <v>368</v>
      </c>
      <c r="E13" s="95">
        <v>-250</v>
      </c>
      <c r="F13">
        <v>44723</v>
      </c>
    </row>
    <row r="14" spans="1:6" x14ac:dyDescent="0.25">
      <c r="A14">
        <v>67</v>
      </c>
      <c r="B14" s="94">
        <v>44958</v>
      </c>
      <c r="C14" t="s">
        <v>211</v>
      </c>
      <c r="D14" t="s">
        <v>216</v>
      </c>
      <c r="E14" s="95">
        <v>-2873.61</v>
      </c>
      <c r="F14">
        <v>156809</v>
      </c>
    </row>
    <row r="15" spans="1:6" x14ac:dyDescent="0.25">
      <c r="A15">
        <v>43</v>
      </c>
      <c r="B15" s="94">
        <v>44967</v>
      </c>
      <c r="C15" t="s">
        <v>211</v>
      </c>
      <c r="D15" t="s">
        <v>213</v>
      </c>
      <c r="E15" s="95">
        <v>-1455</v>
      </c>
      <c r="F15">
        <v>54061</v>
      </c>
    </row>
    <row r="16" spans="1:6" x14ac:dyDescent="0.25">
      <c r="A16">
        <v>44</v>
      </c>
      <c r="B16" s="94">
        <v>44967</v>
      </c>
      <c r="C16" t="s">
        <v>211</v>
      </c>
      <c r="D16" t="s">
        <v>213</v>
      </c>
      <c r="E16" s="95">
        <v>-14.7</v>
      </c>
      <c r="F16">
        <v>54060</v>
      </c>
    </row>
    <row r="17" spans="1:6" x14ac:dyDescent="0.25">
      <c r="A17">
        <v>27</v>
      </c>
      <c r="B17" s="94">
        <v>44972</v>
      </c>
      <c r="C17" t="s">
        <v>211</v>
      </c>
      <c r="D17" t="s">
        <v>328</v>
      </c>
      <c r="E17" s="95">
        <v>-217.99</v>
      </c>
      <c r="F17">
        <v>538723</v>
      </c>
    </row>
    <row r="18" spans="1:6" x14ac:dyDescent="0.25">
      <c r="A18">
        <v>47</v>
      </c>
      <c r="B18" s="94">
        <v>44967</v>
      </c>
      <c r="C18" t="s">
        <v>211</v>
      </c>
      <c r="D18" t="s">
        <v>268</v>
      </c>
      <c r="E18" s="95">
        <v>-3330</v>
      </c>
      <c r="F18">
        <v>419174</v>
      </c>
    </row>
    <row r="19" spans="1:6" x14ac:dyDescent="0.25">
      <c r="A19">
        <v>49</v>
      </c>
      <c r="B19" s="94">
        <v>44966</v>
      </c>
      <c r="C19" t="s">
        <v>211</v>
      </c>
      <c r="D19" t="s">
        <v>345</v>
      </c>
      <c r="E19" s="95">
        <v>-2192.8000000000002</v>
      </c>
      <c r="F19">
        <v>487625</v>
      </c>
    </row>
    <row r="20" spans="1:6" x14ac:dyDescent="0.25">
      <c r="A20">
        <v>50</v>
      </c>
      <c r="B20" s="94">
        <v>44965</v>
      </c>
      <c r="C20" t="s">
        <v>211</v>
      </c>
      <c r="D20" t="s">
        <v>286</v>
      </c>
      <c r="E20" s="95">
        <v>-1976.94</v>
      </c>
      <c r="F20">
        <v>56527</v>
      </c>
    </row>
    <row r="21" spans="1:6" x14ac:dyDescent="0.25">
      <c r="A21">
        <v>51</v>
      </c>
      <c r="B21" s="94">
        <v>44965</v>
      </c>
      <c r="C21" t="s">
        <v>211</v>
      </c>
      <c r="D21" t="s">
        <v>345</v>
      </c>
      <c r="E21" s="95">
        <v>-26068.560000000001</v>
      </c>
      <c r="F21">
        <v>901973</v>
      </c>
    </row>
    <row r="22" spans="1:6" x14ac:dyDescent="0.25">
      <c r="A22">
        <v>66</v>
      </c>
      <c r="B22" s="94">
        <v>44958</v>
      </c>
      <c r="C22" t="s">
        <v>211</v>
      </c>
      <c r="D22" t="s">
        <v>228</v>
      </c>
      <c r="E22" s="95">
        <v>-3500</v>
      </c>
      <c r="F22">
        <v>835279</v>
      </c>
    </row>
    <row r="23" spans="1:6" x14ac:dyDescent="0.25">
      <c r="A23">
        <v>53</v>
      </c>
      <c r="B23" s="94">
        <v>44964</v>
      </c>
      <c r="C23" t="s">
        <v>211</v>
      </c>
      <c r="D23" t="s">
        <v>369</v>
      </c>
      <c r="E23" s="95">
        <v>-2000</v>
      </c>
      <c r="F23">
        <v>92762</v>
      </c>
    </row>
    <row r="24" spans="1:6" x14ac:dyDescent="0.25">
      <c r="A24">
        <v>54</v>
      </c>
      <c r="B24" s="94">
        <v>44964</v>
      </c>
      <c r="C24" t="s">
        <v>211</v>
      </c>
      <c r="D24" t="s">
        <v>337</v>
      </c>
      <c r="E24" s="95">
        <v>-1120</v>
      </c>
      <c r="F24">
        <v>869150</v>
      </c>
    </row>
    <row r="25" spans="1:6" x14ac:dyDescent="0.25">
      <c r="A25">
        <v>55</v>
      </c>
      <c r="B25" s="94">
        <v>44963</v>
      </c>
      <c r="C25" t="s">
        <v>211</v>
      </c>
      <c r="D25" t="s">
        <v>246</v>
      </c>
      <c r="E25" s="95">
        <v>-462.1</v>
      </c>
      <c r="F25">
        <v>407053</v>
      </c>
    </row>
    <row r="26" spans="1:6" x14ac:dyDescent="0.25">
      <c r="A26">
        <v>45</v>
      </c>
      <c r="B26" s="94">
        <v>44967</v>
      </c>
      <c r="C26" t="s">
        <v>211</v>
      </c>
      <c r="D26" t="s">
        <v>278</v>
      </c>
      <c r="E26" s="95">
        <v>-4328.25</v>
      </c>
      <c r="F26">
        <v>459376</v>
      </c>
    </row>
    <row r="27" spans="1:6" x14ac:dyDescent="0.25">
      <c r="A27">
        <v>46</v>
      </c>
      <c r="B27" s="94">
        <v>44967</v>
      </c>
      <c r="C27" t="s">
        <v>211</v>
      </c>
      <c r="D27" t="s">
        <v>242</v>
      </c>
      <c r="E27" s="95">
        <v>-250</v>
      </c>
      <c r="F27">
        <v>67144</v>
      </c>
    </row>
    <row r="28" spans="1:6" x14ac:dyDescent="0.25">
      <c r="A28">
        <v>36</v>
      </c>
      <c r="B28" s="94">
        <v>44970</v>
      </c>
      <c r="C28" t="s">
        <v>211</v>
      </c>
      <c r="D28" t="s">
        <v>370</v>
      </c>
      <c r="E28" s="95">
        <v>-1350</v>
      </c>
      <c r="F28">
        <v>17539</v>
      </c>
    </row>
    <row r="29" spans="1:6" x14ac:dyDescent="0.25">
      <c r="A29">
        <v>69</v>
      </c>
      <c r="B29" s="94">
        <v>44958</v>
      </c>
      <c r="C29" t="s">
        <v>211</v>
      </c>
      <c r="D29" t="s">
        <v>278</v>
      </c>
      <c r="E29" s="95">
        <v>-837.9</v>
      </c>
      <c r="F29">
        <v>645648</v>
      </c>
    </row>
    <row r="30" spans="1:6" x14ac:dyDescent="0.25">
      <c r="A30">
        <v>3</v>
      </c>
      <c r="B30" s="94">
        <v>44984</v>
      </c>
      <c r="C30" t="s">
        <v>211</v>
      </c>
      <c r="D30" t="s">
        <v>371</v>
      </c>
      <c r="E30" s="95">
        <v>-461.55</v>
      </c>
      <c r="F30">
        <v>494337</v>
      </c>
    </row>
    <row r="31" spans="1:6" x14ac:dyDescent="0.25">
      <c r="A31">
        <v>4</v>
      </c>
      <c r="B31" s="94">
        <v>44984</v>
      </c>
      <c r="C31" t="s">
        <v>211</v>
      </c>
      <c r="D31" t="s">
        <v>345</v>
      </c>
      <c r="E31" s="95">
        <v>-3876.79</v>
      </c>
      <c r="F31">
        <v>455845</v>
      </c>
    </row>
    <row r="32" spans="1:6" x14ac:dyDescent="0.25">
      <c r="A32">
        <v>5</v>
      </c>
      <c r="B32" s="94">
        <v>44984</v>
      </c>
      <c r="C32" t="s">
        <v>211</v>
      </c>
      <c r="D32" t="s">
        <v>246</v>
      </c>
      <c r="E32" s="95">
        <v>-2140.9699999999998</v>
      </c>
      <c r="F32">
        <v>301823</v>
      </c>
    </row>
    <row r="33" spans="1:6" x14ac:dyDescent="0.25">
      <c r="A33">
        <v>6</v>
      </c>
      <c r="B33" s="94">
        <v>44984</v>
      </c>
      <c r="C33" t="s">
        <v>211</v>
      </c>
      <c r="D33" t="s">
        <v>372</v>
      </c>
      <c r="E33" s="95">
        <v>-11050</v>
      </c>
      <c r="F33">
        <v>19380</v>
      </c>
    </row>
    <row r="34" spans="1:6" x14ac:dyDescent="0.25">
      <c r="A34">
        <v>7</v>
      </c>
      <c r="B34" s="94">
        <v>44984</v>
      </c>
      <c r="C34" t="s">
        <v>211</v>
      </c>
      <c r="D34" t="s">
        <v>286</v>
      </c>
      <c r="E34" s="95">
        <v>-9107.7999999999993</v>
      </c>
      <c r="F34">
        <v>56893</v>
      </c>
    </row>
    <row r="35" spans="1:6" x14ac:dyDescent="0.25">
      <c r="A35">
        <v>71</v>
      </c>
      <c r="B35" s="94">
        <v>44958</v>
      </c>
      <c r="C35" t="s">
        <v>211</v>
      </c>
      <c r="D35" t="s">
        <v>212</v>
      </c>
      <c r="E35" s="95">
        <v>-1100</v>
      </c>
      <c r="F35">
        <v>339283</v>
      </c>
    </row>
    <row r="36" spans="1:6" x14ac:dyDescent="0.25">
      <c r="A36">
        <v>10</v>
      </c>
      <c r="B36" s="94">
        <v>44981</v>
      </c>
      <c r="C36" t="s">
        <v>211</v>
      </c>
      <c r="D36" t="s">
        <v>268</v>
      </c>
      <c r="E36" s="95">
        <v>-1570</v>
      </c>
      <c r="F36">
        <v>498484</v>
      </c>
    </row>
    <row r="37" spans="1:6" x14ac:dyDescent="0.25">
      <c r="A37">
        <v>11</v>
      </c>
      <c r="B37" s="94">
        <v>44981</v>
      </c>
      <c r="C37" t="s">
        <v>211</v>
      </c>
      <c r="D37" t="s">
        <v>268</v>
      </c>
      <c r="E37" s="95">
        <v>-2000</v>
      </c>
      <c r="F37">
        <v>216788</v>
      </c>
    </row>
    <row r="38" spans="1:6" x14ac:dyDescent="0.25">
      <c r="A38">
        <v>12</v>
      </c>
      <c r="B38" s="94">
        <v>44981</v>
      </c>
      <c r="C38" t="s">
        <v>211</v>
      </c>
      <c r="D38" t="s">
        <v>281</v>
      </c>
      <c r="E38" s="95">
        <v>-900</v>
      </c>
      <c r="F38">
        <v>69073</v>
      </c>
    </row>
    <row r="39" spans="1:6" x14ac:dyDescent="0.25">
      <c r="A39">
        <v>13</v>
      </c>
      <c r="B39" s="94">
        <v>44981</v>
      </c>
      <c r="C39" t="s">
        <v>211</v>
      </c>
      <c r="D39" t="s">
        <v>281</v>
      </c>
      <c r="E39" s="95">
        <v>-6390</v>
      </c>
      <c r="F39">
        <v>69072</v>
      </c>
    </row>
    <row r="40" spans="1:6" x14ac:dyDescent="0.25">
      <c r="A40">
        <v>26</v>
      </c>
      <c r="B40" s="94">
        <v>44973</v>
      </c>
      <c r="C40" t="s">
        <v>211</v>
      </c>
      <c r="D40" t="s">
        <v>330</v>
      </c>
      <c r="E40" s="95">
        <v>-3675</v>
      </c>
      <c r="F40">
        <v>26610</v>
      </c>
    </row>
    <row r="41" spans="1:6" x14ac:dyDescent="0.25">
      <c r="A41">
        <v>16</v>
      </c>
      <c r="B41" s="94">
        <v>44980</v>
      </c>
      <c r="C41" t="s">
        <v>211</v>
      </c>
      <c r="D41" t="s">
        <v>328</v>
      </c>
      <c r="E41" s="95">
        <v>-2588</v>
      </c>
      <c r="F41">
        <v>517475</v>
      </c>
    </row>
    <row r="42" spans="1:6" x14ac:dyDescent="0.25">
      <c r="A42">
        <v>17</v>
      </c>
      <c r="B42" s="94">
        <v>44980</v>
      </c>
      <c r="C42" t="s">
        <v>211</v>
      </c>
      <c r="D42" t="s">
        <v>216</v>
      </c>
      <c r="E42" s="95">
        <v>-4174.29</v>
      </c>
      <c r="F42">
        <v>572383</v>
      </c>
    </row>
    <row r="43" spans="1:6" x14ac:dyDescent="0.25">
      <c r="A43">
        <v>68</v>
      </c>
      <c r="B43" s="94">
        <v>44958</v>
      </c>
      <c r="C43" t="s">
        <v>211</v>
      </c>
      <c r="D43" t="s">
        <v>344</v>
      </c>
      <c r="E43" s="95">
        <v>-1930</v>
      </c>
      <c r="F43">
        <v>58647</v>
      </c>
    </row>
    <row r="44" spans="1:6" x14ac:dyDescent="0.25">
      <c r="A44">
        <v>21</v>
      </c>
      <c r="B44" s="94">
        <v>44979</v>
      </c>
      <c r="C44" t="s">
        <v>211</v>
      </c>
      <c r="D44" t="s">
        <v>245</v>
      </c>
      <c r="E44" s="95">
        <v>-1152</v>
      </c>
      <c r="F44">
        <v>58312</v>
      </c>
    </row>
    <row r="45" spans="1:6" x14ac:dyDescent="0.25">
      <c r="A45">
        <v>18</v>
      </c>
      <c r="B45" s="94">
        <v>44979</v>
      </c>
      <c r="C45" t="s">
        <v>211</v>
      </c>
      <c r="D45" t="s">
        <v>373</v>
      </c>
      <c r="E45" s="95">
        <v>-883.7</v>
      </c>
      <c r="F45">
        <v>120262</v>
      </c>
    </row>
    <row r="46" spans="1:6" x14ac:dyDescent="0.25">
      <c r="A46">
        <v>19</v>
      </c>
      <c r="B46" s="94">
        <v>44979</v>
      </c>
      <c r="C46" t="s">
        <v>211</v>
      </c>
      <c r="D46" t="s">
        <v>374</v>
      </c>
      <c r="E46" s="95">
        <v>-1550</v>
      </c>
      <c r="F46">
        <v>399461</v>
      </c>
    </row>
    <row r="47" spans="1:6" x14ac:dyDescent="0.25">
      <c r="A47">
        <v>20</v>
      </c>
      <c r="B47" s="94">
        <v>44979</v>
      </c>
      <c r="C47" t="s">
        <v>211</v>
      </c>
      <c r="D47" t="s">
        <v>269</v>
      </c>
      <c r="E47" s="95">
        <v>-420</v>
      </c>
      <c r="F47">
        <v>50219</v>
      </c>
    </row>
    <row r="48" spans="1:6" x14ac:dyDescent="0.25">
      <c r="A48">
        <v>70</v>
      </c>
      <c r="B48" s="94">
        <v>44958</v>
      </c>
      <c r="C48" t="s">
        <v>211</v>
      </c>
      <c r="D48" t="s">
        <v>242</v>
      </c>
      <c r="E48" s="95">
        <v>-4610</v>
      </c>
      <c r="F48">
        <v>66722</v>
      </c>
    </row>
    <row r="49" spans="1:6" x14ac:dyDescent="0.25">
      <c r="A49">
        <v>22</v>
      </c>
      <c r="B49" s="94">
        <v>44979</v>
      </c>
      <c r="C49" t="s">
        <v>211</v>
      </c>
      <c r="D49" t="s">
        <v>370</v>
      </c>
      <c r="E49" s="95">
        <v>-800</v>
      </c>
      <c r="F49">
        <v>75975</v>
      </c>
    </row>
    <row r="50" spans="1:6" x14ac:dyDescent="0.25">
      <c r="A50">
        <v>57</v>
      </c>
      <c r="B50" s="94">
        <v>44963</v>
      </c>
      <c r="C50" t="s">
        <v>221</v>
      </c>
      <c r="D50" t="s">
        <v>375</v>
      </c>
      <c r="E50" s="95">
        <v>2000</v>
      </c>
      <c r="F50">
        <v>507303</v>
      </c>
    </row>
    <row r="51" spans="1:6" x14ac:dyDescent="0.25">
      <c r="A51">
        <v>33</v>
      </c>
      <c r="B51" s="94">
        <v>44971</v>
      </c>
      <c r="C51" t="s">
        <v>221</v>
      </c>
      <c r="D51" t="s">
        <v>257</v>
      </c>
      <c r="E51" s="95">
        <v>2798</v>
      </c>
      <c r="F51">
        <v>401330</v>
      </c>
    </row>
    <row r="52" spans="1:6" x14ac:dyDescent="0.25">
      <c r="A52">
        <v>8</v>
      </c>
      <c r="B52" s="94">
        <v>44984</v>
      </c>
      <c r="C52" t="s">
        <v>221</v>
      </c>
      <c r="D52" t="s">
        <v>257</v>
      </c>
      <c r="E52" s="95">
        <v>2000</v>
      </c>
      <c r="F52">
        <v>34722</v>
      </c>
    </row>
    <row r="53" spans="1:6" x14ac:dyDescent="0.25">
      <c r="A53">
        <v>61</v>
      </c>
      <c r="B53" s="94">
        <v>44960</v>
      </c>
      <c r="C53" t="s">
        <v>221</v>
      </c>
      <c r="D53" t="s">
        <v>257</v>
      </c>
      <c r="E53" s="95">
        <v>7000</v>
      </c>
      <c r="F53">
        <v>193965</v>
      </c>
    </row>
    <row r="54" spans="1:6" x14ac:dyDescent="0.25">
      <c r="A54">
        <v>59</v>
      </c>
      <c r="B54" s="94">
        <v>44963</v>
      </c>
      <c r="C54" t="s">
        <v>222</v>
      </c>
      <c r="D54" t="s">
        <v>223</v>
      </c>
      <c r="E54" s="95">
        <v>-281087.05</v>
      </c>
      <c r="F54">
        <v>230203</v>
      </c>
    </row>
    <row r="55" spans="1:6" x14ac:dyDescent="0.25">
      <c r="A55">
        <v>60</v>
      </c>
      <c r="B55" s="94">
        <v>44963</v>
      </c>
      <c r="C55" t="s">
        <v>258</v>
      </c>
      <c r="E55" s="95">
        <v>-500000</v>
      </c>
      <c r="F55">
        <v>5</v>
      </c>
    </row>
    <row r="56" spans="1:6" x14ac:dyDescent="0.25">
      <c r="A56">
        <v>14</v>
      </c>
      <c r="B56" s="94">
        <v>44981</v>
      </c>
      <c r="C56" t="s">
        <v>229</v>
      </c>
      <c r="D56" t="s">
        <v>230</v>
      </c>
      <c r="E56" s="95">
        <v>-13000</v>
      </c>
      <c r="F56">
        <v>1880</v>
      </c>
    </row>
    <row r="57" spans="1:6" x14ac:dyDescent="0.25">
      <c r="A57">
        <v>48</v>
      </c>
      <c r="B57" s="94">
        <v>44967</v>
      </c>
      <c r="C57" t="s">
        <v>229</v>
      </c>
      <c r="D57" t="s">
        <v>230</v>
      </c>
      <c r="E57" s="95">
        <v>-14000</v>
      </c>
      <c r="F57">
        <v>9835</v>
      </c>
    </row>
    <row r="58" spans="1:6" x14ac:dyDescent="0.25">
      <c r="A58">
        <v>72</v>
      </c>
      <c r="B58" s="94">
        <v>44958</v>
      </c>
      <c r="C58" t="s">
        <v>229</v>
      </c>
      <c r="D58" t="s">
        <v>230</v>
      </c>
      <c r="E58" s="95">
        <v>-14000</v>
      </c>
      <c r="F58">
        <v>7605</v>
      </c>
    </row>
    <row r="59" spans="1:6" x14ac:dyDescent="0.25">
      <c r="A59">
        <v>41</v>
      </c>
      <c r="B59" s="94">
        <v>44970</v>
      </c>
      <c r="C59" t="s">
        <v>376</v>
      </c>
      <c r="D59" t="s">
        <v>377</v>
      </c>
      <c r="E59" s="95">
        <v>-10000</v>
      </c>
      <c r="F59">
        <v>4526</v>
      </c>
    </row>
    <row r="60" spans="1:6" x14ac:dyDescent="0.25">
      <c r="A60">
        <v>34</v>
      </c>
      <c r="B60" s="94">
        <v>44971</v>
      </c>
      <c r="C60" t="s">
        <v>376</v>
      </c>
      <c r="D60" t="s">
        <v>378</v>
      </c>
      <c r="E60" s="95">
        <v>-15000</v>
      </c>
      <c r="F60">
        <v>9426</v>
      </c>
    </row>
    <row r="61" spans="1:6" x14ac:dyDescent="0.25">
      <c r="A61">
        <v>39</v>
      </c>
      <c r="B61" s="94">
        <v>44970</v>
      </c>
      <c r="C61" t="s">
        <v>376</v>
      </c>
      <c r="D61" t="s">
        <v>377</v>
      </c>
      <c r="E61" s="95">
        <v>-10000</v>
      </c>
      <c r="F61">
        <v>4528</v>
      </c>
    </row>
    <row r="62" spans="1:6" x14ac:dyDescent="0.25">
      <c r="A62">
        <v>30</v>
      </c>
      <c r="B62" s="94">
        <v>44972</v>
      </c>
      <c r="C62" t="s">
        <v>376</v>
      </c>
      <c r="D62" t="s">
        <v>379</v>
      </c>
      <c r="E62" s="95">
        <v>-10000</v>
      </c>
      <c r="F62">
        <v>384</v>
      </c>
    </row>
    <row r="63" spans="1:6" x14ac:dyDescent="0.25">
      <c r="A63">
        <v>40</v>
      </c>
      <c r="B63" s="94">
        <v>44970</v>
      </c>
      <c r="C63" t="s">
        <v>376</v>
      </c>
      <c r="D63" t="s">
        <v>377</v>
      </c>
      <c r="E63" s="95">
        <v>-10000</v>
      </c>
      <c r="F63">
        <v>4527</v>
      </c>
    </row>
    <row r="64" spans="1:6" x14ac:dyDescent="0.25">
      <c r="A64">
        <v>1</v>
      </c>
      <c r="B64" s="94">
        <v>44985</v>
      </c>
      <c r="C64" t="s">
        <v>215</v>
      </c>
      <c r="E64" s="95">
        <v>-437.54</v>
      </c>
      <c r="F64">
        <v>0</v>
      </c>
    </row>
    <row r="65" spans="1:6" x14ac:dyDescent="0.25">
      <c r="A65">
        <v>73</v>
      </c>
      <c r="B65" s="94">
        <v>44958</v>
      </c>
      <c r="C65" t="s">
        <v>231</v>
      </c>
      <c r="E65" s="95">
        <v>48.19</v>
      </c>
      <c r="F65">
        <v>0</v>
      </c>
    </row>
    <row r="66" spans="1:6" x14ac:dyDescent="0.25">
      <c r="A66">
        <v>0</v>
      </c>
      <c r="B66" s="94">
        <v>44985</v>
      </c>
      <c r="C66" t="s">
        <v>214</v>
      </c>
      <c r="E66" s="95">
        <v>-2083.5300000000002</v>
      </c>
      <c r="F66">
        <v>0</v>
      </c>
    </row>
    <row r="67" spans="1:6" x14ac:dyDescent="0.25">
      <c r="A67">
        <v>64</v>
      </c>
      <c r="B67" s="94">
        <v>44960</v>
      </c>
      <c r="C67" t="s">
        <v>218</v>
      </c>
      <c r="D67" t="s">
        <v>276</v>
      </c>
      <c r="E67" s="95">
        <v>-14661.46</v>
      </c>
      <c r="F67">
        <v>750282</v>
      </c>
    </row>
    <row r="68" spans="1:6" x14ac:dyDescent="0.25">
      <c r="A68">
        <v>65</v>
      </c>
      <c r="B68" s="94">
        <v>44959</v>
      </c>
      <c r="C68" t="s">
        <v>224</v>
      </c>
      <c r="D68" t="s">
        <v>225</v>
      </c>
      <c r="E68" s="95">
        <v>-45893.18</v>
      </c>
      <c r="F68">
        <v>503252</v>
      </c>
    </row>
    <row r="69" spans="1:6" x14ac:dyDescent="0.25">
      <c r="A69">
        <v>52</v>
      </c>
      <c r="B69" s="94">
        <v>44965</v>
      </c>
      <c r="C69" t="s">
        <v>217</v>
      </c>
      <c r="D69" t="s">
        <v>380</v>
      </c>
      <c r="E69" s="95">
        <v>-2040</v>
      </c>
      <c r="F69">
        <v>228580</v>
      </c>
    </row>
    <row r="70" spans="1:6" x14ac:dyDescent="0.25">
      <c r="A70">
        <v>42</v>
      </c>
      <c r="B70" s="94">
        <v>44970</v>
      </c>
      <c r="C70" t="s">
        <v>217</v>
      </c>
      <c r="D70" t="s">
        <v>381</v>
      </c>
      <c r="E70" s="95">
        <v>-36800</v>
      </c>
      <c r="F70">
        <v>526054</v>
      </c>
    </row>
    <row r="71" spans="1:6" x14ac:dyDescent="0.25">
      <c r="A71">
        <v>31</v>
      </c>
      <c r="B71" s="94">
        <v>44972</v>
      </c>
      <c r="C71" t="s">
        <v>217</v>
      </c>
      <c r="D71" t="s">
        <v>382</v>
      </c>
      <c r="E71" s="95">
        <v>-8500</v>
      </c>
      <c r="F71">
        <v>653558</v>
      </c>
    </row>
    <row r="72" spans="1:6" x14ac:dyDescent="0.25">
      <c r="A72">
        <v>24</v>
      </c>
      <c r="B72" s="94">
        <v>44979</v>
      </c>
      <c r="C72" t="s">
        <v>217</v>
      </c>
      <c r="D72" t="s">
        <v>270</v>
      </c>
      <c r="E72" s="95">
        <v>-4000</v>
      </c>
      <c r="F72">
        <v>901955</v>
      </c>
    </row>
    <row r="73" spans="1:6" x14ac:dyDescent="0.25">
      <c r="A73">
        <v>23</v>
      </c>
      <c r="B73" s="94">
        <v>44979</v>
      </c>
      <c r="C73" t="s">
        <v>217</v>
      </c>
      <c r="D73" t="s">
        <v>252</v>
      </c>
      <c r="E73" s="95">
        <v>-20000</v>
      </c>
      <c r="F73">
        <v>923248</v>
      </c>
    </row>
    <row r="74" spans="1:6" x14ac:dyDescent="0.25">
      <c r="A74">
        <v>9</v>
      </c>
      <c r="B74" s="94">
        <v>44984</v>
      </c>
      <c r="C74" t="s">
        <v>217</v>
      </c>
      <c r="D74" t="s">
        <v>383</v>
      </c>
      <c r="E74" s="95">
        <v>-2000</v>
      </c>
      <c r="F74">
        <v>112923</v>
      </c>
    </row>
    <row r="75" spans="1:6" x14ac:dyDescent="0.25">
      <c r="A75">
        <v>63</v>
      </c>
      <c r="B75" s="94">
        <v>44960</v>
      </c>
      <c r="C75" t="s">
        <v>217</v>
      </c>
      <c r="D75" t="s">
        <v>380</v>
      </c>
      <c r="E75" s="95">
        <v>-11500</v>
      </c>
      <c r="F75">
        <v>485149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9"/>
  <dimension ref="A1:J71"/>
  <sheetViews>
    <sheetView zoomScale="90" zoomScaleNormal="90" workbookViewId="0">
      <selection activeCell="A2" sqref="A2:J67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95" customWidth="1"/>
    <col min="9" max="9" width="14.625" style="95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233</v>
      </c>
      <c r="F1" s="95" t="s">
        <v>234</v>
      </c>
      <c r="G1" s="95" t="s">
        <v>235</v>
      </c>
      <c r="H1" s="95" t="s">
        <v>236</v>
      </c>
      <c r="I1" s="95" t="s">
        <v>237</v>
      </c>
      <c r="J1" t="s">
        <v>238</v>
      </c>
    </row>
    <row r="2" spans="1:10" x14ac:dyDescent="0.25">
      <c r="A2">
        <v>44</v>
      </c>
      <c r="B2" s="94">
        <v>44967</v>
      </c>
      <c r="C2" t="s">
        <v>211</v>
      </c>
      <c r="D2" t="s">
        <v>213</v>
      </c>
      <c r="E2" s="95">
        <v>-14.7</v>
      </c>
    </row>
    <row r="3" spans="1:10" x14ac:dyDescent="0.25">
      <c r="A3">
        <v>27</v>
      </c>
      <c r="B3" s="94">
        <v>44972</v>
      </c>
      <c r="C3" t="s">
        <v>211</v>
      </c>
      <c r="D3" t="s">
        <v>328</v>
      </c>
      <c r="E3" s="95">
        <v>-217.99</v>
      </c>
    </row>
    <row r="4" spans="1:10" x14ac:dyDescent="0.25">
      <c r="A4">
        <v>28</v>
      </c>
      <c r="B4" s="94">
        <v>44972</v>
      </c>
      <c r="C4" t="s">
        <v>211</v>
      </c>
      <c r="D4" t="s">
        <v>328</v>
      </c>
      <c r="E4" s="95">
        <v>-217.99</v>
      </c>
    </row>
    <row r="5" spans="1:10" x14ac:dyDescent="0.25">
      <c r="A5">
        <v>38</v>
      </c>
      <c r="B5" s="94">
        <v>44970</v>
      </c>
      <c r="C5" t="s">
        <v>211</v>
      </c>
      <c r="D5" t="s">
        <v>368</v>
      </c>
      <c r="E5" s="95">
        <v>-250</v>
      </c>
    </row>
    <row r="6" spans="1:10" x14ac:dyDescent="0.25">
      <c r="A6">
        <v>46</v>
      </c>
      <c r="B6" s="94">
        <v>44967</v>
      </c>
      <c r="C6" t="s">
        <v>211</v>
      </c>
      <c r="D6" t="s">
        <v>242</v>
      </c>
      <c r="E6" s="95">
        <v>-250</v>
      </c>
    </row>
    <row r="7" spans="1:10" x14ac:dyDescent="0.25">
      <c r="A7">
        <v>20</v>
      </c>
      <c r="B7" s="94">
        <v>44979</v>
      </c>
      <c r="C7" t="s">
        <v>211</v>
      </c>
      <c r="D7" t="s">
        <v>269</v>
      </c>
      <c r="E7" s="95">
        <v>-420</v>
      </c>
    </row>
    <row r="8" spans="1:10" x14ac:dyDescent="0.25">
      <c r="A8">
        <v>1</v>
      </c>
      <c r="B8" s="94">
        <v>44985</v>
      </c>
      <c r="C8" t="s">
        <v>215</v>
      </c>
      <c r="E8" s="95">
        <v>-437.54</v>
      </c>
    </row>
    <row r="9" spans="1:10" x14ac:dyDescent="0.25">
      <c r="A9">
        <v>3</v>
      </c>
      <c r="B9" s="94">
        <v>44984</v>
      </c>
      <c r="C9" t="s">
        <v>211</v>
      </c>
      <c r="D9" t="s">
        <v>371</v>
      </c>
      <c r="E9" s="95">
        <v>-461.55</v>
      </c>
    </row>
    <row r="10" spans="1:10" x14ac:dyDescent="0.25">
      <c r="A10">
        <v>55</v>
      </c>
      <c r="B10" s="94">
        <v>44963</v>
      </c>
      <c r="C10" t="s">
        <v>211</v>
      </c>
      <c r="D10" t="s">
        <v>246</v>
      </c>
      <c r="E10" s="95">
        <v>-462.1</v>
      </c>
    </row>
    <row r="11" spans="1:10" x14ac:dyDescent="0.25">
      <c r="A11">
        <v>37</v>
      </c>
      <c r="B11" s="94">
        <v>44970</v>
      </c>
      <c r="C11" t="s">
        <v>211</v>
      </c>
      <c r="D11" t="s">
        <v>328</v>
      </c>
      <c r="E11" s="95">
        <v>-536.30999999999995</v>
      </c>
    </row>
    <row r="12" spans="1:10" x14ac:dyDescent="0.25">
      <c r="A12">
        <v>32</v>
      </c>
      <c r="B12" s="94">
        <v>44971</v>
      </c>
      <c r="C12" t="s">
        <v>211</v>
      </c>
      <c r="D12" t="s">
        <v>328</v>
      </c>
      <c r="E12" s="95">
        <v>-747.74</v>
      </c>
    </row>
    <row r="13" spans="1:10" x14ac:dyDescent="0.25">
      <c r="A13">
        <v>22</v>
      </c>
      <c r="B13" s="94">
        <v>44979</v>
      </c>
      <c r="C13" t="s">
        <v>211</v>
      </c>
      <c r="D13" t="s">
        <v>370</v>
      </c>
      <c r="E13" s="95">
        <v>-800</v>
      </c>
    </row>
    <row r="14" spans="1:10" x14ac:dyDescent="0.25">
      <c r="A14">
        <v>69</v>
      </c>
      <c r="B14" s="94">
        <v>44958</v>
      </c>
      <c r="C14" t="s">
        <v>211</v>
      </c>
      <c r="D14" t="s">
        <v>278</v>
      </c>
      <c r="E14" s="95">
        <v>-837.9</v>
      </c>
    </row>
    <row r="15" spans="1:10" x14ac:dyDescent="0.25">
      <c r="A15">
        <v>18</v>
      </c>
      <c r="B15" s="94">
        <v>44979</v>
      </c>
      <c r="C15" t="s">
        <v>211</v>
      </c>
      <c r="D15" t="s">
        <v>373</v>
      </c>
      <c r="E15" s="95">
        <v>-883.7</v>
      </c>
    </row>
    <row r="16" spans="1:10" x14ac:dyDescent="0.25">
      <c r="A16">
        <v>12</v>
      </c>
      <c r="B16" s="94">
        <v>44981</v>
      </c>
      <c r="C16" t="s">
        <v>211</v>
      </c>
      <c r="D16" t="s">
        <v>281</v>
      </c>
      <c r="E16" s="95">
        <v>-900</v>
      </c>
    </row>
    <row r="17" spans="1:5" x14ac:dyDescent="0.25">
      <c r="A17">
        <v>71</v>
      </c>
      <c r="B17" s="94">
        <v>44958</v>
      </c>
      <c r="C17" t="s">
        <v>211</v>
      </c>
      <c r="D17" t="s">
        <v>212</v>
      </c>
      <c r="E17" s="95">
        <v>-1100</v>
      </c>
    </row>
    <row r="18" spans="1:5" x14ac:dyDescent="0.25">
      <c r="A18">
        <v>56</v>
      </c>
      <c r="B18" s="94">
        <v>44963</v>
      </c>
      <c r="C18" t="s">
        <v>211</v>
      </c>
      <c r="D18" t="s">
        <v>366</v>
      </c>
      <c r="E18" s="95">
        <v>-1118</v>
      </c>
    </row>
    <row r="19" spans="1:5" x14ac:dyDescent="0.25">
      <c r="A19">
        <v>54</v>
      </c>
      <c r="B19" s="94">
        <v>44964</v>
      </c>
      <c r="C19" t="s">
        <v>211</v>
      </c>
      <c r="D19" t="s">
        <v>337</v>
      </c>
      <c r="E19" s="95">
        <v>-1120</v>
      </c>
    </row>
    <row r="20" spans="1:5" x14ac:dyDescent="0.25">
      <c r="A20">
        <v>21</v>
      </c>
      <c r="B20" s="94">
        <v>44979</v>
      </c>
      <c r="C20" t="s">
        <v>211</v>
      </c>
      <c r="D20" t="s">
        <v>245</v>
      </c>
      <c r="E20" s="95">
        <v>-1152</v>
      </c>
    </row>
    <row r="21" spans="1:5" x14ac:dyDescent="0.25">
      <c r="A21">
        <v>36</v>
      </c>
      <c r="B21" s="94">
        <v>44970</v>
      </c>
      <c r="C21" t="s">
        <v>211</v>
      </c>
      <c r="D21" t="s">
        <v>370</v>
      </c>
      <c r="E21" s="95">
        <v>-1350</v>
      </c>
    </row>
    <row r="22" spans="1:5" x14ac:dyDescent="0.25">
      <c r="A22">
        <v>43</v>
      </c>
      <c r="B22" s="94">
        <v>44967</v>
      </c>
      <c r="C22" t="s">
        <v>211</v>
      </c>
      <c r="D22" t="s">
        <v>213</v>
      </c>
      <c r="E22" s="95">
        <v>-1455</v>
      </c>
    </row>
    <row r="23" spans="1:5" x14ac:dyDescent="0.25">
      <c r="A23">
        <v>29</v>
      </c>
      <c r="B23" s="94">
        <v>44972</v>
      </c>
      <c r="C23" t="s">
        <v>211</v>
      </c>
      <c r="D23" t="s">
        <v>367</v>
      </c>
      <c r="E23" s="95">
        <v>-1500</v>
      </c>
    </row>
    <row r="24" spans="1:5" x14ac:dyDescent="0.25">
      <c r="A24">
        <v>19</v>
      </c>
      <c r="B24" s="94">
        <v>44979</v>
      </c>
      <c r="C24" t="s">
        <v>211</v>
      </c>
      <c r="D24" t="s">
        <v>374</v>
      </c>
      <c r="E24" s="95">
        <v>-1550</v>
      </c>
    </row>
    <row r="25" spans="1:5" x14ac:dyDescent="0.25">
      <c r="A25">
        <v>10</v>
      </c>
      <c r="B25" s="94">
        <v>44981</v>
      </c>
      <c r="C25" t="s">
        <v>211</v>
      </c>
      <c r="D25" t="s">
        <v>268</v>
      </c>
      <c r="E25" s="95">
        <v>-1570</v>
      </c>
    </row>
    <row r="26" spans="1:5" x14ac:dyDescent="0.25">
      <c r="A26">
        <v>68</v>
      </c>
      <c r="B26" s="94">
        <v>44958</v>
      </c>
      <c r="C26" t="s">
        <v>211</v>
      </c>
      <c r="D26" t="s">
        <v>344</v>
      </c>
      <c r="E26" s="95">
        <v>-1930</v>
      </c>
    </row>
    <row r="27" spans="1:5" x14ac:dyDescent="0.25">
      <c r="A27">
        <v>50</v>
      </c>
      <c r="B27" s="94">
        <v>44965</v>
      </c>
      <c r="C27" t="s">
        <v>211</v>
      </c>
      <c r="D27" t="s">
        <v>286</v>
      </c>
      <c r="E27" s="95">
        <v>-1976.94</v>
      </c>
    </row>
    <row r="28" spans="1:5" x14ac:dyDescent="0.25">
      <c r="A28">
        <v>9</v>
      </c>
      <c r="B28" s="94">
        <v>44984</v>
      </c>
      <c r="C28" t="s">
        <v>217</v>
      </c>
      <c r="D28" t="s">
        <v>383</v>
      </c>
      <c r="E28" s="95">
        <v>-2000</v>
      </c>
    </row>
    <row r="29" spans="1:5" x14ac:dyDescent="0.25">
      <c r="A29">
        <v>11</v>
      </c>
      <c r="B29" s="94">
        <v>44981</v>
      </c>
      <c r="C29" t="s">
        <v>211</v>
      </c>
      <c r="D29" t="s">
        <v>268</v>
      </c>
      <c r="E29" s="95">
        <v>-2000</v>
      </c>
    </row>
    <row r="30" spans="1:5" x14ac:dyDescent="0.25">
      <c r="A30">
        <v>53</v>
      </c>
      <c r="B30" s="94">
        <v>44964</v>
      </c>
      <c r="C30" t="s">
        <v>211</v>
      </c>
      <c r="D30" t="s">
        <v>369</v>
      </c>
      <c r="E30" s="95">
        <v>-2000</v>
      </c>
    </row>
    <row r="31" spans="1:5" x14ac:dyDescent="0.25">
      <c r="A31">
        <v>52</v>
      </c>
      <c r="B31" s="94">
        <v>44965</v>
      </c>
      <c r="C31" t="s">
        <v>217</v>
      </c>
      <c r="D31" t="s">
        <v>380</v>
      </c>
      <c r="E31" s="95">
        <v>-2040</v>
      </c>
    </row>
    <row r="32" spans="1:5" x14ac:dyDescent="0.25">
      <c r="A32">
        <v>0</v>
      </c>
      <c r="B32" s="94">
        <v>44985</v>
      </c>
      <c r="C32" t="s">
        <v>214</v>
      </c>
      <c r="E32" s="95">
        <v>-2083.5300000000002</v>
      </c>
    </row>
    <row r="33" spans="1:5" x14ac:dyDescent="0.25">
      <c r="A33">
        <v>5</v>
      </c>
      <c r="B33" s="94">
        <v>44984</v>
      </c>
      <c r="C33" t="s">
        <v>211</v>
      </c>
      <c r="D33" t="s">
        <v>246</v>
      </c>
      <c r="E33" s="95">
        <v>-2140.9699999999998</v>
      </c>
    </row>
    <row r="34" spans="1:5" x14ac:dyDescent="0.25">
      <c r="A34">
        <v>49</v>
      </c>
      <c r="B34" s="94">
        <v>44966</v>
      </c>
      <c r="C34" t="s">
        <v>211</v>
      </c>
      <c r="D34" t="s">
        <v>345</v>
      </c>
      <c r="E34" s="95">
        <v>-2192.8000000000002</v>
      </c>
    </row>
    <row r="35" spans="1:5" x14ac:dyDescent="0.25">
      <c r="A35">
        <v>16</v>
      </c>
      <c r="B35" s="94">
        <v>44980</v>
      </c>
      <c r="C35" t="s">
        <v>211</v>
      </c>
      <c r="D35" t="s">
        <v>328</v>
      </c>
      <c r="E35" s="95">
        <v>-2588</v>
      </c>
    </row>
    <row r="36" spans="1:5" x14ac:dyDescent="0.25">
      <c r="A36">
        <v>67</v>
      </c>
      <c r="B36" s="94">
        <v>44958</v>
      </c>
      <c r="C36" t="s">
        <v>211</v>
      </c>
      <c r="D36" t="s">
        <v>216</v>
      </c>
      <c r="E36" s="95">
        <v>-2873.61</v>
      </c>
    </row>
    <row r="37" spans="1:5" x14ac:dyDescent="0.25">
      <c r="A37">
        <v>47</v>
      </c>
      <c r="B37" s="94">
        <v>44967</v>
      </c>
      <c r="C37" t="s">
        <v>211</v>
      </c>
      <c r="D37" t="s">
        <v>268</v>
      </c>
      <c r="E37" s="95">
        <v>-3330</v>
      </c>
    </row>
    <row r="38" spans="1:5" x14ac:dyDescent="0.25">
      <c r="A38">
        <v>66</v>
      </c>
      <c r="B38" s="94">
        <v>44958</v>
      </c>
      <c r="C38" t="s">
        <v>211</v>
      </c>
      <c r="D38" t="s">
        <v>228</v>
      </c>
      <c r="E38" s="95">
        <v>-3500</v>
      </c>
    </row>
    <row r="39" spans="1:5" x14ac:dyDescent="0.25">
      <c r="A39">
        <v>26</v>
      </c>
      <c r="B39" s="94">
        <v>44973</v>
      </c>
      <c r="C39" t="s">
        <v>211</v>
      </c>
      <c r="D39" t="s">
        <v>330</v>
      </c>
      <c r="E39" s="95">
        <v>-3675</v>
      </c>
    </row>
    <row r="40" spans="1:5" x14ac:dyDescent="0.25">
      <c r="A40">
        <v>4</v>
      </c>
      <c r="B40" s="94">
        <v>44984</v>
      </c>
      <c r="C40" t="s">
        <v>211</v>
      </c>
      <c r="D40" t="s">
        <v>345</v>
      </c>
      <c r="E40" s="95">
        <v>-3876.79</v>
      </c>
    </row>
    <row r="41" spans="1:5" x14ac:dyDescent="0.25">
      <c r="A41">
        <v>24</v>
      </c>
      <c r="B41" s="94">
        <v>44979</v>
      </c>
      <c r="C41" t="s">
        <v>217</v>
      </c>
      <c r="D41" t="s">
        <v>270</v>
      </c>
      <c r="E41" s="95">
        <v>-4000</v>
      </c>
    </row>
    <row r="42" spans="1:5" x14ac:dyDescent="0.25">
      <c r="A42">
        <v>17</v>
      </c>
      <c r="B42" s="94">
        <v>44980</v>
      </c>
      <c r="C42" t="s">
        <v>211</v>
      </c>
      <c r="D42" t="s">
        <v>216</v>
      </c>
      <c r="E42" s="95">
        <v>-4174.29</v>
      </c>
    </row>
    <row r="43" spans="1:5" x14ac:dyDescent="0.25">
      <c r="A43">
        <v>45</v>
      </c>
      <c r="B43" s="94">
        <v>44967</v>
      </c>
      <c r="C43" t="s">
        <v>211</v>
      </c>
      <c r="D43" t="s">
        <v>278</v>
      </c>
      <c r="E43" s="95">
        <v>-4328.25</v>
      </c>
    </row>
    <row r="44" spans="1:5" x14ac:dyDescent="0.25">
      <c r="A44">
        <v>70</v>
      </c>
      <c r="B44" s="94">
        <v>44958</v>
      </c>
      <c r="C44" t="s">
        <v>211</v>
      </c>
      <c r="D44" t="s">
        <v>242</v>
      </c>
      <c r="E44" s="95">
        <v>-4610</v>
      </c>
    </row>
    <row r="45" spans="1:5" x14ac:dyDescent="0.25">
      <c r="A45">
        <v>35</v>
      </c>
      <c r="B45" s="94">
        <v>44970</v>
      </c>
      <c r="C45" t="s">
        <v>211</v>
      </c>
      <c r="D45" t="s">
        <v>345</v>
      </c>
      <c r="E45" s="95">
        <v>-6074.19</v>
      </c>
    </row>
    <row r="46" spans="1:5" x14ac:dyDescent="0.25">
      <c r="A46">
        <v>13</v>
      </c>
      <c r="B46" s="94">
        <v>44981</v>
      </c>
      <c r="C46" t="s">
        <v>211</v>
      </c>
      <c r="D46" t="s">
        <v>281</v>
      </c>
      <c r="E46" s="95">
        <v>-6390</v>
      </c>
    </row>
    <row r="47" spans="1:5" x14ac:dyDescent="0.25">
      <c r="A47">
        <v>31</v>
      </c>
      <c r="B47" s="94">
        <v>44972</v>
      </c>
      <c r="C47" t="s">
        <v>217</v>
      </c>
      <c r="D47" t="s">
        <v>382</v>
      </c>
      <c r="E47" s="95">
        <v>-8500</v>
      </c>
    </row>
    <row r="48" spans="1:5" x14ac:dyDescent="0.25">
      <c r="A48">
        <v>7</v>
      </c>
      <c r="B48" s="94">
        <v>44984</v>
      </c>
      <c r="C48" t="s">
        <v>211</v>
      </c>
      <c r="D48" t="s">
        <v>286</v>
      </c>
      <c r="E48" s="95">
        <v>-9107.7999999999993</v>
      </c>
    </row>
    <row r="49" spans="1:9" x14ac:dyDescent="0.25">
      <c r="A49">
        <v>6</v>
      </c>
      <c r="B49" s="94">
        <v>44984</v>
      </c>
      <c r="C49" t="s">
        <v>211</v>
      </c>
      <c r="D49" t="s">
        <v>372</v>
      </c>
      <c r="E49" s="95">
        <v>-11050</v>
      </c>
    </row>
    <row r="50" spans="1:9" x14ac:dyDescent="0.25">
      <c r="A50">
        <v>63</v>
      </c>
      <c r="B50" s="94">
        <v>44960</v>
      </c>
      <c r="C50" t="s">
        <v>217</v>
      </c>
      <c r="D50" t="s">
        <v>380</v>
      </c>
      <c r="E50" s="95">
        <v>-11500</v>
      </c>
    </row>
    <row r="51" spans="1:9" x14ac:dyDescent="0.25">
      <c r="A51">
        <v>64</v>
      </c>
      <c r="B51" s="94">
        <v>44960</v>
      </c>
      <c r="C51" t="s">
        <v>218</v>
      </c>
      <c r="D51" t="s">
        <v>276</v>
      </c>
      <c r="E51" s="95">
        <v>-14661.46</v>
      </c>
    </row>
    <row r="52" spans="1:9" x14ac:dyDescent="0.25">
      <c r="A52">
        <v>23</v>
      </c>
      <c r="B52" s="94">
        <v>44979</v>
      </c>
      <c r="C52" t="s">
        <v>217</v>
      </c>
      <c r="D52" t="s">
        <v>252</v>
      </c>
      <c r="E52" s="95">
        <v>-20000</v>
      </c>
    </row>
    <row r="53" spans="1:9" x14ac:dyDescent="0.25">
      <c r="A53">
        <v>51</v>
      </c>
      <c r="B53" s="94">
        <v>44965</v>
      </c>
      <c r="C53" t="s">
        <v>211</v>
      </c>
      <c r="D53" t="s">
        <v>345</v>
      </c>
      <c r="E53" s="95">
        <v>-26068.560000000001</v>
      </c>
    </row>
    <row r="54" spans="1:9" x14ac:dyDescent="0.25">
      <c r="A54">
        <v>42</v>
      </c>
      <c r="B54" s="94">
        <v>44970</v>
      </c>
      <c r="C54" t="s">
        <v>217</v>
      </c>
      <c r="D54" t="s">
        <v>381</v>
      </c>
      <c r="E54" s="95">
        <v>-36800</v>
      </c>
    </row>
    <row r="55" spans="1:9" x14ac:dyDescent="0.25">
      <c r="A55">
        <v>65</v>
      </c>
      <c r="B55" s="94">
        <v>44959</v>
      </c>
      <c r="C55" t="s">
        <v>224</v>
      </c>
      <c r="D55" t="s">
        <v>225</v>
      </c>
      <c r="F55" s="95">
        <v>-45893.18</v>
      </c>
    </row>
    <row r="56" spans="1:9" x14ac:dyDescent="0.25">
      <c r="A56">
        <v>59</v>
      </c>
      <c r="B56" s="94">
        <v>44963</v>
      </c>
      <c r="C56" t="s">
        <v>222</v>
      </c>
      <c r="D56" t="s">
        <v>223</v>
      </c>
      <c r="F56" s="95">
        <v>-281087.05</v>
      </c>
    </row>
    <row r="57" spans="1:9" x14ac:dyDescent="0.25">
      <c r="A57">
        <v>60</v>
      </c>
      <c r="B57" s="94">
        <v>44963</v>
      </c>
      <c r="C57" t="s">
        <v>258</v>
      </c>
      <c r="H57" s="95">
        <v>-500000</v>
      </c>
    </row>
    <row r="58" spans="1:9" x14ac:dyDescent="0.25">
      <c r="A58">
        <v>30</v>
      </c>
      <c r="B58" s="94">
        <v>44972</v>
      </c>
      <c r="C58" t="s">
        <v>376</v>
      </c>
      <c r="D58" t="s">
        <v>379</v>
      </c>
      <c r="I58" s="95">
        <v>-10000</v>
      </c>
    </row>
    <row r="59" spans="1:9" x14ac:dyDescent="0.25">
      <c r="A59">
        <v>39</v>
      </c>
      <c r="B59" s="94">
        <v>44970</v>
      </c>
      <c r="C59" t="s">
        <v>376</v>
      </c>
      <c r="D59" t="s">
        <v>377</v>
      </c>
      <c r="I59" s="95">
        <v>-10000</v>
      </c>
    </row>
    <row r="60" spans="1:9" x14ac:dyDescent="0.25">
      <c r="A60">
        <v>40</v>
      </c>
      <c r="B60" s="94">
        <v>44970</v>
      </c>
      <c r="C60" t="s">
        <v>376</v>
      </c>
      <c r="D60" t="s">
        <v>377</v>
      </c>
      <c r="I60" s="95">
        <v>-10000</v>
      </c>
    </row>
    <row r="61" spans="1:9" x14ac:dyDescent="0.25">
      <c r="A61">
        <v>41</v>
      </c>
      <c r="B61" s="94">
        <v>44970</v>
      </c>
      <c r="C61" t="s">
        <v>376</v>
      </c>
      <c r="D61" t="s">
        <v>377</v>
      </c>
      <c r="I61" s="95">
        <v>-10000</v>
      </c>
    </row>
    <row r="62" spans="1:9" x14ac:dyDescent="0.25">
      <c r="A62">
        <v>14</v>
      </c>
      <c r="B62" s="94">
        <v>44981</v>
      </c>
      <c r="C62" t="s">
        <v>229</v>
      </c>
      <c r="D62" t="s">
        <v>230</v>
      </c>
      <c r="I62" s="95">
        <v>-13000</v>
      </c>
    </row>
    <row r="63" spans="1:9" x14ac:dyDescent="0.25">
      <c r="A63">
        <v>48</v>
      </c>
      <c r="B63" s="94">
        <v>44967</v>
      </c>
      <c r="C63" t="s">
        <v>229</v>
      </c>
      <c r="D63" t="s">
        <v>230</v>
      </c>
      <c r="I63" s="95">
        <v>-14000</v>
      </c>
    </row>
    <row r="64" spans="1:9" x14ac:dyDescent="0.25">
      <c r="A64">
        <v>72</v>
      </c>
      <c r="B64" s="94">
        <v>44958</v>
      </c>
      <c r="C64" t="s">
        <v>229</v>
      </c>
      <c r="D64" t="s">
        <v>230</v>
      </c>
      <c r="I64" s="95">
        <v>-14000</v>
      </c>
    </row>
    <row r="65" spans="1:10" x14ac:dyDescent="0.25">
      <c r="A65">
        <v>34</v>
      </c>
      <c r="B65" s="94">
        <v>44971</v>
      </c>
      <c r="C65" t="s">
        <v>376</v>
      </c>
      <c r="D65" t="s">
        <v>378</v>
      </c>
      <c r="I65" s="95">
        <v>-15000</v>
      </c>
    </row>
    <row r="66" spans="1:10" x14ac:dyDescent="0.25">
      <c r="A66" s="99"/>
      <c r="B66" s="98">
        <v>44963</v>
      </c>
      <c r="C66" s="99" t="s">
        <v>280</v>
      </c>
      <c r="D66" s="99"/>
      <c r="E66" s="96"/>
      <c r="F66" s="96"/>
      <c r="G66" s="96">
        <v>-10269</v>
      </c>
    </row>
    <row r="67" spans="1:10" x14ac:dyDescent="0.25">
      <c r="A67" s="99"/>
      <c r="B67" s="98">
        <v>44963</v>
      </c>
      <c r="C67" s="99" t="s">
        <v>253</v>
      </c>
      <c r="D67" s="99"/>
      <c r="E67" s="96"/>
      <c r="F67" s="96">
        <v>10269</v>
      </c>
    </row>
    <row r="68" spans="1:10" x14ac:dyDescent="0.25">
      <c r="E68" s="95">
        <f>SUBTOTAL(109,Feb_Debitos[Gastos])</f>
        <v>-224824.71</v>
      </c>
      <c r="F68" s="95">
        <f>SUBTOTAL(109,Feb_Debitos[Tarjetas])</f>
        <v>-316711.23</v>
      </c>
      <c r="G68" s="95">
        <f>SUBTOTAL(109,Feb_Debitos[Impuestos])</f>
        <v>-10269</v>
      </c>
      <c r="H68" s="95">
        <f>SUBTOTAL(109,Feb_Debitos[Inversiones])</f>
        <v>-500000</v>
      </c>
      <c r="I68" s="95">
        <f>SUBTOTAL(109,Feb_Debitos[Extracciones])</f>
        <v>-96000</v>
      </c>
      <c r="J68">
        <f>SUBTOTAL(103,Feb_Debitos[Comentarios])</f>
        <v>0</v>
      </c>
    </row>
    <row r="70" spans="1:10" x14ac:dyDescent="0.25">
      <c r="C70" t="s">
        <v>209</v>
      </c>
      <c r="D70" t="s">
        <v>210</v>
      </c>
      <c r="E70" s="95" t="s">
        <v>233</v>
      </c>
      <c r="F70" s="95" t="s">
        <v>234</v>
      </c>
      <c r="G70" s="95" t="s">
        <v>235</v>
      </c>
      <c r="H70" s="95" t="s">
        <v>236</v>
      </c>
      <c r="I70" s="95" t="s">
        <v>237</v>
      </c>
      <c r="J70" t="s">
        <v>238</v>
      </c>
    </row>
    <row r="71" spans="1:10" x14ac:dyDescent="0.25">
      <c r="B71" s="94">
        <v>44985</v>
      </c>
      <c r="C71" t="s">
        <v>254</v>
      </c>
      <c r="E71" s="95">
        <v>-224824.71</v>
      </c>
      <c r="F71" s="95">
        <v>-316711.23</v>
      </c>
      <c r="G71" s="95">
        <v>-10269</v>
      </c>
      <c r="H71" s="95">
        <v>-500000</v>
      </c>
      <c r="I71" s="95">
        <v>-96000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0"/>
  <dimension ref="A1:G15"/>
  <sheetViews>
    <sheetView workbookViewId="0">
      <selection activeCell="A2" sqref="A2:G1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95" customWidth="1"/>
  </cols>
  <sheetData>
    <row r="1" spans="1:7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239</v>
      </c>
      <c r="F1" s="95" t="s">
        <v>240</v>
      </c>
      <c r="G1" s="95" t="s">
        <v>236</v>
      </c>
    </row>
    <row r="2" spans="1:7" x14ac:dyDescent="0.25">
      <c r="A2">
        <v>15</v>
      </c>
      <c r="B2" s="94">
        <v>44981</v>
      </c>
      <c r="C2" t="s">
        <v>226</v>
      </c>
      <c r="D2" t="s">
        <v>227</v>
      </c>
      <c r="E2" s="95">
        <v>14261</v>
      </c>
    </row>
    <row r="3" spans="1:7" x14ac:dyDescent="0.25">
      <c r="A3">
        <v>25</v>
      </c>
      <c r="B3" s="94">
        <v>44974</v>
      </c>
      <c r="C3" t="s">
        <v>226</v>
      </c>
      <c r="D3" t="s">
        <v>227</v>
      </c>
      <c r="E3" s="95">
        <v>22818</v>
      </c>
    </row>
    <row r="4" spans="1:7" x14ac:dyDescent="0.25">
      <c r="A4">
        <v>62</v>
      </c>
      <c r="B4" s="94">
        <v>44960</v>
      </c>
      <c r="C4" t="s">
        <v>226</v>
      </c>
      <c r="D4" t="s">
        <v>227</v>
      </c>
      <c r="E4" s="95">
        <v>82673</v>
      </c>
    </row>
    <row r="5" spans="1:7" x14ac:dyDescent="0.25">
      <c r="A5">
        <v>58</v>
      </c>
      <c r="B5" s="94">
        <v>44963</v>
      </c>
      <c r="C5" t="s">
        <v>226</v>
      </c>
      <c r="D5" t="s">
        <v>227</v>
      </c>
      <c r="E5" s="95">
        <v>338576.37</v>
      </c>
    </row>
    <row r="6" spans="1:7" x14ac:dyDescent="0.25">
      <c r="A6">
        <v>73</v>
      </c>
      <c r="B6" s="94">
        <v>44958</v>
      </c>
      <c r="C6" t="s">
        <v>231</v>
      </c>
      <c r="F6" s="95">
        <v>48.19</v>
      </c>
    </row>
    <row r="7" spans="1:7" x14ac:dyDescent="0.25">
      <c r="A7">
        <v>2</v>
      </c>
      <c r="B7" s="94">
        <v>44984</v>
      </c>
      <c r="C7" t="s">
        <v>325</v>
      </c>
      <c r="D7" t="s">
        <v>279</v>
      </c>
      <c r="F7" s="95">
        <v>2000</v>
      </c>
    </row>
    <row r="8" spans="1:7" x14ac:dyDescent="0.25">
      <c r="A8">
        <v>8</v>
      </c>
      <c r="B8" s="94">
        <v>44984</v>
      </c>
      <c r="C8" t="s">
        <v>221</v>
      </c>
      <c r="D8" t="s">
        <v>257</v>
      </c>
      <c r="F8" s="95">
        <v>2000</v>
      </c>
    </row>
    <row r="9" spans="1:7" x14ac:dyDescent="0.25">
      <c r="A9">
        <v>57</v>
      </c>
      <c r="B9" s="94">
        <v>44963</v>
      </c>
      <c r="C9" t="s">
        <v>221</v>
      </c>
      <c r="D9" t="s">
        <v>375</v>
      </c>
      <c r="F9" s="95">
        <v>2000</v>
      </c>
    </row>
    <row r="10" spans="1:7" x14ac:dyDescent="0.25">
      <c r="A10">
        <v>33</v>
      </c>
      <c r="B10" s="94">
        <v>44971</v>
      </c>
      <c r="C10" t="s">
        <v>221</v>
      </c>
      <c r="D10" t="s">
        <v>257</v>
      </c>
      <c r="F10" s="95">
        <v>2798</v>
      </c>
    </row>
    <row r="11" spans="1:7" x14ac:dyDescent="0.25">
      <c r="A11">
        <v>61</v>
      </c>
      <c r="B11" s="94">
        <v>44960</v>
      </c>
      <c r="C11" t="s">
        <v>221</v>
      </c>
      <c r="D11" t="s">
        <v>257</v>
      </c>
      <c r="F11" s="95">
        <v>7000</v>
      </c>
    </row>
    <row r="12" spans="1:7" x14ac:dyDescent="0.25">
      <c r="E12" s="95">
        <f>SUBTOTAL(109,Feb_Creditos[Haberes])</f>
        <v>458328.37</v>
      </c>
      <c r="F12" s="95">
        <f>SUBTOTAL(109,Feb_Creditos[Extras])</f>
        <v>15846.19</v>
      </c>
      <c r="G12">
        <f>SUBTOTAL(103,Feb_Creditos[Inversiones])</f>
        <v>0</v>
      </c>
    </row>
    <row r="14" spans="1:7" x14ac:dyDescent="0.25">
      <c r="C14" t="s">
        <v>209</v>
      </c>
      <c r="D14" t="s">
        <v>210</v>
      </c>
      <c r="E14" s="95" t="s">
        <v>239</v>
      </c>
      <c r="F14" s="95" t="s">
        <v>240</v>
      </c>
      <c r="G14" s="95" t="s">
        <v>236</v>
      </c>
    </row>
    <row r="15" spans="1:7" x14ac:dyDescent="0.25">
      <c r="B15" s="94">
        <v>44985</v>
      </c>
      <c r="C15" t="s">
        <v>254</v>
      </c>
      <c r="E15" s="95">
        <v>458328.37</v>
      </c>
      <c r="F15" s="95">
        <v>15846.19</v>
      </c>
      <c r="G15" s="95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1"/>
  <dimension ref="A1:I8"/>
  <sheetViews>
    <sheetView workbookViewId="0">
      <selection activeCell="F5" sqref="F5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95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95" t="s">
        <v>233</v>
      </c>
      <c r="E1" s="95" t="s">
        <v>234</v>
      </c>
      <c r="F1" s="95" t="s">
        <v>235</v>
      </c>
      <c r="G1" s="95" t="s">
        <v>236</v>
      </c>
      <c r="H1" s="95" t="s">
        <v>240</v>
      </c>
      <c r="I1" t="s">
        <v>238</v>
      </c>
    </row>
    <row r="2" spans="1:9" x14ac:dyDescent="0.25">
      <c r="A2" s="94">
        <v>44958</v>
      </c>
      <c r="B2" t="s">
        <v>384</v>
      </c>
      <c r="D2" s="95">
        <v>-92590</v>
      </c>
      <c r="E2" s="95">
        <v>0</v>
      </c>
      <c r="F2" s="95">
        <v>0</v>
      </c>
      <c r="G2" s="95">
        <v>0</v>
      </c>
      <c r="H2" s="95">
        <v>57000</v>
      </c>
    </row>
    <row r="3" spans="1:9" x14ac:dyDescent="0.25">
      <c r="A3" s="94">
        <v>44980</v>
      </c>
      <c r="B3" t="s">
        <v>386</v>
      </c>
      <c r="C3" t="s">
        <v>385</v>
      </c>
      <c r="D3" s="95">
        <v>0</v>
      </c>
      <c r="E3" s="95">
        <v>0</v>
      </c>
      <c r="F3" s="95">
        <v>-16281.6</v>
      </c>
      <c r="G3" s="95">
        <v>0</v>
      </c>
      <c r="H3" s="95">
        <v>0</v>
      </c>
    </row>
    <row r="4" spans="1:9" x14ac:dyDescent="0.25">
      <c r="A4" s="94">
        <v>44980</v>
      </c>
      <c r="B4" t="s">
        <v>387</v>
      </c>
      <c r="C4" t="s">
        <v>385</v>
      </c>
      <c r="D4" s="95">
        <v>0</v>
      </c>
      <c r="E4" s="95">
        <v>0</v>
      </c>
      <c r="F4" s="95">
        <v>-4028.92</v>
      </c>
      <c r="G4" s="95">
        <v>0</v>
      </c>
      <c r="H4" s="95">
        <v>0</v>
      </c>
    </row>
    <row r="5" spans="1:9" x14ac:dyDescent="0.25">
      <c r="D5" s="95">
        <f>SUBTOTAL(109,Feb_Efectivo[Gastos])</f>
        <v>-92590</v>
      </c>
      <c r="E5" s="95">
        <f>SUBTOTAL(109,Feb_Efectivo[Tarjetas])</f>
        <v>0</v>
      </c>
      <c r="F5" s="95">
        <f>SUBTOTAL(109,Feb_Efectivo[Impuestos])</f>
        <v>-20310.52</v>
      </c>
      <c r="G5" s="95">
        <f>SUBTOTAL(109,Feb_Efectivo[Inversiones])</f>
        <v>0</v>
      </c>
      <c r="H5" s="95">
        <f>SUBTOTAL(109,Feb_Efectivo[Extras])</f>
        <v>57000</v>
      </c>
      <c r="I5">
        <f>SUBTOTAL(103,Feb_Efectivo[Comentarios])</f>
        <v>0</v>
      </c>
    </row>
    <row r="7" spans="1:9" x14ac:dyDescent="0.25">
      <c r="B7" t="s">
        <v>209</v>
      </c>
      <c r="C7" t="s">
        <v>210</v>
      </c>
      <c r="D7" s="95" t="s">
        <v>233</v>
      </c>
      <c r="E7" s="95" t="s">
        <v>234</v>
      </c>
      <c r="F7" s="95" t="s">
        <v>235</v>
      </c>
      <c r="G7" s="95" t="s">
        <v>236</v>
      </c>
      <c r="H7" s="95" t="s">
        <v>240</v>
      </c>
      <c r="I7" t="s">
        <v>238</v>
      </c>
    </row>
    <row r="8" spans="1:9" x14ac:dyDescent="0.25">
      <c r="A8" s="94">
        <v>44985</v>
      </c>
      <c r="B8" t="s">
        <v>254</v>
      </c>
      <c r="D8" s="95">
        <v>-92590</v>
      </c>
      <c r="E8" s="95">
        <v>0</v>
      </c>
      <c r="F8" s="95">
        <v>-20310.52</v>
      </c>
      <c r="G8" s="95">
        <v>0</v>
      </c>
      <c r="H8" s="95">
        <v>57000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2"/>
  <dimension ref="A1:F83"/>
  <sheetViews>
    <sheetView topLeftCell="A63" workbookViewId="0">
      <selection activeCell="C88" sqref="C88"/>
    </sheetView>
  </sheetViews>
  <sheetFormatPr baseColWidth="10" defaultRowHeight="15.75" x14ac:dyDescent="0.25"/>
  <cols>
    <col min="1" max="1" width="3.625" customWidth="1"/>
    <col min="2" max="2" width="10.625" customWidth="1"/>
    <col min="3" max="3" width="40.25" customWidth="1"/>
    <col min="4" max="4" width="40.625" customWidth="1"/>
    <col min="5" max="5" width="12.625" style="95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95" t="s">
        <v>323</v>
      </c>
      <c r="F1" t="s">
        <v>324</v>
      </c>
    </row>
    <row r="2" spans="1:6" x14ac:dyDescent="0.25">
      <c r="A2">
        <v>36</v>
      </c>
      <c r="B2" s="94">
        <v>45002</v>
      </c>
      <c r="C2" t="s">
        <v>226</v>
      </c>
      <c r="D2" t="s">
        <v>227</v>
      </c>
      <c r="E2" s="95">
        <v>8557</v>
      </c>
      <c r="F2">
        <v>0</v>
      </c>
    </row>
    <row r="3" spans="1:6" x14ac:dyDescent="0.25">
      <c r="A3">
        <v>74</v>
      </c>
      <c r="B3" s="94">
        <v>44988</v>
      </c>
      <c r="C3" t="s">
        <v>226</v>
      </c>
      <c r="D3" t="s">
        <v>227</v>
      </c>
      <c r="E3" s="95">
        <v>2852</v>
      </c>
      <c r="F3">
        <v>0</v>
      </c>
    </row>
    <row r="4" spans="1:6" x14ac:dyDescent="0.25">
      <c r="A4">
        <v>67</v>
      </c>
      <c r="B4" s="94">
        <v>44991</v>
      </c>
      <c r="C4" t="s">
        <v>226</v>
      </c>
      <c r="D4" t="s">
        <v>227</v>
      </c>
      <c r="E4" s="95">
        <v>335293.31</v>
      </c>
      <c r="F4">
        <v>0</v>
      </c>
    </row>
    <row r="5" spans="1:6" x14ac:dyDescent="0.25">
      <c r="A5">
        <v>66</v>
      </c>
      <c r="B5" s="94">
        <v>44991</v>
      </c>
      <c r="C5" t="s">
        <v>226</v>
      </c>
      <c r="D5" t="s">
        <v>227</v>
      </c>
      <c r="E5" s="95">
        <v>21591.89</v>
      </c>
      <c r="F5">
        <v>0</v>
      </c>
    </row>
    <row r="6" spans="1:6" x14ac:dyDescent="0.25">
      <c r="A6">
        <v>11</v>
      </c>
      <c r="B6" s="94">
        <v>45012</v>
      </c>
      <c r="C6" t="s">
        <v>226</v>
      </c>
      <c r="D6" t="s">
        <v>227</v>
      </c>
      <c r="E6" s="95">
        <v>8557</v>
      </c>
      <c r="F6">
        <v>0</v>
      </c>
    </row>
    <row r="7" spans="1:6" x14ac:dyDescent="0.25">
      <c r="A7">
        <v>29</v>
      </c>
      <c r="B7" s="94">
        <v>45005</v>
      </c>
      <c r="C7" t="s">
        <v>226</v>
      </c>
      <c r="D7" t="s">
        <v>227</v>
      </c>
      <c r="E7" s="95">
        <v>1492603.35</v>
      </c>
      <c r="F7">
        <v>0</v>
      </c>
    </row>
    <row r="8" spans="1:6" x14ac:dyDescent="0.25">
      <c r="A8">
        <v>0</v>
      </c>
      <c r="B8" s="94">
        <v>45016</v>
      </c>
      <c r="C8" t="s">
        <v>211</v>
      </c>
      <c r="D8" t="s">
        <v>269</v>
      </c>
      <c r="E8" s="95">
        <v>-770</v>
      </c>
      <c r="F8">
        <v>93181</v>
      </c>
    </row>
    <row r="9" spans="1:6" x14ac:dyDescent="0.25">
      <c r="A9">
        <v>34</v>
      </c>
      <c r="B9" s="94">
        <v>45002</v>
      </c>
      <c r="C9" t="s">
        <v>211</v>
      </c>
      <c r="D9" t="s">
        <v>389</v>
      </c>
      <c r="E9" s="95">
        <v>-2500</v>
      </c>
      <c r="F9">
        <v>80213</v>
      </c>
    </row>
    <row r="10" spans="1:6" x14ac:dyDescent="0.25">
      <c r="A10">
        <v>37</v>
      </c>
      <c r="B10" s="94">
        <v>45001</v>
      </c>
      <c r="C10" t="s">
        <v>211</v>
      </c>
      <c r="D10" t="s">
        <v>390</v>
      </c>
      <c r="E10" s="95">
        <v>-4500</v>
      </c>
      <c r="F10">
        <v>16867</v>
      </c>
    </row>
    <row r="11" spans="1:6" x14ac:dyDescent="0.25">
      <c r="A11">
        <v>38</v>
      </c>
      <c r="B11" s="94">
        <v>45001</v>
      </c>
      <c r="C11" t="s">
        <v>211</v>
      </c>
      <c r="D11" t="s">
        <v>268</v>
      </c>
      <c r="E11" s="95">
        <v>-5320</v>
      </c>
      <c r="F11">
        <v>421428</v>
      </c>
    </row>
    <row r="12" spans="1:6" x14ac:dyDescent="0.25">
      <c r="A12">
        <v>41</v>
      </c>
      <c r="B12" s="94">
        <v>45000</v>
      </c>
      <c r="C12" t="s">
        <v>211</v>
      </c>
      <c r="D12" t="s">
        <v>391</v>
      </c>
      <c r="E12" s="95">
        <v>-11800</v>
      </c>
      <c r="F12">
        <v>357285</v>
      </c>
    </row>
    <row r="13" spans="1:6" x14ac:dyDescent="0.25">
      <c r="A13">
        <v>42</v>
      </c>
      <c r="B13" s="94">
        <v>45000</v>
      </c>
      <c r="C13" t="s">
        <v>211</v>
      </c>
      <c r="D13" t="s">
        <v>278</v>
      </c>
      <c r="E13" s="95">
        <v>-2926</v>
      </c>
      <c r="F13">
        <v>898812</v>
      </c>
    </row>
    <row r="14" spans="1:6" x14ac:dyDescent="0.25">
      <c r="A14">
        <v>43</v>
      </c>
      <c r="B14" s="94">
        <v>44998</v>
      </c>
      <c r="C14" t="s">
        <v>211</v>
      </c>
      <c r="D14" t="s">
        <v>392</v>
      </c>
      <c r="E14" s="95">
        <v>-1310</v>
      </c>
      <c r="F14">
        <v>75613</v>
      </c>
    </row>
    <row r="15" spans="1:6" x14ac:dyDescent="0.25">
      <c r="A15">
        <v>45</v>
      </c>
      <c r="B15" s="94">
        <v>44995</v>
      </c>
      <c r="C15" t="s">
        <v>211</v>
      </c>
      <c r="D15" t="s">
        <v>393</v>
      </c>
      <c r="E15" s="95">
        <v>-2290</v>
      </c>
      <c r="F15">
        <v>20563</v>
      </c>
    </row>
    <row r="16" spans="1:6" x14ac:dyDescent="0.25">
      <c r="A16">
        <v>50</v>
      </c>
      <c r="B16" s="94">
        <v>44994</v>
      </c>
      <c r="C16" t="s">
        <v>211</v>
      </c>
      <c r="D16" t="s">
        <v>242</v>
      </c>
      <c r="E16" s="95">
        <v>-850</v>
      </c>
      <c r="F16">
        <v>68513</v>
      </c>
    </row>
    <row r="17" spans="1:6" x14ac:dyDescent="0.25">
      <c r="A17">
        <v>51</v>
      </c>
      <c r="B17" s="94">
        <v>44994</v>
      </c>
      <c r="C17" t="s">
        <v>211</v>
      </c>
      <c r="D17" t="s">
        <v>394</v>
      </c>
      <c r="E17" s="95">
        <v>-5500</v>
      </c>
      <c r="F17">
        <v>128561</v>
      </c>
    </row>
    <row r="18" spans="1:6" x14ac:dyDescent="0.25">
      <c r="A18">
        <v>60</v>
      </c>
      <c r="B18" s="94">
        <v>44992</v>
      </c>
      <c r="C18" t="s">
        <v>211</v>
      </c>
      <c r="D18" t="s">
        <v>395</v>
      </c>
      <c r="E18" s="95">
        <v>-1670</v>
      </c>
      <c r="F18">
        <v>91941</v>
      </c>
    </row>
    <row r="19" spans="1:6" x14ac:dyDescent="0.25">
      <c r="A19">
        <v>59</v>
      </c>
      <c r="B19" s="94">
        <v>44992</v>
      </c>
      <c r="C19" t="s">
        <v>211</v>
      </c>
      <c r="D19" t="s">
        <v>393</v>
      </c>
      <c r="E19" s="95">
        <v>-1610</v>
      </c>
      <c r="F19">
        <v>58879</v>
      </c>
    </row>
    <row r="20" spans="1:6" x14ac:dyDescent="0.25">
      <c r="A20">
        <v>62</v>
      </c>
      <c r="B20" s="94">
        <v>44991</v>
      </c>
      <c r="C20" t="s">
        <v>211</v>
      </c>
      <c r="D20" t="s">
        <v>245</v>
      </c>
      <c r="E20" s="95">
        <v>-3044.25</v>
      </c>
      <c r="F20">
        <v>25534</v>
      </c>
    </row>
    <row r="21" spans="1:6" x14ac:dyDescent="0.25">
      <c r="A21">
        <v>63</v>
      </c>
      <c r="B21" s="94">
        <v>44991</v>
      </c>
      <c r="C21" t="s">
        <v>211</v>
      </c>
      <c r="D21" t="s">
        <v>268</v>
      </c>
      <c r="E21" s="95">
        <v>-950</v>
      </c>
      <c r="F21">
        <v>965551</v>
      </c>
    </row>
    <row r="22" spans="1:6" x14ac:dyDescent="0.25">
      <c r="A22">
        <v>70</v>
      </c>
      <c r="B22" s="94">
        <v>44988</v>
      </c>
      <c r="C22" t="s">
        <v>211</v>
      </c>
      <c r="D22" t="s">
        <v>396</v>
      </c>
      <c r="E22" s="95">
        <v>-1100</v>
      </c>
      <c r="F22">
        <v>350395</v>
      </c>
    </row>
    <row r="23" spans="1:6" x14ac:dyDescent="0.25">
      <c r="A23">
        <v>71</v>
      </c>
      <c r="B23" s="94">
        <v>44988</v>
      </c>
      <c r="C23" t="s">
        <v>211</v>
      </c>
      <c r="D23" t="s">
        <v>396</v>
      </c>
      <c r="E23" s="95">
        <v>-1000</v>
      </c>
      <c r="F23">
        <v>341815</v>
      </c>
    </row>
    <row r="24" spans="1:6" x14ac:dyDescent="0.25">
      <c r="A24">
        <v>72</v>
      </c>
      <c r="B24" s="94">
        <v>44988</v>
      </c>
      <c r="C24" t="s">
        <v>211</v>
      </c>
      <c r="D24" t="s">
        <v>329</v>
      </c>
      <c r="E24" s="95">
        <v>-700</v>
      </c>
      <c r="F24">
        <v>72514</v>
      </c>
    </row>
    <row r="25" spans="1:6" x14ac:dyDescent="0.25">
      <c r="A25">
        <v>73</v>
      </c>
      <c r="B25" s="94">
        <v>44988</v>
      </c>
      <c r="C25" t="s">
        <v>211</v>
      </c>
      <c r="D25" t="s">
        <v>397</v>
      </c>
      <c r="E25" s="95">
        <v>-480</v>
      </c>
      <c r="F25">
        <v>51607</v>
      </c>
    </row>
    <row r="26" spans="1:6" x14ac:dyDescent="0.25">
      <c r="A26">
        <v>75</v>
      </c>
      <c r="B26" s="94">
        <v>44987</v>
      </c>
      <c r="C26" t="s">
        <v>211</v>
      </c>
      <c r="D26" t="s">
        <v>268</v>
      </c>
      <c r="E26" s="95">
        <v>-1850</v>
      </c>
      <c r="F26">
        <v>707560</v>
      </c>
    </row>
    <row r="27" spans="1:6" x14ac:dyDescent="0.25">
      <c r="A27">
        <v>79</v>
      </c>
      <c r="B27" s="94">
        <v>44986</v>
      </c>
      <c r="C27" t="s">
        <v>211</v>
      </c>
      <c r="D27" t="s">
        <v>278</v>
      </c>
      <c r="E27" s="95">
        <v>-3539</v>
      </c>
      <c r="F27">
        <v>997525</v>
      </c>
    </row>
    <row r="28" spans="1:6" x14ac:dyDescent="0.25">
      <c r="A28">
        <v>56</v>
      </c>
      <c r="B28" s="94">
        <v>44993</v>
      </c>
      <c r="C28" t="s">
        <v>211</v>
      </c>
      <c r="D28" t="s">
        <v>398</v>
      </c>
      <c r="E28" s="95">
        <v>-1000</v>
      </c>
      <c r="F28">
        <v>66846</v>
      </c>
    </row>
    <row r="29" spans="1:6" x14ac:dyDescent="0.25">
      <c r="A29">
        <v>28</v>
      </c>
      <c r="B29" s="94">
        <v>45005</v>
      </c>
      <c r="C29" t="s">
        <v>211</v>
      </c>
      <c r="D29" t="s">
        <v>269</v>
      </c>
      <c r="E29" s="95">
        <v>-560</v>
      </c>
      <c r="F29">
        <v>92642</v>
      </c>
    </row>
    <row r="30" spans="1:6" x14ac:dyDescent="0.25">
      <c r="A30">
        <v>40</v>
      </c>
      <c r="B30" s="94">
        <v>45000</v>
      </c>
      <c r="C30" t="s">
        <v>211</v>
      </c>
      <c r="D30" t="s">
        <v>399</v>
      </c>
      <c r="E30" s="95">
        <v>-3394.07</v>
      </c>
      <c r="F30">
        <v>89559</v>
      </c>
    </row>
    <row r="31" spans="1:6" x14ac:dyDescent="0.25">
      <c r="A31">
        <v>26</v>
      </c>
      <c r="B31" s="94">
        <v>45005</v>
      </c>
      <c r="C31" t="s">
        <v>211</v>
      </c>
      <c r="D31" t="s">
        <v>242</v>
      </c>
      <c r="E31" s="95">
        <v>-970</v>
      </c>
      <c r="F31">
        <v>41287</v>
      </c>
    </row>
    <row r="32" spans="1:6" x14ac:dyDescent="0.25">
      <c r="A32">
        <v>10</v>
      </c>
      <c r="B32" s="94">
        <v>45012</v>
      </c>
      <c r="C32" t="s">
        <v>211</v>
      </c>
      <c r="D32" t="s">
        <v>242</v>
      </c>
      <c r="E32" s="95">
        <v>-630</v>
      </c>
      <c r="F32">
        <v>69250</v>
      </c>
    </row>
    <row r="33" spans="1:6" x14ac:dyDescent="0.25">
      <c r="A33">
        <v>7</v>
      </c>
      <c r="B33" s="94">
        <v>45012</v>
      </c>
      <c r="C33" t="s">
        <v>211</v>
      </c>
      <c r="D33" t="s">
        <v>354</v>
      </c>
      <c r="E33" s="95">
        <v>-2200</v>
      </c>
      <c r="F33">
        <v>72199</v>
      </c>
    </row>
    <row r="34" spans="1:6" x14ac:dyDescent="0.25">
      <c r="A34">
        <v>13</v>
      </c>
      <c r="B34" s="94">
        <v>45008</v>
      </c>
      <c r="C34" t="s">
        <v>211</v>
      </c>
      <c r="D34" t="s">
        <v>393</v>
      </c>
      <c r="E34" s="95">
        <v>-3130</v>
      </c>
      <c r="F34">
        <v>65881</v>
      </c>
    </row>
    <row r="35" spans="1:6" x14ac:dyDescent="0.25">
      <c r="A35">
        <v>14</v>
      </c>
      <c r="B35" s="94">
        <v>45007</v>
      </c>
      <c r="C35" t="s">
        <v>211</v>
      </c>
      <c r="D35" t="s">
        <v>400</v>
      </c>
      <c r="E35" s="95">
        <v>-900</v>
      </c>
      <c r="F35">
        <v>710499</v>
      </c>
    </row>
    <row r="36" spans="1:6" x14ac:dyDescent="0.25">
      <c r="A36">
        <v>15</v>
      </c>
      <c r="B36" s="94">
        <v>45007</v>
      </c>
      <c r="C36" t="s">
        <v>211</v>
      </c>
      <c r="D36" t="s">
        <v>401</v>
      </c>
      <c r="E36" s="95">
        <v>-1560</v>
      </c>
      <c r="F36">
        <v>572143</v>
      </c>
    </row>
    <row r="37" spans="1:6" x14ac:dyDescent="0.25">
      <c r="A37">
        <v>27</v>
      </c>
      <c r="B37" s="94">
        <v>45005</v>
      </c>
      <c r="C37" t="s">
        <v>211</v>
      </c>
      <c r="D37" t="s">
        <v>216</v>
      </c>
      <c r="E37" s="95">
        <v>-3263.9</v>
      </c>
      <c r="F37">
        <v>733879</v>
      </c>
    </row>
    <row r="38" spans="1:6" x14ac:dyDescent="0.25">
      <c r="A38">
        <v>16</v>
      </c>
      <c r="B38" s="94">
        <v>45007</v>
      </c>
      <c r="C38" t="s">
        <v>211</v>
      </c>
      <c r="D38" t="s">
        <v>402</v>
      </c>
      <c r="E38" s="95">
        <v>-2800</v>
      </c>
      <c r="F38">
        <v>525620</v>
      </c>
    </row>
    <row r="39" spans="1:6" x14ac:dyDescent="0.25">
      <c r="A39">
        <v>17</v>
      </c>
      <c r="B39" s="94">
        <v>45007</v>
      </c>
      <c r="C39" t="s">
        <v>211</v>
      </c>
      <c r="D39" t="s">
        <v>401</v>
      </c>
      <c r="E39" s="95">
        <v>-1560</v>
      </c>
      <c r="F39">
        <v>389138</v>
      </c>
    </row>
    <row r="40" spans="1:6" x14ac:dyDescent="0.25">
      <c r="A40">
        <v>9</v>
      </c>
      <c r="B40" s="94">
        <v>45012</v>
      </c>
      <c r="C40" t="s">
        <v>211</v>
      </c>
      <c r="D40" t="s">
        <v>245</v>
      </c>
      <c r="E40" s="95">
        <v>-2630</v>
      </c>
      <c r="F40">
        <v>59705</v>
      </c>
    </row>
    <row r="41" spans="1:6" x14ac:dyDescent="0.25">
      <c r="A41">
        <v>18</v>
      </c>
      <c r="B41" s="94">
        <v>45006</v>
      </c>
      <c r="C41" t="s">
        <v>211</v>
      </c>
      <c r="D41" t="s">
        <v>402</v>
      </c>
      <c r="E41" s="95">
        <v>-4200</v>
      </c>
      <c r="F41">
        <v>99381</v>
      </c>
    </row>
    <row r="42" spans="1:6" x14ac:dyDescent="0.25">
      <c r="A42">
        <v>19</v>
      </c>
      <c r="B42" s="94">
        <v>45006</v>
      </c>
      <c r="C42" t="s">
        <v>211</v>
      </c>
      <c r="D42" t="s">
        <v>403</v>
      </c>
      <c r="E42" s="95">
        <v>-6800</v>
      </c>
      <c r="F42">
        <v>12518</v>
      </c>
    </row>
    <row r="43" spans="1:6" x14ac:dyDescent="0.25">
      <c r="A43">
        <v>20</v>
      </c>
      <c r="B43" s="94">
        <v>45006</v>
      </c>
      <c r="C43" t="s">
        <v>211</v>
      </c>
      <c r="D43" t="s">
        <v>404</v>
      </c>
      <c r="E43" s="95">
        <v>-960</v>
      </c>
      <c r="F43">
        <v>13186</v>
      </c>
    </row>
    <row r="44" spans="1:6" x14ac:dyDescent="0.25">
      <c r="A44">
        <v>8</v>
      </c>
      <c r="B44" s="94">
        <v>45012</v>
      </c>
      <c r="C44" t="s">
        <v>211</v>
      </c>
      <c r="D44" t="s">
        <v>350</v>
      </c>
      <c r="E44" s="95">
        <v>-700</v>
      </c>
      <c r="F44">
        <v>104221</v>
      </c>
    </row>
    <row r="45" spans="1:6" x14ac:dyDescent="0.25">
      <c r="A45">
        <v>6</v>
      </c>
      <c r="B45" s="94">
        <v>45012</v>
      </c>
      <c r="C45" t="s">
        <v>211</v>
      </c>
      <c r="D45" t="s">
        <v>268</v>
      </c>
      <c r="E45" s="95">
        <v>-2040</v>
      </c>
      <c r="F45">
        <v>502736</v>
      </c>
    </row>
    <row r="46" spans="1:6" x14ac:dyDescent="0.25">
      <c r="A46">
        <v>25</v>
      </c>
      <c r="B46" s="94">
        <v>45005</v>
      </c>
      <c r="C46" t="s">
        <v>211</v>
      </c>
      <c r="D46" t="s">
        <v>297</v>
      </c>
      <c r="E46" s="95">
        <v>-1700</v>
      </c>
      <c r="F46">
        <v>68231</v>
      </c>
    </row>
    <row r="47" spans="1:6" x14ac:dyDescent="0.25">
      <c r="A47">
        <v>21</v>
      </c>
      <c r="B47" s="94">
        <v>45005</v>
      </c>
      <c r="C47" t="s">
        <v>211</v>
      </c>
      <c r="D47" t="s">
        <v>400</v>
      </c>
      <c r="E47" s="95">
        <v>-350</v>
      </c>
      <c r="F47">
        <v>824122</v>
      </c>
    </row>
    <row r="48" spans="1:6" x14ac:dyDescent="0.25">
      <c r="A48">
        <v>24</v>
      </c>
      <c r="B48" s="94">
        <v>45005</v>
      </c>
      <c r="C48" t="s">
        <v>211</v>
      </c>
      <c r="D48" t="s">
        <v>242</v>
      </c>
      <c r="E48" s="95">
        <v>-860</v>
      </c>
      <c r="F48">
        <v>41321</v>
      </c>
    </row>
    <row r="49" spans="1:6" x14ac:dyDescent="0.25">
      <c r="A49">
        <v>23</v>
      </c>
      <c r="B49" s="94">
        <v>45005</v>
      </c>
      <c r="C49" t="s">
        <v>211</v>
      </c>
      <c r="D49" t="s">
        <v>268</v>
      </c>
      <c r="E49" s="95">
        <v>-940</v>
      </c>
      <c r="F49">
        <v>566088</v>
      </c>
    </row>
    <row r="50" spans="1:6" x14ac:dyDescent="0.25">
      <c r="A50">
        <v>4</v>
      </c>
      <c r="B50" s="94">
        <v>45015</v>
      </c>
      <c r="C50" t="s">
        <v>211</v>
      </c>
      <c r="D50" t="s">
        <v>350</v>
      </c>
      <c r="E50" s="95">
        <v>-951.25</v>
      </c>
      <c r="F50">
        <v>104272</v>
      </c>
    </row>
    <row r="51" spans="1:6" x14ac:dyDescent="0.25">
      <c r="A51">
        <v>22</v>
      </c>
      <c r="B51" s="94">
        <v>45005</v>
      </c>
      <c r="C51" t="s">
        <v>211</v>
      </c>
      <c r="D51" t="s">
        <v>350</v>
      </c>
      <c r="E51" s="95">
        <v>-700</v>
      </c>
      <c r="F51">
        <v>104184</v>
      </c>
    </row>
    <row r="52" spans="1:6" x14ac:dyDescent="0.25">
      <c r="A52">
        <v>58</v>
      </c>
      <c r="B52" s="94">
        <v>44993</v>
      </c>
      <c r="C52" t="s">
        <v>243</v>
      </c>
      <c r="E52" s="95">
        <v>530821.92000000004</v>
      </c>
      <c r="F52">
        <v>470297</v>
      </c>
    </row>
    <row r="53" spans="1:6" x14ac:dyDescent="0.25">
      <c r="A53">
        <v>61</v>
      </c>
      <c r="B53" s="94">
        <v>44992</v>
      </c>
      <c r="C53" t="s">
        <v>221</v>
      </c>
      <c r="D53" t="s">
        <v>257</v>
      </c>
      <c r="E53" s="95">
        <v>7600</v>
      </c>
      <c r="F53">
        <v>389000</v>
      </c>
    </row>
    <row r="54" spans="1:6" x14ac:dyDescent="0.25">
      <c r="A54">
        <v>46</v>
      </c>
      <c r="B54" s="94">
        <v>44995</v>
      </c>
      <c r="C54" t="s">
        <v>221</v>
      </c>
      <c r="D54" t="s">
        <v>405</v>
      </c>
      <c r="E54" s="95">
        <v>855</v>
      </c>
      <c r="F54">
        <v>21551</v>
      </c>
    </row>
    <row r="55" spans="1:6" x14ac:dyDescent="0.25">
      <c r="A55">
        <v>44</v>
      </c>
      <c r="B55" s="94">
        <v>44998</v>
      </c>
      <c r="C55" t="s">
        <v>244</v>
      </c>
      <c r="D55" t="s">
        <v>406</v>
      </c>
      <c r="E55" s="95">
        <v>-15000</v>
      </c>
      <c r="F55">
        <v>425379</v>
      </c>
    </row>
    <row r="56" spans="1:6" x14ac:dyDescent="0.25">
      <c r="A56">
        <v>49</v>
      </c>
      <c r="B56" s="94">
        <v>44995</v>
      </c>
      <c r="C56" t="s">
        <v>222</v>
      </c>
      <c r="D56" t="s">
        <v>223</v>
      </c>
      <c r="E56" s="95">
        <v>-210264.08</v>
      </c>
      <c r="F56">
        <v>230309</v>
      </c>
    </row>
    <row r="57" spans="1:6" x14ac:dyDescent="0.25">
      <c r="A57">
        <v>33</v>
      </c>
      <c r="B57" s="94">
        <v>45005</v>
      </c>
      <c r="C57" t="s">
        <v>258</v>
      </c>
      <c r="E57" s="95">
        <v>-1000000</v>
      </c>
      <c r="F57">
        <v>1</v>
      </c>
    </row>
    <row r="58" spans="1:6" x14ac:dyDescent="0.25">
      <c r="A58">
        <v>52</v>
      </c>
      <c r="B58" s="94">
        <v>44994</v>
      </c>
      <c r="C58" t="s">
        <v>229</v>
      </c>
      <c r="D58" t="s">
        <v>230</v>
      </c>
      <c r="E58" s="95">
        <v>-20000</v>
      </c>
      <c r="F58">
        <v>4595</v>
      </c>
    </row>
    <row r="59" spans="1:6" x14ac:dyDescent="0.25">
      <c r="A59">
        <v>76</v>
      </c>
      <c r="B59" s="94">
        <v>44987</v>
      </c>
      <c r="C59" t="s">
        <v>229</v>
      </c>
      <c r="D59" t="s">
        <v>230</v>
      </c>
      <c r="E59" s="95">
        <v>-5000</v>
      </c>
      <c r="F59">
        <v>3070</v>
      </c>
    </row>
    <row r="60" spans="1:6" x14ac:dyDescent="0.25">
      <c r="A60">
        <v>1</v>
      </c>
      <c r="B60" s="94">
        <v>45016</v>
      </c>
      <c r="C60" t="s">
        <v>229</v>
      </c>
      <c r="D60" t="s">
        <v>230</v>
      </c>
      <c r="E60" s="95">
        <v>-10000</v>
      </c>
      <c r="F60">
        <v>9316</v>
      </c>
    </row>
    <row r="61" spans="1:6" x14ac:dyDescent="0.25">
      <c r="A61">
        <v>39</v>
      </c>
      <c r="B61" s="94">
        <v>45001</v>
      </c>
      <c r="C61" t="s">
        <v>376</v>
      </c>
      <c r="D61" t="s">
        <v>379</v>
      </c>
      <c r="E61" s="95">
        <v>-20000</v>
      </c>
      <c r="F61">
        <v>5314</v>
      </c>
    </row>
    <row r="62" spans="1:6" x14ac:dyDescent="0.25">
      <c r="A62">
        <v>53</v>
      </c>
      <c r="B62" s="94">
        <v>44994</v>
      </c>
      <c r="C62" t="s">
        <v>376</v>
      </c>
      <c r="D62" t="s">
        <v>407</v>
      </c>
      <c r="E62" s="95">
        <v>-100</v>
      </c>
      <c r="F62">
        <v>4954</v>
      </c>
    </row>
    <row r="63" spans="1:6" x14ac:dyDescent="0.25">
      <c r="A63">
        <v>57</v>
      </c>
      <c r="B63" s="94">
        <v>44993</v>
      </c>
      <c r="C63" t="s">
        <v>376</v>
      </c>
      <c r="D63" t="s">
        <v>379</v>
      </c>
      <c r="E63" s="95">
        <v>-1000</v>
      </c>
      <c r="F63">
        <v>948</v>
      </c>
    </row>
    <row r="64" spans="1:6" x14ac:dyDescent="0.25">
      <c r="A64">
        <v>47</v>
      </c>
      <c r="B64" s="94">
        <v>44995</v>
      </c>
      <c r="C64" t="s">
        <v>376</v>
      </c>
      <c r="D64" t="s">
        <v>379</v>
      </c>
      <c r="E64" s="95">
        <v>-20000</v>
      </c>
      <c r="F64">
        <v>4179</v>
      </c>
    </row>
    <row r="65" spans="1:6" x14ac:dyDescent="0.25">
      <c r="A65">
        <v>64</v>
      </c>
      <c r="B65" s="94">
        <v>44991</v>
      </c>
      <c r="C65" t="s">
        <v>376</v>
      </c>
      <c r="D65" t="s">
        <v>408</v>
      </c>
      <c r="E65" s="95">
        <v>-10000</v>
      </c>
      <c r="F65">
        <v>127</v>
      </c>
    </row>
    <row r="66" spans="1:6" x14ac:dyDescent="0.25">
      <c r="A66">
        <v>65</v>
      </c>
      <c r="B66" s="94">
        <v>44991</v>
      </c>
      <c r="C66" t="s">
        <v>376</v>
      </c>
      <c r="D66" t="s">
        <v>408</v>
      </c>
      <c r="E66" s="95">
        <v>-10000</v>
      </c>
      <c r="F66">
        <v>126</v>
      </c>
    </row>
    <row r="67" spans="1:6" x14ac:dyDescent="0.25">
      <c r="A67">
        <v>48</v>
      </c>
      <c r="B67" s="94">
        <v>44995</v>
      </c>
      <c r="C67" t="s">
        <v>376</v>
      </c>
      <c r="D67" t="s">
        <v>379</v>
      </c>
      <c r="E67" s="95">
        <v>-30000</v>
      </c>
      <c r="F67">
        <v>4178</v>
      </c>
    </row>
    <row r="68" spans="1:6" x14ac:dyDescent="0.25">
      <c r="A68">
        <v>54</v>
      </c>
      <c r="B68" s="94">
        <v>44994</v>
      </c>
      <c r="C68" t="s">
        <v>409</v>
      </c>
      <c r="E68" s="95">
        <v>-30000</v>
      </c>
      <c r="F68">
        <v>20</v>
      </c>
    </row>
    <row r="69" spans="1:6" x14ac:dyDescent="0.25">
      <c r="A69">
        <v>3</v>
      </c>
      <c r="B69" s="94">
        <v>45016</v>
      </c>
      <c r="C69" t="s">
        <v>215</v>
      </c>
      <c r="E69" s="95">
        <v>-494.42</v>
      </c>
      <c r="F69">
        <v>0</v>
      </c>
    </row>
    <row r="70" spans="1:6" x14ac:dyDescent="0.25">
      <c r="A70">
        <v>81</v>
      </c>
      <c r="B70" s="94">
        <v>44986</v>
      </c>
      <c r="C70" t="s">
        <v>231</v>
      </c>
      <c r="E70" s="95">
        <v>19.52</v>
      </c>
      <c r="F70">
        <v>0</v>
      </c>
    </row>
    <row r="71" spans="1:6" x14ac:dyDescent="0.25">
      <c r="A71">
        <v>2</v>
      </c>
      <c r="B71" s="94">
        <v>45016</v>
      </c>
      <c r="C71" t="s">
        <v>214</v>
      </c>
      <c r="E71" s="95">
        <v>-2354.39</v>
      </c>
      <c r="F71">
        <v>0</v>
      </c>
    </row>
    <row r="72" spans="1:6" x14ac:dyDescent="0.25">
      <c r="A72">
        <v>55</v>
      </c>
      <c r="B72" s="94">
        <v>44993</v>
      </c>
      <c r="C72" t="s">
        <v>224</v>
      </c>
      <c r="D72" t="s">
        <v>225</v>
      </c>
      <c r="E72" s="95">
        <v>-63386.65</v>
      </c>
      <c r="F72">
        <v>199749</v>
      </c>
    </row>
    <row r="73" spans="1:6" x14ac:dyDescent="0.25">
      <c r="A73">
        <v>77</v>
      </c>
      <c r="B73" s="94">
        <v>44987</v>
      </c>
      <c r="C73" t="s">
        <v>358</v>
      </c>
      <c r="D73" t="s">
        <v>241</v>
      </c>
      <c r="E73" s="95">
        <v>50000</v>
      </c>
      <c r="F73">
        <v>323704</v>
      </c>
    </row>
    <row r="74" spans="1:6" x14ac:dyDescent="0.25">
      <c r="A74">
        <v>69</v>
      </c>
      <c r="B74" s="94">
        <v>44991</v>
      </c>
      <c r="C74" t="s">
        <v>217</v>
      </c>
      <c r="D74" t="s">
        <v>410</v>
      </c>
      <c r="E74" s="95">
        <v>-20000</v>
      </c>
      <c r="F74">
        <v>609357</v>
      </c>
    </row>
    <row r="75" spans="1:6" x14ac:dyDescent="0.25">
      <c r="A75">
        <v>12</v>
      </c>
      <c r="B75" s="94">
        <v>45012</v>
      </c>
      <c r="C75" t="s">
        <v>217</v>
      </c>
      <c r="D75" t="s">
        <v>362</v>
      </c>
      <c r="E75" s="95">
        <v>-39000</v>
      </c>
      <c r="F75">
        <v>504802</v>
      </c>
    </row>
    <row r="76" spans="1:6" x14ac:dyDescent="0.25">
      <c r="A76">
        <v>80</v>
      </c>
      <c r="B76" s="94">
        <v>44986</v>
      </c>
      <c r="C76" t="s">
        <v>217</v>
      </c>
      <c r="D76" t="s">
        <v>411</v>
      </c>
      <c r="E76" s="95">
        <v>-7000</v>
      </c>
      <c r="F76">
        <v>236948</v>
      </c>
    </row>
    <row r="77" spans="1:6" x14ac:dyDescent="0.25">
      <c r="A77">
        <v>5</v>
      </c>
      <c r="B77" s="94">
        <v>45014</v>
      </c>
      <c r="C77" t="s">
        <v>217</v>
      </c>
      <c r="D77" t="s">
        <v>412</v>
      </c>
      <c r="E77" s="95">
        <v>-110000</v>
      </c>
      <c r="F77">
        <v>16333</v>
      </c>
    </row>
    <row r="78" spans="1:6" x14ac:dyDescent="0.25">
      <c r="A78">
        <v>32</v>
      </c>
      <c r="B78" s="94">
        <v>45005</v>
      </c>
      <c r="C78" t="s">
        <v>217</v>
      </c>
      <c r="D78" t="s">
        <v>413</v>
      </c>
      <c r="E78" s="95">
        <v>-15000</v>
      </c>
      <c r="F78">
        <v>510920</v>
      </c>
    </row>
    <row r="79" spans="1:6" x14ac:dyDescent="0.25">
      <c r="A79">
        <v>31</v>
      </c>
      <c r="B79" s="94">
        <v>45005</v>
      </c>
      <c r="C79" t="s">
        <v>217</v>
      </c>
      <c r="D79" t="s">
        <v>362</v>
      </c>
      <c r="E79" s="95">
        <v>-5000</v>
      </c>
      <c r="F79">
        <v>199359</v>
      </c>
    </row>
    <row r="80" spans="1:6" x14ac:dyDescent="0.25">
      <c r="A80">
        <v>78</v>
      </c>
      <c r="B80" s="94">
        <v>44987</v>
      </c>
      <c r="C80" t="s">
        <v>217</v>
      </c>
      <c r="D80" t="s">
        <v>410</v>
      </c>
      <c r="E80" s="95">
        <v>-60000</v>
      </c>
      <c r="F80">
        <v>344327</v>
      </c>
    </row>
    <row r="81" spans="1:6" x14ac:dyDescent="0.25">
      <c r="A81">
        <v>30</v>
      </c>
      <c r="B81" s="94">
        <v>45005</v>
      </c>
      <c r="C81" t="s">
        <v>217</v>
      </c>
      <c r="D81" t="s">
        <v>362</v>
      </c>
      <c r="E81" s="95">
        <v>-15000</v>
      </c>
      <c r="F81">
        <v>544544</v>
      </c>
    </row>
    <row r="82" spans="1:6" x14ac:dyDescent="0.25">
      <c r="A82">
        <v>68</v>
      </c>
      <c r="B82" s="94">
        <v>44991</v>
      </c>
      <c r="C82" t="s">
        <v>217</v>
      </c>
      <c r="D82" t="s">
        <v>241</v>
      </c>
      <c r="E82" s="95">
        <v>-38000</v>
      </c>
      <c r="F82">
        <v>605751</v>
      </c>
    </row>
    <row r="83" spans="1:6" x14ac:dyDescent="0.25">
      <c r="A83">
        <v>35</v>
      </c>
      <c r="B83" s="94">
        <v>45002</v>
      </c>
      <c r="C83" t="s">
        <v>414</v>
      </c>
      <c r="D83" t="s">
        <v>415</v>
      </c>
      <c r="E83" s="95">
        <v>180587.63</v>
      </c>
      <c r="F83">
        <v>2959873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3"/>
  <dimension ref="A1:J77"/>
  <sheetViews>
    <sheetView zoomScaleNormal="100" workbookViewId="0">
      <selection activeCell="A2" sqref="A2:J7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7.5" customWidth="1"/>
    <col min="4" max="4" width="40.625" customWidth="1"/>
    <col min="5" max="8" width="12.625" style="95" customWidth="1"/>
    <col min="9" max="9" width="14.625" style="95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233</v>
      </c>
      <c r="F1" s="95" t="s">
        <v>234</v>
      </c>
      <c r="G1" s="95" t="s">
        <v>235</v>
      </c>
      <c r="H1" s="95" t="s">
        <v>236</v>
      </c>
      <c r="I1" s="95" t="s">
        <v>237</v>
      </c>
      <c r="J1" t="s">
        <v>238</v>
      </c>
    </row>
    <row r="2" spans="1:10" x14ac:dyDescent="0.25">
      <c r="A2">
        <v>21</v>
      </c>
      <c r="B2" s="94">
        <v>45005</v>
      </c>
      <c r="C2" t="s">
        <v>211</v>
      </c>
      <c r="D2" t="s">
        <v>400</v>
      </c>
      <c r="E2" s="95">
        <v>-350</v>
      </c>
    </row>
    <row r="3" spans="1:10" x14ac:dyDescent="0.25">
      <c r="A3">
        <v>73</v>
      </c>
      <c r="B3" s="94">
        <v>44988</v>
      </c>
      <c r="C3" t="s">
        <v>211</v>
      </c>
      <c r="D3" t="s">
        <v>397</v>
      </c>
      <c r="E3" s="95">
        <v>-480</v>
      </c>
    </row>
    <row r="4" spans="1:10" x14ac:dyDescent="0.25">
      <c r="A4">
        <v>3</v>
      </c>
      <c r="B4" s="94">
        <v>45016</v>
      </c>
      <c r="C4" t="s">
        <v>215</v>
      </c>
      <c r="E4" s="95">
        <v>-494.42</v>
      </c>
    </row>
    <row r="5" spans="1:10" x14ac:dyDescent="0.25">
      <c r="A5">
        <v>28</v>
      </c>
      <c r="B5" s="94">
        <v>45005</v>
      </c>
      <c r="C5" t="s">
        <v>211</v>
      </c>
      <c r="D5" t="s">
        <v>269</v>
      </c>
      <c r="E5" s="95">
        <v>-560</v>
      </c>
    </row>
    <row r="6" spans="1:10" x14ac:dyDescent="0.25">
      <c r="A6">
        <v>10</v>
      </c>
      <c r="B6" s="94">
        <v>45012</v>
      </c>
      <c r="C6" t="s">
        <v>211</v>
      </c>
      <c r="D6" t="s">
        <v>242</v>
      </c>
      <c r="E6" s="95">
        <v>-630</v>
      </c>
    </row>
    <row r="7" spans="1:10" x14ac:dyDescent="0.25">
      <c r="A7">
        <v>8</v>
      </c>
      <c r="B7" s="94">
        <v>45012</v>
      </c>
      <c r="C7" t="s">
        <v>211</v>
      </c>
      <c r="D7" t="s">
        <v>350</v>
      </c>
      <c r="E7" s="95">
        <v>-700</v>
      </c>
    </row>
    <row r="8" spans="1:10" x14ac:dyDescent="0.25">
      <c r="A8">
        <v>22</v>
      </c>
      <c r="B8" s="94">
        <v>45005</v>
      </c>
      <c r="C8" t="s">
        <v>211</v>
      </c>
      <c r="D8" t="s">
        <v>350</v>
      </c>
      <c r="E8" s="95">
        <v>-700</v>
      </c>
    </row>
    <row r="9" spans="1:10" x14ac:dyDescent="0.25">
      <c r="A9">
        <v>72</v>
      </c>
      <c r="B9" s="94">
        <v>44988</v>
      </c>
      <c r="C9" t="s">
        <v>211</v>
      </c>
      <c r="D9" t="s">
        <v>329</v>
      </c>
      <c r="E9" s="95">
        <v>-700</v>
      </c>
    </row>
    <row r="10" spans="1:10" x14ac:dyDescent="0.25">
      <c r="A10">
        <v>0</v>
      </c>
      <c r="B10" s="94">
        <v>45016</v>
      </c>
      <c r="C10" t="s">
        <v>211</v>
      </c>
      <c r="D10" t="s">
        <v>269</v>
      </c>
      <c r="E10" s="95">
        <v>-770</v>
      </c>
    </row>
    <row r="11" spans="1:10" x14ac:dyDescent="0.25">
      <c r="A11">
        <v>50</v>
      </c>
      <c r="B11" s="94">
        <v>44994</v>
      </c>
      <c r="C11" t="s">
        <v>211</v>
      </c>
      <c r="D11" t="s">
        <v>242</v>
      </c>
      <c r="E11" s="95">
        <v>-850</v>
      </c>
    </row>
    <row r="12" spans="1:10" x14ac:dyDescent="0.25">
      <c r="A12">
        <v>24</v>
      </c>
      <c r="B12" s="94">
        <v>45005</v>
      </c>
      <c r="C12" t="s">
        <v>211</v>
      </c>
      <c r="D12" t="s">
        <v>242</v>
      </c>
      <c r="E12" s="95">
        <v>-860</v>
      </c>
    </row>
    <row r="13" spans="1:10" x14ac:dyDescent="0.25">
      <c r="A13">
        <v>14</v>
      </c>
      <c r="B13" s="94">
        <v>45007</v>
      </c>
      <c r="C13" t="s">
        <v>211</v>
      </c>
      <c r="D13" t="s">
        <v>400</v>
      </c>
      <c r="E13" s="95">
        <v>-900</v>
      </c>
    </row>
    <row r="14" spans="1:10" x14ac:dyDescent="0.25">
      <c r="A14">
        <v>23</v>
      </c>
      <c r="B14" s="94">
        <v>45005</v>
      </c>
      <c r="C14" t="s">
        <v>211</v>
      </c>
      <c r="D14" t="s">
        <v>268</v>
      </c>
      <c r="E14" s="95">
        <v>-940</v>
      </c>
    </row>
    <row r="15" spans="1:10" x14ac:dyDescent="0.25">
      <c r="A15">
        <v>63</v>
      </c>
      <c r="B15" s="94">
        <v>44991</v>
      </c>
      <c r="C15" t="s">
        <v>211</v>
      </c>
      <c r="D15" t="s">
        <v>268</v>
      </c>
      <c r="E15" s="95">
        <v>-950</v>
      </c>
    </row>
    <row r="16" spans="1:10" x14ac:dyDescent="0.25">
      <c r="A16">
        <v>4</v>
      </c>
      <c r="B16" s="94">
        <v>45015</v>
      </c>
      <c r="C16" t="s">
        <v>211</v>
      </c>
      <c r="D16" t="s">
        <v>350</v>
      </c>
      <c r="E16" s="95">
        <v>-951.25</v>
      </c>
    </row>
    <row r="17" spans="1:5" x14ac:dyDescent="0.25">
      <c r="A17">
        <v>20</v>
      </c>
      <c r="B17" s="94">
        <v>45006</v>
      </c>
      <c r="C17" t="s">
        <v>211</v>
      </c>
      <c r="D17" t="s">
        <v>404</v>
      </c>
      <c r="E17" s="95">
        <v>-960</v>
      </c>
    </row>
    <row r="18" spans="1:5" x14ac:dyDescent="0.25">
      <c r="A18">
        <v>26</v>
      </c>
      <c r="B18" s="94">
        <v>45005</v>
      </c>
      <c r="C18" t="s">
        <v>211</v>
      </c>
      <c r="D18" t="s">
        <v>242</v>
      </c>
      <c r="E18" s="95">
        <v>-970</v>
      </c>
    </row>
    <row r="19" spans="1:5" x14ac:dyDescent="0.25">
      <c r="A19">
        <v>56</v>
      </c>
      <c r="B19" s="94">
        <v>44993</v>
      </c>
      <c r="C19" t="s">
        <v>211</v>
      </c>
      <c r="D19" t="s">
        <v>398</v>
      </c>
      <c r="E19" s="95">
        <v>-1000</v>
      </c>
    </row>
    <row r="20" spans="1:5" x14ac:dyDescent="0.25">
      <c r="A20">
        <v>71</v>
      </c>
      <c r="B20" s="94">
        <v>44988</v>
      </c>
      <c r="C20" t="s">
        <v>211</v>
      </c>
      <c r="D20" t="s">
        <v>396</v>
      </c>
      <c r="E20" s="95">
        <v>-1000</v>
      </c>
    </row>
    <row r="21" spans="1:5" x14ac:dyDescent="0.25">
      <c r="A21">
        <v>70</v>
      </c>
      <c r="B21" s="94">
        <v>44988</v>
      </c>
      <c r="C21" t="s">
        <v>211</v>
      </c>
      <c r="D21" t="s">
        <v>396</v>
      </c>
      <c r="E21" s="95">
        <v>-1100</v>
      </c>
    </row>
    <row r="22" spans="1:5" x14ac:dyDescent="0.25">
      <c r="A22">
        <v>43</v>
      </c>
      <c r="B22" s="94">
        <v>44998</v>
      </c>
      <c r="C22" t="s">
        <v>211</v>
      </c>
      <c r="D22" t="s">
        <v>392</v>
      </c>
      <c r="E22" s="95">
        <v>-1310</v>
      </c>
    </row>
    <row r="23" spans="1:5" x14ac:dyDescent="0.25">
      <c r="A23">
        <v>15</v>
      </c>
      <c r="B23" s="94">
        <v>45007</v>
      </c>
      <c r="C23" t="s">
        <v>211</v>
      </c>
      <c r="D23" t="s">
        <v>401</v>
      </c>
      <c r="E23" s="95">
        <v>-1560</v>
      </c>
    </row>
    <row r="24" spans="1:5" x14ac:dyDescent="0.25">
      <c r="A24">
        <v>17</v>
      </c>
      <c r="B24" s="94">
        <v>45007</v>
      </c>
      <c r="C24" t="s">
        <v>211</v>
      </c>
      <c r="D24" t="s">
        <v>401</v>
      </c>
      <c r="E24" s="95">
        <v>-1560</v>
      </c>
    </row>
    <row r="25" spans="1:5" x14ac:dyDescent="0.25">
      <c r="A25">
        <v>59</v>
      </c>
      <c r="B25" s="94">
        <v>44992</v>
      </c>
      <c r="C25" t="s">
        <v>211</v>
      </c>
      <c r="D25" t="s">
        <v>393</v>
      </c>
      <c r="E25" s="95">
        <v>-1610</v>
      </c>
    </row>
    <row r="26" spans="1:5" x14ac:dyDescent="0.25">
      <c r="A26">
        <v>60</v>
      </c>
      <c r="B26" s="94">
        <v>44992</v>
      </c>
      <c r="C26" t="s">
        <v>211</v>
      </c>
      <c r="D26" t="s">
        <v>395</v>
      </c>
      <c r="E26" s="95">
        <v>-1670</v>
      </c>
    </row>
    <row r="27" spans="1:5" x14ac:dyDescent="0.25">
      <c r="A27">
        <v>25</v>
      </c>
      <c r="B27" s="94">
        <v>45005</v>
      </c>
      <c r="C27" t="s">
        <v>211</v>
      </c>
      <c r="D27" t="s">
        <v>297</v>
      </c>
      <c r="E27" s="95">
        <v>-1700</v>
      </c>
    </row>
    <row r="28" spans="1:5" x14ac:dyDescent="0.25">
      <c r="A28">
        <v>75</v>
      </c>
      <c r="B28" s="94">
        <v>44987</v>
      </c>
      <c r="C28" t="s">
        <v>211</v>
      </c>
      <c r="D28" t="s">
        <v>268</v>
      </c>
      <c r="E28" s="95">
        <v>-1850</v>
      </c>
    </row>
    <row r="29" spans="1:5" x14ac:dyDescent="0.25">
      <c r="A29">
        <v>6</v>
      </c>
      <c r="B29" s="94">
        <v>45012</v>
      </c>
      <c r="C29" t="s">
        <v>211</v>
      </c>
      <c r="D29" t="s">
        <v>268</v>
      </c>
      <c r="E29" s="95">
        <v>-2040</v>
      </c>
    </row>
    <row r="30" spans="1:5" x14ac:dyDescent="0.25">
      <c r="A30">
        <v>7</v>
      </c>
      <c r="B30" s="94">
        <v>45012</v>
      </c>
      <c r="C30" t="s">
        <v>211</v>
      </c>
      <c r="D30" t="s">
        <v>354</v>
      </c>
      <c r="E30" s="95">
        <v>-2200</v>
      </c>
    </row>
    <row r="31" spans="1:5" x14ac:dyDescent="0.25">
      <c r="A31">
        <v>45</v>
      </c>
      <c r="B31" s="94">
        <v>44995</v>
      </c>
      <c r="C31" t="s">
        <v>211</v>
      </c>
      <c r="D31" t="s">
        <v>393</v>
      </c>
      <c r="E31" s="95">
        <v>-2290</v>
      </c>
    </row>
    <row r="32" spans="1:5" x14ac:dyDescent="0.25">
      <c r="A32">
        <v>2</v>
      </c>
      <c r="B32" s="94">
        <v>45016</v>
      </c>
      <c r="C32" t="s">
        <v>214</v>
      </c>
      <c r="E32" s="95">
        <v>-2354.39</v>
      </c>
    </row>
    <row r="33" spans="1:5" x14ac:dyDescent="0.25">
      <c r="A33">
        <v>34</v>
      </c>
      <c r="B33" s="94">
        <v>45002</v>
      </c>
      <c r="C33" t="s">
        <v>211</v>
      </c>
      <c r="D33" t="s">
        <v>389</v>
      </c>
      <c r="E33" s="95">
        <v>-2500</v>
      </c>
    </row>
    <row r="34" spans="1:5" x14ac:dyDescent="0.25">
      <c r="A34">
        <v>9</v>
      </c>
      <c r="B34" s="94">
        <v>45012</v>
      </c>
      <c r="C34" t="s">
        <v>211</v>
      </c>
      <c r="D34" t="s">
        <v>245</v>
      </c>
      <c r="E34" s="95">
        <v>-2630</v>
      </c>
    </row>
    <row r="35" spans="1:5" x14ac:dyDescent="0.25">
      <c r="A35">
        <v>16</v>
      </c>
      <c r="B35" s="94">
        <v>45007</v>
      </c>
      <c r="C35" t="s">
        <v>211</v>
      </c>
      <c r="D35" t="s">
        <v>402</v>
      </c>
      <c r="E35" s="95">
        <v>-2800</v>
      </c>
    </row>
    <row r="36" spans="1:5" x14ac:dyDescent="0.25">
      <c r="A36">
        <v>42</v>
      </c>
      <c r="B36" s="94">
        <v>45000</v>
      </c>
      <c r="C36" t="s">
        <v>211</v>
      </c>
      <c r="D36" t="s">
        <v>278</v>
      </c>
      <c r="E36" s="95">
        <v>-2926</v>
      </c>
    </row>
    <row r="37" spans="1:5" x14ac:dyDescent="0.25">
      <c r="A37">
        <v>62</v>
      </c>
      <c r="B37" s="94">
        <v>44991</v>
      </c>
      <c r="C37" t="s">
        <v>211</v>
      </c>
      <c r="D37" t="s">
        <v>245</v>
      </c>
      <c r="E37" s="95">
        <v>-3044.25</v>
      </c>
    </row>
    <row r="38" spans="1:5" x14ac:dyDescent="0.25">
      <c r="A38">
        <v>13</v>
      </c>
      <c r="B38" s="94">
        <v>45008</v>
      </c>
      <c r="C38" t="s">
        <v>211</v>
      </c>
      <c r="D38" t="s">
        <v>393</v>
      </c>
      <c r="E38" s="95">
        <v>-3130</v>
      </c>
    </row>
    <row r="39" spans="1:5" x14ac:dyDescent="0.25">
      <c r="A39">
        <v>27</v>
      </c>
      <c r="B39" s="94">
        <v>45005</v>
      </c>
      <c r="C39" t="s">
        <v>211</v>
      </c>
      <c r="D39" t="s">
        <v>216</v>
      </c>
      <c r="E39" s="95">
        <v>-3263.9</v>
      </c>
    </row>
    <row r="40" spans="1:5" x14ac:dyDescent="0.25">
      <c r="A40">
        <v>40</v>
      </c>
      <c r="B40" s="94">
        <v>45000</v>
      </c>
      <c r="C40" t="s">
        <v>211</v>
      </c>
      <c r="D40" t="s">
        <v>399</v>
      </c>
      <c r="E40" s="95">
        <v>-3394.07</v>
      </c>
    </row>
    <row r="41" spans="1:5" x14ac:dyDescent="0.25">
      <c r="A41">
        <v>79</v>
      </c>
      <c r="B41" s="94">
        <v>44986</v>
      </c>
      <c r="C41" t="s">
        <v>211</v>
      </c>
      <c r="D41" t="s">
        <v>278</v>
      </c>
      <c r="E41" s="95">
        <v>-3539</v>
      </c>
    </row>
    <row r="42" spans="1:5" x14ac:dyDescent="0.25">
      <c r="A42">
        <v>18</v>
      </c>
      <c r="B42" s="94">
        <v>45006</v>
      </c>
      <c r="C42" t="s">
        <v>211</v>
      </c>
      <c r="D42" t="s">
        <v>402</v>
      </c>
      <c r="E42" s="95">
        <v>-4200</v>
      </c>
    </row>
    <row r="43" spans="1:5" x14ac:dyDescent="0.25">
      <c r="A43">
        <v>37</v>
      </c>
      <c r="B43" s="94">
        <v>45001</v>
      </c>
      <c r="C43" t="s">
        <v>211</v>
      </c>
      <c r="D43" t="s">
        <v>390</v>
      </c>
      <c r="E43" s="95">
        <v>-4500</v>
      </c>
    </row>
    <row r="44" spans="1:5" x14ac:dyDescent="0.25">
      <c r="A44">
        <v>31</v>
      </c>
      <c r="B44" s="94">
        <v>45005</v>
      </c>
      <c r="C44" t="s">
        <v>217</v>
      </c>
      <c r="D44" t="s">
        <v>362</v>
      </c>
      <c r="E44" s="95">
        <v>-5000</v>
      </c>
    </row>
    <row r="45" spans="1:5" x14ac:dyDescent="0.25">
      <c r="A45">
        <v>38</v>
      </c>
      <c r="B45" s="94">
        <v>45001</v>
      </c>
      <c r="C45" t="s">
        <v>211</v>
      </c>
      <c r="D45" t="s">
        <v>268</v>
      </c>
      <c r="E45" s="95">
        <v>-5320</v>
      </c>
    </row>
    <row r="46" spans="1:5" x14ac:dyDescent="0.25">
      <c r="A46">
        <v>51</v>
      </c>
      <c r="B46" s="94">
        <v>44994</v>
      </c>
      <c r="C46" t="s">
        <v>211</v>
      </c>
      <c r="D46" t="s">
        <v>394</v>
      </c>
      <c r="E46" s="95">
        <v>-5500</v>
      </c>
    </row>
    <row r="47" spans="1:5" x14ac:dyDescent="0.25">
      <c r="A47">
        <v>19</v>
      </c>
      <c r="B47" s="94">
        <v>45006</v>
      </c>
      <c r="C47" t="s">
        <v>211</v>
      </c>
      <c r="D47" t="s">
        <v>403</v>
      </c>
      <c r="E47" s="95">
        <v>-6800</v>
      </c>
    </row>
    <row r="48" spans="1:5" x14ac:dyDescent="0.25">
      <c r="A48">
        <v>80</v>
      </c>
      <c r="B48" s="94">
        <v>44986</v>
      </c>
      <c r="C48" t="s">
        <v>217</v>
      </c>
      <c r="D48" t="s">
        <v>411</v>
      </c>
      <c r="E48" s="95">
        <v>-7000</v>
      </c>
    </row>
    <row r="49" spans="1:9" x14ac:dyDescent="0.25">
      <c r="A49">
        <v>41</v>
      </c>
      <c r="B49" s="94">
        <v>45000</v>
      </c>
      <c r="C49" t="s">
        <v>211</v>
      </c>
      <c r="D49" t="s">
        <v>391</v>
      </c>
      <c r="E49" s="95">
        <v>-11800</v>
      </c>
    </row>
    <row r="50" spans="1:9" x14ac:dyDescent="0.25">
      <c r="A50">
        <v>30</v>
      </c>
      <c r="B50" s="94">
        <v>45005</v>
      </c>
      <c r="C50" t="s">
        <v>217</v>
      </c>
      <c r="D50" t="s">
        <v>362</v>
      </c>
      <c r="E50" s="95">
        <v>-15000</v>
      </c>
    </row>
    <row r="51" spans="1:9" x14ac:dyDescent="0.25">
      <c r="A51">
        <v>32</v>
      </c>
      <c r="B51" s="94">
        <v>45005</v>
      </c>
      <c r="C51" t="s">
        <v>217</v>
      </c>
      <c r="D51" t="s">
        <v>413</v>
      </c>
      <c r="E51" s="95">
        <v>-15000</v>
      </c>
    </row>
    <row r="52" spans="1:9" x14ac:dyDescent="0.25">
      <c r="A52">
        <v>44</v>
      </c>
      <c r="B52" s="94">
        <v>44998</v>
      </c>
      <c r="C52" t="s">
        <v>244</v>
      </c>
      <c r="D52" t="s">
        <v>406</v>
      </c>
      <c r="E52" s="95">
        <v>-15000</v>
      </c>
    </row>
    <row r="53" spans="1:9" x14ac:dyDescent="0.25">
      <c r="A53">
        <v>69</v>
      </c>
      <c r="B53" s="94">
        <v>44991</v>
      </c>
      <c r="C53" t="s">
        <v>217</v>
      </c>
      <c r="D53" t="s">
        <v>410</v>
      </c>
      <c r="E53" s="95">
        <v>-20000</v>
      </c>
    </row>
    <row r="54" spans="1:9" x14ac:dyDescent="0.25">
      <c r="A54">
        <v>68</v>
      </c>
      <c r="B54" s="94">
        <v>44991</v>
      </c>
      <c r="C54" t="s">
        <v>217</v>
      </c>
      <c r="D54" t="s">
        <v>241</v>
      </c>
      <c r="E54" s="95">
        <v>-38000</v>
      </c>
    </row>
    <row r="55" spans="1:9" x14ac:dyDescent="0.25">
      <c r="A55">
        <v>12</v>
      </c>
      <c r="B55" s="94">
        <v>45012</v>
      </c>
      <c r="C55" t="s">
        <v>217</v>
      </c>
      <c r="D55" t="s">
        <v>362</v>
      </c>
      <c r="E55" s="95">
        <v>-39000</v>
      </c>
    </row>
    <row r="56" spans="1:9" x14ac:dyDescent="0.25">
      <c r="A56">
        <v>78</v>
      </c>
      <c r="B56" s="94">
        <v>44987</v>
      </c>
      <c r="C56" t="s">
        <v>217</v>
      </c>
      <c r="D56" t="s">
        <v>410</v>
      </c>
      <c r="E56" s="95">
        <v>-60000</v>
      </c>
    </row>
    <row r="57" spans="1:9" x14ac:dyDescent="0.25">
      <c r="A57">
        <v>5</v>
      </c>
      <c r="B57" s="94">
        <v>45014</v>
      </c>
      <c r="C57" t="s">
        <v>217</v>
      </c>
      <c r="D57" t="s">
        <v>412</v>
      </c>
      <c r="E57" s="95">
        <v>-110000</v>
      </c>
    </row>
    <row r="58" spans="1:9" x14ac:dyDescent="0.25">
      <c r="A58">
        <v>55</v>
      </c>
      <c r="B58" s="94">
        <v>44993</v>
      </c>
      <c r="C58" t="s">
        <v>224</v>
      </c>
      <c r="D58" t="s">
        <v>225</v>
      </c>
      <c r="F58" s="95">
        <v>-63386.65</v>
      </c>
    </row>
    <row r="59" spans="1:9" x14ac:dyDescent="0.25">
      <c r="A59">
        <v>49</v>
      </c>
      <c r="B59" s="94">
        <v>44995</v>
      </c>
      <c r="C59" t="s">
        <v>222</v>
      </c>
      <c r="D59" t="s">
        <v>223</v>
      </c>
      <c r="F59" s="95">
        <v>-210264.08</v>
      </c>
    </row>
    <row r="60" spans="1:9" x14ac:dyDescent="0.25">
      <c r="A60">
        <v>33</v>
      </c>
      <c r="B60" s="94">
        <v>45005</v>
      </c>
      <c r="C60" t="s">
        <v>258</v>
      </c>
      <c r="H60" s="95">
        <v>-1000000</v>
      </c>
    </row>
    <row r="61" spans="1:9" x14ac:dyDescent="0.25">
      <c r="A61">
        <v>53</v>
      </c>
      <c r="B61" s="94">
        <v>44994</v>
      </c>
      <c r="C61" t="s">
        <v>376</v>
      </c>
      <c r="D61" t="s">
        <v>407</v>
      </c>
      <c r="I61" s="95">
        <v>-100</v>
      </c>
    </row>
    <row r="62" spans="1:9" x14ac:dyDescent="0.25">
      <c r="A62">
        <v>57</v>
      </c>
      <c r="B62" s="94">
        <v>44993</v>
      </c>
      <c r="C62" t="s">
        <v>376</v>
      </c>
      <c r="D62" t="s">
        <v>379</v>
      </c>
      <c r="I62" s="95">
        <v>-1000</v>
      </c>
    </row>
    <row r="63" spans="1:9" x14ac:dyDescent="0.25">
      <c r="A63">
        <v>76</v>
      </c>
      <c r="B63" s="94">
        <v>44987</v>
      </c>
      <c r="C63" t="s">
        <v>229</v>
      </c>
      <c r="D63" t="s">
        <v>230</v>
      </c>
      <c r="I63" s="95">
        <v>-5000</v>
      </c>
    </row>
    <row r="64" spans="1:9" x14ac:dyDescent="0.25">
      <c r="A64">
        <v>1</v>
      </c>
      <c r="B64" s="94">
        <v>45016</v>
      </c>
      <c r="C64" t="s">
        <v>229</v>
      </c>
      <c r="D64" t="s">
        <v>230</v>
      </c>
      <c r="I64" s="95">
        <v>-10000</v>
      </c>
    </row>
    <row r="65" spans="1:10" x14ac:dyDescent="0.25">
      <c r="A65">
        <v>64</v>
      </c>
      <c r="B65" s="94">
        <v>44991</v>
      </c>
      <c r="C65" t="s">
        <v>376</v>
      </c>
      <c r="D65" t="s">
        <v>408</v>
      </c>
      <c r="I65" s="95">
        <v>-10000</v>
      </c>
    </row>
    <row r="66" spans="1:10" x14ac:dyDescent="0.25">
      <c r="A66">
        <v>65</v>
      </c>
      <c r="B66" s="94">
        <v>44991</v>
      </c>
      <c r="C66" t="s">
        <v>376</v>
      </c>
      <c r="D66" t="s">
        <v>408</v>
      </c>
      <c r="I66" s="95">
        <v>-10000</v>
      </c>
    </row>
    <row r="67" spans="1:10" x14ac:dyDescent="0.25">
      <c r="A67">
        <v>39</v>
      </c>
      <c r="B67" s="94">
        <v>45001</v>
      </c>
      <c r="C67" t="s">
        <v>376</v>
      </c>
      <c r="D67" t="s">
        <v>379</v>
      </c>
      <c r="I67" s="95">
        <v>-20000</v>
      </c>
    </row>
    <row r="68" spans="1:10" x14ac:dyDescent="0.25">
      <c r="A68">
        <v>47</v>
      </c>
      <c r="B68" s="94">
        <v>44995</v>
      </c>
      <c r="C68" t="s">
        <v>376</v>
      </c>
      <c r="D68" t="s">
        <v>379</v>
      </c>
      <c r="I68" s="95">
        <v>-20000</v>
      </c>
    </row>
    <row r="69" spans="1:10" x14ac:dyDescent="0.25">
      <c r="A69">
        <v>52</v>
      </c>
      <c r="B69" s="94">
        <v>44994</v>
      </c>
      <c r="C69" t="s">
        <v>229</v>
      </c>
      <c r="D69" t="s">
        <v>230</v>
      </c>
      <c r="I69" s="95">
        <v>-20000</v>
      </c>
    </row>
    <row r="70" spans="1:10" x14ac:dyDescent="0.25">
      <c r="A70">
        <v>48</v>
      </c>
      <c r="B70" s="94">
        <v>44995</v>
      </c>
      <c r="C70" t="s">
        <v>376</v>
      </c>
      <c r="D70" t="s">
        <v>379</v>
      </c>
      <c r="I70" s="95">
        <v>-30000</v>
      </c>
    </row>
    <row r="71" spans="1:10" x14ac:dyDescent="0.25">
      <c r="A71">
        <v>54</v>
      </c>
      <c r="B71" s="94">
        <v>44994</v>
      </c>
      <c r="C71" t="s">
        <v>409</v>
      </c>
      <c r="I71" s="95">
        <v>-30000</v>
      </c>
    </row>
    <row r="72" spans="1:10" x14ac:dyDescent="0.25">
      <c r="A72" s="99"/>
      <c r="B72" s="98">
        <v>44995</v>
      </c>
      <c r="C72" s="99" t="s">
        <v>280</v>
      </c>
      <c r="D72" s="99"/>
      <c r="E72" s="96"/>
      <c r="F72" s="96"/>
      <c r="G72" s="96">
        <v>-20559</v>
      </c>
    </row>
    <row r="73" spans="1:10" x14ac:dyDescent="0.25">
      <c r="A73" s="99"/>
      <c r="B73" s="98">
        <v>44995</v>
      </c>
      <c r="C73" s="99" t="s">
        <v>253</v>
      </c>
      <c r="D73" s="99"/>
      <c r="E73" s="96"/>
      <c r="F73" s="96">
        <v>20559</v>
      </c>
    </row>
    <row r="74" spans="1:10" x14ac:dyDescent="0.25">
      <c r="E74" s="280">
        <f>SUBTOTAL(109,Mar_Debitos[Gastos])</f>
        <v>-425357.28</v>
      </c>
      <c r="F74" s="280">
        <f>SUBTOTAL(109,Mar_Debitos[Tarjetas])</f>
        <v>-253091.72999999998</v>
      </c>
      <c r="G74" s="280">
        <f>SUBTOTAL(109,Mar_Debitos[Impuestos])</f>
        <v>-20559</v>
      </c>
      <c r="H74" s="280">
        <f>SUBTOTAL(109,Mar_Debitos[Inversiones])</f>
        <v>-1000000</v>
      </c>
      <c r="I74" s="280">
        <f>SUBTOTAL(109,Mar_Debitos[Extracciones])</f>
        <v>-156100</v>
      </c>
      <c r="J74">
        <f>SUBTOTAL(103,Mar_Debitos[Comentarios])</f>
        <v>0</v>
      </c>
    </row>
    <row r="76" spans="1:10" x14ac:dyDescent="0.25">
      <c r="C76" t="s">
        <v>209</v>
      </c>
      <c r="D76" t="s">
        <v>210</v>
      </c>
      <c r="E76" s="95" t="s">
        <v>233</v>
      </c>
      <c r="F76" s="95" t="s">
        <v>234</v>
      </c>
      <c r="G76" s="95" t="s">
        <v>235</v>
      </c>
      <c r="H76" s="95" t="s">
        <v>236</v>
      </c>
      <c r="I76" s="95" t="s">
        <v>237</v>
      </c>
      <c r="J76" t="s">
        <v>238</v>
      </c>
    </row>
    <row r="77" spans="1:10" x14ac:dyDescent="0.25">
      <c r="B77" s="94">
        <v>45016</v>
      </c>
      <c r="C77" t="s">
        <v>254</v>
      </c>
      <c r="E77" s="95">
        <v>-425357.27999999997</v>
      </c>
      <c r="F77" s="95">
        <v>-253091.72999999998</v>
      </c>
      <c r="G77" s="95">
        <v>-20559</v>
      </c>
      <c r="H77" s="95">
        <v>-1000000</v>
      </c>
      <c r="I77" s="95">
        <v>-156100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4"/>
  <dimension ref="A1:H17"/>
  <sheetViews>
    <sheetView workbookViewId="0">
      <selection activeCell="C28" sqref="C28"/>
    </sheetView>
  </sheetViews>
  <sheetFormatPr baseColWidth="10" defaultRowHeight="15.75" x14ac:dyDescent="0.25"/>
  <cols>
    <col min="1" max="1" width="3.625" customWidth="1"/>
    <col min="2" max="2" width="10.625" customWidth="1"/>
    <col min="3" max="3" width="40" customWidth="1"/>
    <col min="4" max="4" width="40.625" customWidth="1"/>
    <col min="5" max="7" width="12.625" style="95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239</v>
      </c>
      <c r="F1" s="95" t="s">
        <v>240</v>
      </c>
      <c r="G1" s="95" t="s">
        <v>236</v>
      </c>
      <c r="H1" t="s">
        <v>416</v>
      </c>
    </row>
    <row r="2" spans="1:8" x14ac:dyDescent="0.25">
      <c r="A2">
        <v>74</v>
      </c>
      <c r="B2" s="94">
        <v>44988</v>
      </c>
      <c r="C2" t="s">
        <v>226</v>
      </c>
      <c r="D2" t="s">
        <v>227</v>
      </c>
      <c r="E2" s="95">
        <v>2852</v>
      </c>
      <c r="H2" s="95"/>
    </row>
    <row r="3" spans="1:8" x14ac:dyDescent="0.25">
      <c r="A3">
        <v>11</v>
      </c>
      <c r="B3" s="94">
        <v>45012</v>
      </c>
      <c r="C3" t="s">
        <v>226</v>
      </c>
      <c r="D3" t="s">
        <v>227</v>
      </c>
      <c r="E3" s="95">
        <v>8557</v>
      </c>
      <c r="H3" s="95"/>
    </row>
    <row r="4" spans="1:8" x14ac:dyDescent="0.25">
      <c r="A4">
        <v>36</v>
      </c>
      <c r="B4" s="94">
        <v>45002</v>
      </c>
      <c r="C4" t="s">
        <v>226</v>
      </c>
      <c r="D4" t="s">
        <v>227</v>
      </c>
      <c r="E4" s="95">
        <v>8557</v>
      </c>
      <c r="H4" s="95"/>
    </row>
    <row r="5" spans="1:8" x14ac:dyDescent="0.25">
      <c r="A5">
        <v>66</v>
      </c>
      <c r="B5" s="94">
        <v>44991</v>
      </c>
      <c r="C5" t="s">
        <v>226</v>
      </c>
      <c r="D5" t="s">
        <v>227</v>
      </c>
      <c r="E5" s="95">
        <v>21591.89</v>
      </c>
      <c r="H5" s="95"/>
    </row>
    <row r="6" spans="1:8" x14ac:dyDescent="0.25">
      <c r="A6">
        <v>67</v>
      </c>
      <c r="B6" s="94">
        <v>44991</v>
      </c>
      <c r="C6" t="s">
        <v>226</v>
      </c>
      <c r="D6" t="s">
        <v>227</v>
      </c>
      <c r="E6" s="95">
        <v>335293.31</v>
      </c>
      <c r="H6" s="95"/>
    </row>
    <row r="7" spans="1:8" x14ac:dyDescent="0.25">
      <c r="A7">
        <v>29</v>
      </c>
      <c r="B7" s="94">
        <v>45005</v>
      </c>
      <c r="C7" t="s">
        <v>226</v>
      </c>
      <c r="D7" t="s">
        <v>227</v>
      </c>
      <c r="E7" s="95">
        <v>1492603.35</v>
      </c>
      <c r="H7" s="95"/>
    </row>
    <row r="8" spans="1:8" x14ac:dyDescent="0.25">
      <c r="A8">
        <v>81</v>
      </c>
      <c r="B8" s="94">
        <v>44986</v>
      </c>
      <c r="C8" t="s">
        <v>231</v>
      </c>
      <c r="F8" s="95">
        <v>19.52</v>
      </c>
      <c r="H8" s="95"/>
    </row>
    <row r="9" spans="1:8" x14ac:dyDescent="0.25">
      <c r="A9">
        <v>46</v>
      </c>
      <c r="B9" s="94">
        <v>44995</v>
      </c>
      <c r="C9" t="s">
        <v>221</v>
      </c>
      <c r="D9" t="s">
        <v>405</v>
      </c>
      <c r="F9" s="95">
        <v>855</v>
      </c>
      <c r="H9" s="95"/>
    </row>
    <row r="10" spans="1:8" x14ac:dyDescent="0.25">
      <c r="A10">
        <v>61</v>
      </c>
      <c r="B10" s="94">
        <v>44992</v>
      </c>
      <c r="C10" t="s">
        <v>221</v>
      </c>
      <c r="D10" t="s">
        <v>257</v>
      </c>
      <c r="F10" s="95">
        <v>7600</v>
      </c>
      <c r="H10" s="95"/>
    </row>
    <row r="11" spans="1:8" x14ac:dyDescent="0.25">
      <c r="A11">
        <v>77</v>
      </c>
      <c r="B11" s="94">
        <v>44987</v>
      </c>
      <c r="C11" t="s">
        <v>358</v>
      </c>
      <c r="D11" t="s">
        <v>241</v>
      </c>
      <c r="F11" s="95">
        <v>50000</v>
      </c>
      <c r="H11" s="95"/>
    </row>
    <row r="12" spans="1:8" x14ac:dyDescent="0.25">
      <c r="A12">
        <v>35</v>
      </c>
      <c r="B12" s="94">
        <v>45002</v>
      </c>
      <c r="C12" t="s">
        <v>414</v>
      </c>
      <c r="D12" t="s">
        <v>415</v>
      </c>
      <c r="F12" s="95">
        <v>180587.63</v>
      </c>
      <c r="H12" s="95"/>
    </row>
    <row r="13" spans="1:8" x14ac:dyDescent="0.25">
      <c r="A13">
        <v>58</v>
      </c>
      <c r="B13" s="94">
        <v>44993</v>
      </c>
      <c r="C13" t="s">
        <v>243</v>
      </c>
      <c r="G13" s="95">
        <f xml:space="preserve"> 530821.92 - 500000</f>
        <v>30821.920000000042</v>
      </c>
      <c r="H13" s="95"/>
    </row>
    <row r="14" spans="1:8" x14ac:dyDescent="0.25">
      <c r="E14" s="280">
        <f>SUBTOTAL(109,Mar_Creditos[Haberes])</f>
        <v>1869454.55</v>
      </c>
      <c r="F14" s="280">
        <f>SUBTOTAL(109,Mar_Creditos[Extras])</f>
        <v>239062.15000000002</v>
      </c>
      <c r="G14" s="280">
        <f>SUBTOTAL(109,Mar_Creditos[Inversiones])</f>
        <v>30821.920000000042</v>
      </c>
      <c r="H14" s="280">
        <f>Mar_Creditos[[#Totals],[Extras]]+Mar_Creditos[[#Totals],[Inversiones]]</f>
        <v>269884.07000000007</v>
      </c>
    </row>
    <row r="16" spans="1:8" x14ac:dyDescent="0.25">
      <c r="C16" t="s">
        <v>209</v>
      </c>
      <c r="D16" t="s">
        <v>210</v>
      </c>
      <c r="E16" s="95" t="s">
        <v>239</v>
      </c>
      <c r="F16" s="95" t="s">
        <v>240</v>
      </c>
      <c r="G16" s="95" t="s">
        <v>236</v>
      </c>
    </row>
    <row r="17" spans="2:7" x14ac:dyDescent="0.25">
      <c r="B17" s="94">
        <v>45016</v>
      </c>
      <c r="C17" t="s">
        <v>254</v>
      </c>
      <c r="E17" s="95">
        <v>1869454.55</v>
      </c>
      <c r="F17" s="95">
        <v>239062.15000000002</v>
      </c>
      <c r="G17" s="95">
        <v>30821.920000000042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5"/>
  <dimension ref="A1:I6"/>
  <sheetViews>
    <sheetView workbookViewId="0">
      <selection activeCell="I19" sqref="I19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95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95" t="s">
        <v>233</v>
      </c>
      <c r="E1" s="95" t="s">
        <v>234</v>
      </c>
      <c r="F1" s="95" t="s">
        <v>235</v>
      </c>
      <c r="G1" s="95" t="s">
        <v>236</v>
      </c>
      <c r="H1" s="95" t="s">
        <v>240</v>
      </c>
      <c r="I1" t="s">
        <v>238</v>
      </c>
    </row>
    <row r="2" spans="1:9" x14ac:dyDescent="0.25">
      <c r="A2" s="94">
        <v>44986</v>
      </c>
      <c r="B2" t="s">
        <v>384</v>
      </c>
      <c r="D2" s="95">
        <v>-67450</v>
      </c>
      <c r="E2" s="95">
        <v>0</v>
      </c>
      <c r="F2" s="95">
        <v>0</v>
      </c>
      <c r="G2" s="95">
        <v>0</v>
      </c>
      <c r="H2" s="95">
        <v>0</v>
      </c>
    </row>
    <row r="3" spans="1:9" x14ac:dyDescent="0.25">
      <c r="D3" s="280">
        <f>SUBTOTAL(109,Mar_Efectivo[Gastos])</f>
        <v>-67450</v>
      </c>
      <c r="E3" s="280">
        <f>SUBTOTAL(109,Mar_Efectivo[Tarjetas])</f>
        <v>0</v>
      </c>
      <c r="F3" s="280">
        <f>SUBTOTAL(109,Mar_Efectivo[Impuestos])</f>
        <v>0</v>
      </c>
      <c r="G3" s="280">
        <f>SUBTOTAL(109,Mar_Efectivo[Inversiones])</f>
        <v>0</v>
      </c>
      <c r="H3" s="280">
        <f>SUBTOTAL(109,Mar_Efectivo[Extras])</f>
        <v>0</v>
      </c>
      <c r="I3">
        <f>SUBTOTAL(103,Mar_Efectivo[Comentarios])</f>
        <v>0</v>
      </c>
    </row>
    <row r="5" spans="1:9" x14ac:dyDescent="0.25">
      <c r="B5" t="s">
        <v>209</v>
      </c>
      <c r="C5" t="s">
        <v>210</v>
      </c>
      <c r="D5" s="95" t="s">
        <v>233</v>
      </c>
      <c r="E5" s="95" t="s">
        <v>234</v>
      </c>
      <c r="F5" s="95" t="s">
        <v>235</v>
      </c>
      <c r="G5" s="95" t="s">
        <v>236</v>
      </c>
      <c r="H5" s="95" t="s">
        <v>240</v>
      </c>
      <c r="I5" t="s">
        <v>238</v>
      </c>
    </row>
    <row r="6" spans="1:9" x14ac:dyDescent="0.25">
      <c r="A6" s="94">
        <v>45016</v>
      </c>
      <c r="B6" t="s">
        <v>254</v>
      </c>
      <c r="D6" s="95">
        <v>-67450</v>
      </c>
      <c r="E6" s="95">
        <v>0</v>
      </c>
      <c r="F6" s="95">
        <v>0</v>
      </c>
      <c r="G6" s="95">
        <v>0</v>
      </c>
      <c r="H6" s="95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518"/>
  <sheetViews>
    <sheetView topLeftCell="A491" workbookViewId="0">
      <selection activeCell="C139" sqref="C139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95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95" t="s">
        <v>323</v>
      </c>
      <c r="F1" t="s">
        <v>324</v>
      </c>
    </row>
    <row r="2" spans="1:6" hidden="1" x14ac:dyDescent="0.25">
      <c r="A2">
        <v>50</v>
      </c>
      <c r="B2" s="94">
        <v>45026</v>
      </c>
      <c r="C2" t="s">
        <v>226</v>
      </c>
      <c r="D2" t="s">
        <v>227</v>
      </c>
      <c r="E2" s="95">
        <v>393146.75</v>
      </c>
      <c r="F2">
        <v>0</v>
      </c>
    </row>
    <row r="3" spans="1:6" hidden="1" x14ac:dyDescent="0.25">
      <c r="A3">
        <v>49</v>
      </c>
      <c r="B3" s="94">
        <v>45026</v>
      </c>
      <c r="C3" t="s">
        <v>226</v>
      </c>
      <c r="D3" t="s">
        <v>227</v>
      </c>
      <c r="E3" s="95">
        <v>8556</v>
      </c>
      <c r="F3">
        <v>0</v>
      </c>
    </row>
    <row r="4" spans="1:6" hidden="1" x14ac:dyDescent="0.25">
      <c r="A4">
        <v>0</v>
      </c>
      <c r="B4" s="94">
        <v>45044</v>
      </c>
      <c r="C4" t="s">
        <v>211</v>
      </c>
      <c r="D4" t="s">
        <v>425</v>
      </c>
      <c r="E4" s="95">
        <v>-1255</v>
      </c>
      <c r="F4">
        <v>101637</v>
      </c>
    </row>
    <row r="5" spans="1:6" hidden="1" x14ac:dyDescent="0.25">
      <c r="A5">
        <v>21</v>
      </c>
      <c r="B5" s="94">
        <v>45036</v>
      </c>
      <c r="C5" t="s">
        <v>211</v>
      </c>
      <c r="D5" t="s">
        <v>242</v>
      </c>
      <c r="E5" s="95">
        <v>-380</v>
      </c>
      <c r="F5">
        <v>34662</v>
      </c>
    </row>
    <row r="6" spans="1:6" hidden="1" x14ac:dyDescent="0.25">
      <c r="A6">
        <v>45</v>
      </c>
      <c r="B6" s="94">
        <v>45026</v>
      </c>
      <c r="C6" t="s">
        <v>211</v>
      </c>
      <c r="D6" t="s">
        <v>269</v>
      </c>
      <c r="E6" s="95">
        <v>-550</v>
      </c>
      <c r="F6">
        <v>93495</v>
      </c>
    </row>
    <row r="7" spans="1:6" hidden="1" x14ac:dyDescent="0.25">
      <c r="A7">
        <v>23</v>
      </c>
      <c r="B7" s="94">
        <v>45036</v>
      </c>
      <c r="C7" t="s">
        <v>211</v>
      </c>
      <c r="D7" t="s">
        <v>426</v>
      </c>
      <c r="E7" s="95">
        <v>-2400</v>
      </c>
      <c r="F7">
        <v>404535</v>
      </c>
    </row>
    <row r="8" spans="1:6" hidden="1" x14ac:dyDescent="0.25">
      <c r="A8">
        <v>26</v>
      </c>
      <c r="B8" s="94">
        <v>45035</v>
      </c>
      <c r="C8" t="s">
        <v>211</v>
      </c>
      <c r="D8" t="s">
        <v>278</v>
      </c>
      <c r="E8" s="95">
        <v>-3847.76</v>
      </c>
      <c r="F8">
        <v>973593</v>
      </c>
    </row>
    <row r="9" spans="1:6" hidden="1" x14ac:dyDescent="0.25">
      <c r="A9">
        <v>27</v>
      </c>
      <c r="B9" s="94">
        <v>45035</v>
      </c>
      <c r="C9" t="s">
        <v>211</v>
      </c>
      <c r="D9" t="s">
        <v>343</v>
      </c>
      <c r="E9" s="95">
        <v>-51000</v>
      </c>
      <c r="F9">
        <v>702414</v>
      </c>
    </row>
    <row r="10" spans="1:6" hidden="1" x14ac:dyDescent="0.25">
      <c r="A10">
        <v>32</v>
      </c>
      <c r="B10" s="94">
        <v>45034</v>
      </c>
      <c r="C10" t="s">
        <v>211</v>
      </c>
      <c r="D10" t="s">
        <v>427</v>
      </c>
      <c r="E10" s="95">
        <v>-3468.27</v>
      </c>
      <c r="F10">
        <v>578817</v>
      </c>
    </row>
    <row r="11" spans="1:6" hidden="1" x14ac:dyDescent="0.25">
      <c r="A11">
        <v>33</v>
      </c>
      <c r="B11" s="94">
        <v>45034</v>
      </c>
      <c r="C11" t="s">
        <v>211</v>
      </c>
      <c r="D11" t="s">
        <v>269</v>
      </c>
      <c r="E11" s="95">
        <v>-350</v>
      </c>
      <c r="F11">
        <v>93900</v>
      </c>
    </row>
    <row r="12" spans="1:6" hidden="1" x14ac:dyDescent="0.25">
      <c r="A12">
        <v>35</v>
      </c>
      <c r="B12" s="94">
        <v>45033</v>
      </c>
      <c r="C12" t="s">
        <v>211</v>
      </c>
      <c r="D12" t="s">
        <v>398</v>
      </c>
      <c r="E12" s="95">
        <v>-1300</v>
      </c>
      <c r="F12">
        <v>34672</v>
      </c>
    </row>
    <row r="13" spans="1:6" hidden="1" x14ac:dyDescent="0.25">
      <c r="A13">
        <v>36</v>
      </c>
      <c r="B13" s="94">
        <v>45033</v>
      </c>
      <c r="C13" t="s">
        <v>211</v>
      </c>
      <c r="D13" t="s">
        <v>216</v>
      </c>
      <c r="E13" s="95">
        <v>-4446.2</v>
      </c>
      <c r="F13">
        <v>923717</v>
      </c>
    </row>
    <row r="14" spans="1:6" hidden="1" x14ac:dyDescent="0.25">
      <c r="A14">
        <v>38</v>
      </c>
      <c r="B14" s="94">
        <v>45030</v>
      </c>
      <c r="C14" t="s">
        <v>211</v>
      </c>
      <c r="D14" t="s">
        <v>428</v>
      </c>
      <c r="E14" s="95">
        <v>-550</v>
      </c>
      <c r="F14">
        <v>46387</v>
      </c>
    </row>
    <row r="15" spans="1:6" hidden="1" x14ac:dyDescent="0.25">
      <c r="A15">
        <v>39</v>
      </c>
      <c r="B15" s="94">
        <v>45030</v>
      </c>
      <c r="C15" t="s">
        <v>211</v>
      </c>
      <c r="D15" t="s">
        <v>268</v>
      </c>
      <c r="E15" s="95">
        <v>-2300</v>
      </c>
      <c r="F15">
        <v>279635</v>
      </c>
    </row>
    <row r="16" spans="1:6" hidden="1" x14ac:dyDescent="0.25">
      <c r="A16">
        <v>40</v>
      </c>
      <c r="B16" s="94">
        <v>45030</v>
      </c>
      <c r="C16" t="s">
        <v>211</v>
      </c>
      <c r="D16" t="s">
        <v>429</v>
      </c>
      <c r="E16" s="95">
        <v>-2900</v>
      </c>
      <c r="F16">
        <v>264350</v>
      </c>
    </row>
    <row r="17" spans="1:6" hidden="1" x14ac:dyDescent="0.25">
      <c r="A17">
        <v>46</v>
      </c>
      <c r="B17" s="94">
        <v>45026</v>
      </c>
      <c r="C17" t="s">
        <v>211</v>
      </c>
      <c r="D17" t="s">
        <v>278</v>
      </c>
      <c r="E17" s="95">
        <v>-4707.33</v>
      </c>
      <c r="F17">
        <v>751559</v>
      </c>
    </row>
    <row r="18" spans="1:6" hidden="1" x14ac:dyDescent="0.25">
      <c r="A18">
        <v>20</v>
      </c>
      <c r="B18" s="94">
        <v>45036</v>
      </c>
      <c r="C18" t="s">
        <v>211</v>
      </c>
      <c r="D18" t="s">
        <v>394</v>
      </c>
      <c r="E18" s="95">
        <v>-620</v>
      </c>
      <c r="F18">
        <v>128814</v>
      </c>
    </row>
    <row r="19" spans="1:6" hidden="1" x14ac:dyDescent="0.25">
      <c r="A19">
        <v>18</v>
      </c>
      <c r="B19" s="94">
        <v>45040</v>
      </c>
      <c r="C19" t="s">
        <v>211</v>
      </c>
      <c r="D19" t="s">
        <v>268</v>
      </c>
      <c r="E19" s="95">
        <v>-3000</v>
      </c>
      <c r="F19">
        <v>761984</v>
      </c>
    </row>
    <row r="20" spans="1:6" hidden="1" x14ac:dyDescent="0.25">
      <c r="A20">
        <v>22</v>
      </c>
      <c r="B20" s="94">
        <v>45036</v>
      </c>
      <c r="C20" t="s">
        <v>211</v>
      </c>
      <c r="D20" t="s">
        <v>278</v>
      </c>
      <c r="E20" s="95">
        <v>-2550</v>
      </c>
      <c r="F20">
        <v>477163</v>
      </c>
    </row>
    <row r="21" spans="1:6" hidden="1" x14ac:dyDescent="0.25">
      <c r="A21">
        <v>52</v>
      </c>
      <c r="B21" s="94">
        <v>45021</v>
      </c>
      <c r="C21" t="s">
        <v>211</v>
      </c>
      <c r="D21" t="s">
        <v>430</v>
      </c>
      <c r="E21" s="95">
        <v>-9570</v>
      </c>
      <c r="F21">
        <v>53015</v>
      </c>
    </row>
    <row r="22" spans="1:6" hidden="1" x14ac:dyDescent="0.25">
      <c r="A22">
        <v>53</v>
      </c>
      <c r="B22" s="94">
        <v>45021</v>
      </c>
      <c r="C22" t="s">
        <v>211</v>
      </c>
      <c r="D22" t="s">
        <v>431</v>
      </c>
      <c r="E22" s="95">
        <v>-9988.43</v>
      </c>
      <c r="F22">
        <v>175172</v>
      </c>
    </row>
    <row r="23" spans="1:6" hidden="1" x14ac:dyDescent="0.25">
      <c r="A23">
        <v>54</v>
      </c>
      <c r="B23" s="94">
        <v>45021</v>
      </c>
      <c r="C23" t="s">
        <v>211</v>
      </c>
      <c r="D23" t="s">
        <v>432</v>
      </c>
      <c r="E23" s="95">
        <v>-6340</v>
      </c>
      <c r="F23">
        <v>78894</v>
      </c>
    </row>
    <row r="24" spans="1:6" hidden="1" x14ac:dyDescent="0.25">
      <c r="A24">
        <v>58</v>
      </c>
      <c r="B24" s="94">
        <v>45020</v>
      </c>
      <c r="C24" t="s">
        <v>211</v>
      </c>
      <c r="D24" t="s">
        <v>433</v>
      </c>
      <c r="E24" s="95">
        <v>-750</v>
      </c>
      <c r="F24">
        <v>86937</v>
      </c>
    </row>
    <row r="25" spans="1:6" hidden="1" x14ac:dyDescent="0.25">
      <c r="A25">
        <v>64</v>
      </c>
      <c r="B25" s="94">
        <v>45019</v>
      </c>
      <c r="C25" t="s">
        <v>211</v>
      </c>
      <c r="D25" t="s">
        <v>434</v>
      </c>
      <c r="E25" s="95">
        <v>-4100</v>
      </c>
      <c r="F25">
        <v>890812</v>
      </c>
    </row>
    <row r="26" spans="1:6" hidden="1" x14ac:dyDescent="0.25">
      <c r="A26">
        <v>17</v>
      </c>
      <c r="B26" s="94">
        <v>45041</v>
      </c>
      <c r="C26" t="s">
        <v>211</v>
      </c>
      <c r="D26" t="s">
        <v>219</v>
      </c>
      <c r="E26" s="95">
        <v>-1980.29</v>
      </c>
      <c r="F26">
        <v>475708</v>
      </c>
    </row>
    <row r="27" spans="1:6" hidden="1" x14ac:dyDescent="0.25">
      <c r="A27">
        <v>59</v>
      </c>
      <c r="B27" s="94">
        <v>45020</v>
      </c>
      <c r="C27" t="s">
        <v>211</v>
      </c>
      <c r="D27" t="s">
        <v>431</v>
      </c>
      <c r="E27" s="95">
        <v>-1339.46</v>
      </c>
      <c r="F27">
        <v>175106</v>
      </c>
    </row>
    <row r="28" spans="1:6" hidden="1" x14ac:dyDescent="0.25">
      <c r="A28">
        <v>63</v>
      </c>
      <c r="B28" s="94">
        <v>45019</v>
      </c>
      <c r="C28" t="s">
        <v>211</v>
      </c>
      <c r="D28" t="s">
        <v>268</v>
      </c>
      <c r="E28" s="95">
        <v>-4000</v>
      </c>
      <c r="F28">
        <v>861519</v>
      </c>
    </row>
    <row r="29" spans="1:6" hidden="1" x14ac:dyDescent="0.25">
      <c r="A29">
        <v>31</v>
      </c>
      <c r="B29" s="94">
        <v>45035</v>
      </c>
      <c r="C29" t="s">
        <v>243</v>
      </c>
      <c r="E29" s="95">
        <v>1064109.5900000001</v>
      </c>
      <c r="F29">
        <v>484180</v>
      </c>
    </row>
    <row r="30" spans="1:6" hidden="1" x14ac:dyDescent="0.25">
      <c r="A30">
        <v>48</v>
      </c>
      <c r="B30" s="94">
        <v>45026</v>
      </c>
      <c r="C30" t="s">
        <v>435</v>
      </c>
      <c r="D30" t="s">
        <v>436</v>
      </c>
      <c r="E30" s="95">
        <v>-4000</v>
      </c>
      <c r="F30">
        <v>518507</v>
      </c>
    </row>
    <row r="31" spans="1:6" hidden="1" x14ac:dyDescent="0.25">
      <c r="A31">
        <v>57</v>
      </c>
      <c r="B31" s="94">
        <v>45021</v>
      </c>
      <c r="C31" t="s">
        <v>222</v>
      </c>
      <c r="D31" t="s">
        <v>223</v>
      </c>
      <c r="E31" s="95">
        <v>-284555.63</v>
      </c>
      <c r="F31">
        <v>230404</v>
      </c>
    </row>
    <row r="32" spans="1:6" hidden="1" x14ac:dyDescent="0.25">
      <c r="A32">
        <v>66</v>
      </c>
      <c r="B32" s="94">
        <v>45019</v>
      </c>
      <c r="C32" t="s">
        <v>229</v>
      </c>
      <c r="D32" t="s">
        <v>230</v>
      </c>
      <c r="E32" s="95">
        <v>-10000</v>
      </c>
      <c r="F32">
        <v>9756</v>
      </c>
    </row>
    <row r="33" spans="1:6" hidden="1" x14ac:dyDescent="0.25">
      <c r="A33">
        <v>65</v>
      </c>
      <c r="B33" s="94">
        <v>45019</v>
      </c>
      <c r="C33" t="s">
        <v>229</v>
      </c>
      <c r="D33" t="s">
        <v>230</v>
      </c>
      <c r="E33" s="95">
        <v>-10000</v>
      </c>
      <c r="F33">
        <v>9758</v>
      </c>
    </row>
    <row r="34" spans="1:6" hidden="1" x14ac:dyDescent="0.25">
      <c r="A34">
        <v>1</v>
      </c>
      <c r="B34" s="94">
        <v>45044</v>
      </c>
      <c r="C34" t="s">
        <v>376</v>
      </c>
      <c r="D34" t="s">
        <v>379</v>
      </c>
      <c r="E34" s="95">
        <v>-10000</v>
      </c>
      <c r="F34">
        <v>2578</v>
      </c>
    </row>
    <row r="35" spans="1:6" hidden="1" x14ac:dyDescent="0.25">
      <c r="A35">
        <v>47</v>
      </c>
      <c r="B35" s="94">
        <v>45026</v>
      </c>
      <c r="C35" t="s">
        <v>376</v>
      </c>
      <c r="D35" t="s">
        <v>379</v>
      </c>
      <c r="E35" s="95">
        <v>-10000</v>
      </c>
      <c r="F35">
        <v>9097</v>
      </c>
    </row>
    <row r="36" spans="1:6" hidden="1" x14ac:dyDescent="0.25">
      <c r="A36">
        <v>19</v>
      </c>
      <c r="B36" s="94">
        <v>45040</v>
      </c>
      <c r="C36" t="s">
        <v>376</v>
      </c>
      <c r="D36" t="s">
        <v>379</v>
      </c>
      <c r="E36" s="95">
        <v>-500</v>
      </c>
      <c r="F36">
        <v>1701</v>
      </c>
    </row>
    <row r="37" spans="1:6" hidden="1" x14ac:dyDescent="0.25">
      <c r="A37">
        <v>60</v>
      </c>
      <c r="B37" s="94">
        <v>45020</v>
      </c>
      <c r="C37" t="s">
        <v>376</v>
      </c>
      <c r="D37" t="s">
        <v>379</v>
      </c>
      <c r="E37" s="95">
        <v>-10000</v>
      </c>
      <c r="F37">
        <v>8343</v>
      </c>
    </row>
    <row r="38" spans="1:6" hidden="1" x14ac:dyDescent="0.25">
      <c r="A38">
        <v>30</v>
      </c>
      <c r="B38" s="94">
        <v>45035</v>
      </c>
      <c r="C38" t="s">
        <v>376</v>
      </c>
      <c r="D38" t="s">
        <v>379</v>
      </c>
      <c r="E38" s="95">
        <v>-10000</v>
      </c>
      <c r="F38">
        <v>869</v>
      </c>
    </row>
    <row r="39" spans="1:6" hidden="1" x14ac:dyDescent="0.25">
      <c r="A39">
        <v>29</v>
      </c>
      <c r="B39" s="94">
        <v>45035</v>
      </c>
      <c r="C39" t="s">
        <v>376</v>
      </c>
      <c r="D39" t="s">
        <v>379</v>
      </c>
      <c r="E39" s="95">
        <v>-100</v>
      </c>
      <c r="F39">
        <v>873</v>
      </c>
    </row>
    <row r="40" spans="1:6" hidden="1" x14ac:dyDescent="0.25">
      <c r="A40">
        <v>28</v>
      </c>
      <c r="B40" s="94">
        <v>45035</v>
      </c>
      <c r="C40" t="s">
        <v>376</v>
      </c>
      <c r="D40" t="s">
        <v>407</v>
      </c>
      <c r="E40" s="95">
        <v>-4000</v>
      </c>
      <c r="F40">
        <v>8973</v>
      </c>
    </row>
    <row r="41" spans="1:6" hidden="1" x14ac:dyDescent="0.25">
      <c r="A41">
        <v>56</v>
      </c>
      <c r="B41" s="94">
        <v>45021</v>
      </c>
      <c r="C41" t="s">
        <v>376</v>
      </c>
      <c r="D41" t="s">
        <v>379</v>
      </c>
      <c r="E41" s="95">
        <v>-10000</v>
      </c>
      <c r="F41">
        <v>8716</v>
      </c>
    </row>
    <row r="42" spans="1:6" hidden="1" x14ac:dyDescent="0.25">
      <c r="A42">
        <v>55</v>
      </c>
      <c r="B42" s="94">
        <v>45021</v>
      </c>
      <c r="C42" t="s">
        <v>376</v>
      </c>
      <c r="D42" t="s">
        <v>379</v>
      </c>
      <c r="E42" s="95">
        <v>-10000</v>
      </c>
      <c r="F42">
        <v>8717</v>
      </c>
    </row>
    <row r="43" spans="1:6" hidden="1" x14ac:dyDescent="0.25">
      <c r="A43">
        <v>61</v>
      </c>
      <c r="B43" s="94">
        <v>45020</v>
      </c>
      <c r="C43" t="s">
        <v>376</v>
      </c>
      <c r="D43" t="s">
        <v>379</v>
      </c>
      <c r="E43" s="95">
        <v>-20000</v>
      </c>
      <c r="F43">
        <v>8342</v>
      </c>
    </row>
    <row r="44" spans="1:6" hidden="1" x14ac:dyDescent="0.25">
      <c r="A44">
        <v>44</v>
      </c>
      <c r="B44" s="94">
        <v>45027</v>
      </c>
      <c r="C44" t="s">
        <v>376</v>
      </c>
      <c r="D44" t="s">
        <v>379</v>
      </c>
      <c r="E44" s="95">
        <v>-10000</v>
      </c>
      <c r="F44">
        <v>7529</v>
      </c>
    </row>
    <row r="45" spans="1:6" hidden="1" x14ac:dyDescent="0.25">
      <c r="A45">
        <v>25</v>
      </c>
      <c r="B45" s="94">
        <v>45036</v>
      </c>
      <c r="C45" t="s">
        <v>409</v>
      </c>
      <c r="E45" s="95">
        <v>-900000</v>
      </c>
      <c r="F45">
        <v>51</v>
      </c>
    </row>
    <row r="46" spans="1:6" hidden="1" x14ac:dyDescent="0.25">
      <c r="A46">
        <v>3</v>
      </c>
      <c r="B46" s="94">
        <v>45044</v>
      </c>
      <c r="C46" t="s">
        <v>215</v>
      </c>
      <c r="E46" s="95">
        <v>-494.42</v>
      </c>
      <c r="F46">
        <v>0</v>
      </c>
    </row>
    <row r="47" spans="1:6" hidden="1" x14ac:dyDescent="0.25">
      <c r="A47">
        <v>68</v>
      </c>
      <c r="B47" s="94">
        <v>45017</v>
      </c>
      <c r="C47" t="s">
        <v>231</v>
      </c>
      <c r="E47" s="95">
        <v>51.64</v>
      </c>
      <c r="F47">
        <v>0</v>
      </c>
    </row>
    <row r="48" spans="1:6" hidden="1" x14ac:dyDescent="0.25">
      <c r="A48">
        <v>2</v>
      </c>
      <c r="B48" s="94">
        <v>45044</v>
      </c>
      <c r="C48" t="s">
        <v>214</v>
      </c>
      <c r="E48" s="95">
        <v>-2354.39</v>
      </c>
      <c r="F48">
        <v>0</v>
      </c>
    </row>
    <row r="49" spans="1:6" hidden="1" x14ac:dyDescent="0.25">
      <c r="A49">
        <v>62</v>
      </c>
      <c r="B49" s="94">
        <v>45019</v>
      </c>
      <c r="C49" t="s">
        <v>224</v>
      </c>
      <c r="D49" t="s">
        <v>225</v>
      </c>
      <c r="E49" s="95">
        <v>-88912.19</v>
      </c>
      <c r="F49">
        <v>396909</v>
      </c>
    </row>
    <row r="50" spans="1:6" hidden="1" x14ac:dyDescent="0.25">
      <c r="A50">
        <v>11</v>
      </c>
      <c r="B50" s="94">
        <v>45043</v>
      </c>
      <c r="C50" t="s">
        <v>437</v>
      </c>
      <c r="D50" t="s">
        <v>438</v>
      </c>
      <c r="E50" s="95">
        <v>263</v>
      </c>
      <c r="F50">
        <v>59705</v>
      </c>
    </row>
    <row r="51" spans="1:6" hidden="1" x14ac:dyDescent="0.25">
      <c r="A51">
        <v>5</v>
      </c>
      <c r="B51" s="94">
        <v>45043</v>
      </c>
      <c r="C51" t="s">
        <v>437</v>
      </c>
      <c r="D51" t="s">
        <v>439</v>
      </c>
      <c r="E51" s="95">
        <v>35</v>
      </c>
      <c r="F51">
        <v>824122</v>
      </c>
    </row>
    <row r="52" spans="1:6" hidden="1" x14ac:dyDescent="0.25">
      <c r="A52">
        <v>6</v>
      </c>
      <c r="B52" s="94">
        <v>45043</v>
      </c>
      <c r="C52" t="s">
        <v>437</v>
      </c>
      <c r="D52" t="s">
        <v>440</v>
      </c>
      <c r="E52" s="95">
        <v>90</v>
      </c>
      <c r="F52">
        <v>710499</v>
      </c>
    </row>
    <row r="53" spans="1:6" hidden="1" x14ac:dyDescent="0.25">
      <c r="A53">
        <v>7</v>
      </c>
      <c r="B53" s="94">
        <v>45043</v>
      </c>
      <c r="C53" t="s">
        <v>437</v>
      </c>
      <c r="D53" t="s">
        <v>441</v>
      </c>
      <c r="E53" s="95">
        <v>94</v>
      </c>
      <c r="F53">
        <v>566088</v>
      </c>
    </row>
    <row r="54" spans="1:6" hidden="1" x14ac:dyDescent="0.25">
      <c r="A54">
        <v>16</v>
      </c>
      <c r="B54" s="94">
        <v>45043</v>
      </c>
      <c r="C54" t="s">
        <v>437</v>
      </c>
      <c r="D54" t="s">
        <v>442</v>
      </c>
      <c r="E54" s="95">
        <v>532</v>
      </c>
      <c r="F54">
        <v>421428</v>
      </c>
    </row>
    <row r="55" spans="1:6" hidden="1" x14ac:dyDescent="0.25">
      <c r="A55">
        <v>15</v>
      </c>
      <c r="B55" s="94">
        <v>45043</v>
      </c>
      <c r="C55" t="s">
        <v>437</v>
      </c>
      <c r="D55" t="s">
        <v>443</v>
      </c>
      <c r="E55" s="95">
        <v>353.9</v>
      </c>
      <c r="F55">
        <v>997525</v>
      </c>
    </row>
    <row r="56" spans="1:6" hidden="1" x14ac:dyDescent="0.25">
      <c r="A56">
        <v>14</v>
      </c>
      <c r="B56" s="94">
        <v>45043</v>
      </c>
      <c r="C56" t="s">
        <v>437</v>
      </c>
      <c r="D56" t="s">
        <v>444</v>
      </c>
      <c r="E56" s="95">
        <v>326.39</v>
      </c>
      <c r="F56">
        <v>733879</v>
      </c>
    </row>
    <row r="57" spans="1:6" hidden="1" x14ac:dyDescent="0.25">
      <c r="A57">
        <v>13</v>
      </c>
      <c r="B57" s="94">
        <v>45043</v>
      </c>
      <c r="C57" t="s">
        <v>437</v>
      </c>
      <c r="D57" t="s">
        <v>445</v>
      </c>
      <c r="E57" s="95">
        <v>304.42</v>
      </c>
      <c r="F57">
        <v>25534</v>
      </c>
    </row>
    <row r="58" spans="1:6" hidden="1" x14ac:dyDescent="0.25">
      <c r="A58">
        <v>12</v>
      </c>
      <c r="B58" s="94">
        <v>45043</v>
      </c>
      <c r="C58" t="s">
        <v>437</v>
      </c>
      <c r="D58" t="s">
        <v>446</v>
      </c>
      <c r="E58" s="95">
        <v>292.60000000000002</v>
      </c>
      <c r="F58">
        <v>898812</v>
      </c>
    </row>
    <row r="59" spans="1:6" hidden="1" x14ac:dyDescent="0.25">
      <c r="A59">
        <v>8</v>
      </c>
      <c r="B59" s="94">
        <v>45043</v>
      </c>
      <c r="C59" t="s">
        <v>437</v>
      </c>
      <c r="D59" t="s">
        <v>447</v>
      </c>
      <c r="E59" s="95">
        <v>95</v>
      </c>
      <c r="F59">
        <v>965551</v>
      </c>
    </row>
    <row r="60" spans="1:6" hidden="1" x14ac:dyDescent="0.25">
      <c r="A60">
        <v>10</v>
      </c>
      <c r="B60" s="94">
        <v>45043</v>
      </c>
      <c r="C60" t="s">
        <v>437</v>
      </c>
      <c r="D60" t="s">
        <v>448</v>
      </c>
      <c r="E60" s="95">
        <v>185</v>
      </c>
      <c r="F60">
        <v>707560</v>
      </c>
    </row>
    <row r="61" spans="1:6" hidden="1" x14ac:dyDescent="0.25">
      <c r="A61">
        <v>9</v>
      </c>
      <c r="B61" s="94">
        <v>45043</v>
      </c>
      <c r="C61" t="s">
        <v>437</v>
      </c>
      <c r="D61" t="s">
        <v>449</v>
      </c>
      <c r="E61" s="95">
        <v>181.11</v>
      </c>
      <c r="F61">
        <v>502736</v>
      </c>
    </row>
    <row r="62" spans="1:6" hidden="1" x14ac:dyDescent="0.25">
      <c r="A62">
        <v>34</v>
      </c>
      <c r="B62" s="94">
        <v>45034</v>
      </c>
      <c r="C62" t="s">
        <v>358</v>
      </c>
      <c r="D62" t="s">
        <v>359</v>
      </c>
      <c r="E62" s="95">
        <v>6500</v>
      </c>
      <c r="F62">
        <v>365463</v>
      </c>
    </row>
    <row r="63" spans="1:6" hidden="1" x14ac:dyDescent="0.25">
      <c r="A63">
        <v>51</v>
      </c>
      <c r="B63" s="94">
        <v>45026</v>
      </c>
      <c r="C63" t="s">
        <v>217</v>
      </c>
      <c r="D63" t="s">
        <v>382</v>
      </c>
      <c r="E63" s="95">
        <v>-7000</v>
      </c>
      <c r="F63">
        <v>681092</v>
      </c>
    </row>
    <row r="64" spans="1:6" hidden="1" x14ac:dyDescent="0.25">
      <c r="A64">
        <v>24</v>
      </c>
      <c r="B64" s="94">
        <v>45036</v>
      </c>
      <c r="C64" t="s">
        <v>217</v>
      </c>
      <c r="D64" t="s">
        <v>450</v>
      </c>
      <c r="E64" s="95">
        <v>-12000</v>
      </c>
      <c r="F64">
        <v>137155</v>
      </c>
    </row>
    <row r="65" spans="1:6" hidden="1" x14ac:dyDescent="0.25">
      <c r="A65">
        <v>67</v>
      </c>
      <c r="B65" s="94">
        <v>45019</v>
      </c>
      <c r="C65" t="s">
        <v>217</v>
      </c>
      <c r="D65" t="s">
        <v>451</v>
      </c>
      <c r="E65" s="95">
        <v>-20000</v>
      </c>
      <c r="F65">
        <v>861618</v>
      </c>
    </row>
    <row r="66" spans="1:6" hidden="1" x14ac:dyDescent="0.25">
      <c r="A66">
        <v>37</v>
      </c>
      <c r="B66" s="94">
        <v>45033</v>
      </c>
      <c r="C66" t="s">
        <v>217</v>
      </c>
      <c r="D66" t="s">
        <v>451</v>
      </c>
      <c r="E66" s="95">
        <v>-28000</v>
      </c>
      <c r="F66">
        <v>285763</v>
      </c>
    </row>
    <row r="67" spans="1:6" hidden="1" x14ac:dyDescent="0.25">
      <c r="A67">
        <v>4</v>
      </c>
      <c r="B67" s="94">
        <v>45043</v>
      </c>
      <c r="C67" t="s">
        <v>217</v>
      </c>
      <c r="D67" t="s">
        <v>452</v>
      </c>
      <c r="E67" s="95">
        <v>-24111.41</v>
      </c>
      <c r="F67">
        <v>903013</v>
      </c>
    </row>
    <row r="68" spans="1:6" hidden="1" x14ac:dyDescent="0.25">
      <c r="A68">
        <v>41</v>
      </c>
      <c r="B68" s="94">
        <v>45029</v>
      </c>
      <c r="C68" t="s">
        <v>217</v>
      </c>
      <c r="D68" t="s">
        <v>453</v>
      </c>
      <c r="E68" s="95">
        <v>-49000</v>
      </c>
      <c r="F68">
        <v>78520</v>
      </c>
    </row>
    <row r="69" spans="1:6" hidden="1" x14ac:dyDescent="0.25">
      <c r="A69">
        <v>43</v>
      </c>
      <c r="B69" s="94">
        <v>45028</v>
      </c>
      <c r="C69" t="s">
        <v>217</v>
      </c>
      <c r="D69" t="s">
        <v>454</v>
      </c>
      <c r="E69" s="95">
        <v>-9000</v>
      </c>
      <c r="F69">
        <v>970592</v>
      </c>
    </row>
    <row r="70" spans="1:6" hidden="1" x14ac:dyDescent="0.25">
      <c r="A70">
        <v>42</v>
      </c>
      <c r="B70" s="94">
        <v>45029</v>
      </c>
      <c r="C70" t="s">
        <v>217</v>
      </c>
      <c r="D70" t="s">
        <v>455</v>
      </c>
      <c r="E70" s="95">
        <v>-110000</v>
      </c>
      <c r="F70">
        <v>724438</v>
      </c>
    </row>
    <row r="71" spans="1:6" hidden="1" x14ac:dyDescent="0.25">
      <c r="A71">
        <v>54</v>
      </c>
      <c r="B71" s="94">
        <v>45051</v>
      </c>
      <c r="C71" t="s">
        <v>226</v>
      </c>
      <c r="D71" t="s">
        <v>227</v>
      </c>
      <c r="E71" s="95">
        <v>499330.36</v>
      </c>
      <c r="F71">
        <v>0</v>
      </c>
    </row>
    <row r="72" spans="1:6" hidden="1" x14ac:dyDescent="0.25">
      <c r="A72">
        <v>28</v>
      </c>
      <c r="B72" s="94">
        <v>45063</v>
      </c>
      <c r="C72" t="s">
        <v>211</v>
      </c>
      <c r="D72" t="s">
        <v>268</v>
      </c>
      <c r="E72" s="95">
        <v>-2550</v>
      </c>
      <c r="F72">
        <v>49273</v>
      </c>
    </row>
    <row r="73" spans="1:6" hidden="1" x14ac:dyDescent="0.25">
      <c r="A73">
        <v>56</v>
      </c>
      <c r="B73" s="94">
        <v>45050</v>
      </c>
      <c r="C73" t="s">
        <v>211</v>
      </c>
      <c r="D73" t="s">
        <v>297</v>
      </c>
      <c r="E73" s="95">
        <v>-1700</v>
      </c>
      <c r="F73">
        <v>36920</v>
      </c>
    </row>
    <row r="74" spans="1:6" hidden="1" x14ac:dyDescent="0.25">
      <c r="A74">
        <v>29</v>
      </c>
      <c r="B74" s="94">
        <v>45062</v>
      </c>
      <c r="C74" t="s">
        <v>211</v>
      </c>
      <c r="D74" t="s">
        <v>328</v>
      </c>
      <c r="E74" s="95">
        <v>-1454.99</v>
      </c>
      <c r="F74">
        <v>343692</v>
      </c>
    </row>
    <row r="75" spans="1:6" hidden="1" x14ac:dyDescent="0.25">
      <c r="A75">
        <v>30</v>
      </c>
      <c r="B75" s="94">
        <v>45061</v>
      </c>
      <c r="C75" t="s">
        <v>211</v>
      </c>
      <c r="D75" t="s">
        <v>269</v>
      </c>
      <c r="E75" s="95">
        <v>-780</v>
      </c>
      <c r="F75">
        <v>95115</v>
      </c>
    </row>
    <row r="76" spans="1:6" hidden="1" x14ac:dyDescent="0.25">
      <c r="A76">
        <v>31</v>
      </c>
      <c r="B76" s="94">
        <v>45061</v>
      </c>
      <c r="C76" t="s">
        <v>211</v>
      </c>
      <c r="D76" t="s">
        <v>242</v>
      </c>
      <c r="E76" s="95">
        <v>-1000</v>
      </c>
      <c r="F76">
        <v>42879</v>
      </c>
    </row>
    <row r="77" spans="1:6" hidden="1" x14ac:dyDescent="0.25">
      <c r="A77">
        <v>32</v>
      </c>
      <c r="B77" s="94">
        <v>45061</v>
      </c>
      <c r="C77" t="s">
        <v>211</v>
      </c>
      <c r="D77" t="s">
        <v>464</v>
      </c>
      <c r="E77" s="95">
        <v>-3230</v>
      </c>
      <c r="F77">
        <v>92173</v>
      </c>
    </row>
    <row r="78" spans="1:6" hidden="1" x14ac:dyDescent="0.25">
      <c r="A78">
        <v>70</v>
      </c>
      <c r="B78" s="94">
        <v>45048</v>
      </c>
      <c r="C78" t="s">
        <v>211</v>
      </c>
      <c r="D78" t="s">
        <v>328</v>
      </c>
      <c r="E78" s="95">
        <v>-254.9</v>
      </c>
      <c r="F78">
        <v>786355</v>
      </c>
    </row>
    <row r="79" spans="1:6" hidden="1" x14ac:dyDescent="0.25">
      <c r="A79">
        <v>36</v>
      </c>
      <c r="B79" s="94">
        <v>45058</v>
      </c>
      <c r="C79" t="s">
        <v>211</v>
      </c>
      <c r="D79" t="s">
        <v>465</v>
      </c>
      <c r="E79" s="95">
        <v>-850</v>
      </c>
      <c r="F79">
        <v>272974</v>
      </c>
    </row>
    <row r="80" spans="1:6" hidden="1" x14ac:dyDescent="0.25">
      <c r="A80">
        <v>64</v>
      </c>
      <c r="B80" s="94">
        <v>45048</v>
      </c>
      <c r="C80" t="s">
        <v>211</v>
      </c>
      <c r="D80" t="s">
        <v>466</v>
      </c>
      <c r="E80" s="95">
        <v>-2040</v>
      </c>
      <c r="F80">
        <v>21152</v>
      </c>
    </row>
    <row r="81" spans="1:6" hidden="1" x14ac:dyDescent="0.25">
      <c r="A81">
        <v>38</v>
      </c>
      <c r="B81" s="94">
        <v>45057</v>
      </c>
      <c r="C81" t="s">
        <v>211</v>
      </c>
      <c r="D81" t="s">
        <v>268</v>
      </c>
      <c r="E81" s="95">
        <v>-4270</v>
      </c>
      <c r="F81">
        <v>728336</v>
      </c>
    </row>
    <row r="82" spans="1:6" hidden="1" x14ac:dyDescent="0.25">
      <c r="A82">
        <v>42</v>
      </c>
      <c r="B82" s="94">
        <v>45055</v>
      </c>
      <c r="C82" t="s">
        <v>211</v>
      </c>
      <c r="D82" t="s">
        <v>268</v>
      </c>
      <c r="E82" s="95">
        <v>-900</v>
      </c>
      <c r="F82">
        <v>461475</v>
      </c>
    </row>
    <row r="83" spans="1:6" hidden="1" x14ac:dyDescent="0.25">
      <c r="A83">
        <v>43</v>
      </c>
      <c r="B83" s="94">
        <v>45055</v>
      </c>
      <c r="C83" t="s">
        <v>211</v>
      </c>
      <c r="D83" t="s">
        <v>354</v>
      </c>
      <c r="E83" s="95">
        <v>-1990</v>
      </c>
      <c r="F83">
        <v>86872</v>
      </c>
    </row>
    <row r="84" spans="1:6" hidden="1" x14ac:dyDescent="0.25">
      <c r="A84">
        <v>63</v>
      </c>
      <c r="B84" s="94">
        <v>45048</v>
      </c>
      <c r="C84" t="s">
        <v>211</v>
      </c>
      <c r="D84" t="s">
        <v>392</v>
      </c>
      <c r="E84" s="95">
        <v>-2640</v>
      </c>
      <c r="F84">
        <v>47617</v>
      </c>
    </row>
    <row r="85" spans="1:6" hidden="1" x14ac:dyDescent="0.25">
      <c r="A85">
        <v>45</v>
      </c>
      <c r="B85" s="94">
        <v>45054</v>
      </c>
      <c r="C85" t="s">
        <v>211</v>
      </c>
      <c r="D85" t="s">
        <v>269</v>
      </c>
      <c r="E85" s="95">
        <v>-380</v>
      </c>
      <c r="F85">
        <v>94808</v>
      </c>
    </row>
    <row r="86" spans="1:6" hidden="1" x14ac:dyDescent="0.25">
      <c r="A86">
        <v>46</v>
      </c>
      <c r="B86" s="94">
        <v>45054</v>
      </c>
      <c r="C86" t="s">
        <v>211</v>
      </c>
      <c r="D86" t="s">
        <v>354</v>
      </c>
      <c r="E86" s="95">
        <v>-1360</v>
      </c>
      <c r="F86">
        <v>84365</v>
      </c>
    </row>
    <row r="87" spans="1:6" hidden="1" x14ac:dyDescent="0.25">
      <c r="A87">
        <v>47</v>
      </c>
      <c r="B87" s="94">
        <v>45054</v>
      </c>
      <c r="C87" t="s">
        <v>211</v>
      </c>
      <c r="D87" t="s">
        <v>269</v>
      </c>
      <c r="E87" s="95">
        <v>-550</v>
      </c>
      <c r="F87">
        <v>94751</v>
      </c>
    </row>
    <row r="88" spans="1:6" hidden="1" x14ac:dyDescent="0.25">
      <c r="A88">
        <v>48</v>
      </c>
      <c r="B88" s="94">
        <v>45054</v>
      </c>
      <c r="C88" t="s">
        <v>211</v>
      </c>
      <c r="D88" t="s">
        <v>216</v>
      </c>
      <c r="E88" s="95">
        <v>-3166.1</v>
      </c>
      <c r="F88">
        <v>563773</v>
      </c>
    </row>
    <row r="89" spans="1:6" hidden="1" x14ac:dyDescent="0.25">
      <c r="A89">
        <v>59</v>
      </c>
      <c r="B89" s="94">
        <v>45050</v>
      </c>
      <c r="C89" t="s">
        <v>211</v>
      </c>
      <c r="D89" t="s">
        <v>278</v>
      </c>
      <c r="E89" s="95">
        <v>-4481.43</v>
      </c>
      <c r="F89">
        <v>293243</v>
      </c>
    </row>
    <row r="90" spans="1:6" hidden="1" x14ac:dyDescent="0.25">
      <c r="A90">
        <v>52</v>
      </c>
      <c r="B90" s="94">
        <v>45051</v>
      </c>
      <c r="C90" t="s">
        <v>211</v>
      </c>
      <c r="D90" t="s">
        <v>467</v>
      </c>
      <c r="E90" s="95">
        <v>-24420</v>
      </c>
      <c r="F90">
        <v>115709</v>
      </c>
    </row>
    <row r="91" spans="1:6" hidden="1" x14ac:dyDescent="0.25">
      <c r="A91">
        <v>58</v>
      </c>
      <c r="B91" s="94">
        <v>45050</v>
      </c>
      <c r="C91" t="s">
        <v>211</v>
      </c>
      <c r="D91" t="s">
        <v>468</v>
      </c>
      <c r="E91" s="95">
        <v>-2040</v>
      </c>
      <c r="F91">
        <v>70909</v>
      </c>
    </row>
    <row r="92" spans="1:6" hidden="1" x14ac:dyDescent="0.25">
      <c r="A92">
        <v>65</v>
      </c>
      <c r="B92" s="94">
        <v>45048</v>
      </c>
      <c r="C92" t="s">
        <v>211</v>
      </c>
      <c r="D92" t="s">
        <v>369</v>
      </c>
      <c r="E92" s="95">
        <v>-10000</v>
      </c>
      <c r="F92">
        <v>13676</v>
      </c>
    </row>
    <row r="93" spans="1:6" hidden="1" x14ac:dyDescent="0.25">
      <c r="A93">
        <v>66</v>
      </c>
      <c r="B93" s="94">
        <v>45048</v>
      </c>
      <c r="C93" t="s">
        <v>211</v>
      </c>
      <c r="D93" t="s">
        <v>329</v>
      </c>
      <c r="E93" s="95">
        <v>-2250</v>
      </c>
      <c r="F93">
        <v>71154</v>
      </c>
    </row>
    <row r="94" spans="1:6" hidden="1" x14ac:dyDescent="0.25">
      <c r="A94">
        <v>57</v>
      </c>
      <c r="B94" s="94">
        <v>45050</v>
      </c>
      <c r="C94" t="s">
        <v>211</v>
      </c>
      <c r="D94" t="s">
        <v>469</v>
      </c>
      <c r="E94" s="95">
        <v>-10000</v>
      </c>
      <c r="F94">
        <v>88754</v>
      </c>
    </row>
    <row r="95" spans="1:6" hidden="1" x14ac:dyDescent="0.25">
      <c r="A95">
        <v>22</v>
      </c>
      <c r="B95" s="94">
        <v>45064</v>
      </c>
      <c r="C95" t="s">
        <v>211</v>
      </c>
      <c r="D95" t="s">
        <v>470</v>
      </c>
      <c r="E95" s="95">
        <v>-6500</v>
      </c>
      <c r="F95">
        <v>294785</v>
      </c>
    </row>
    <row r="96" spans="1:6" hidden="1" x14ac:dyDescent="0.25">
      <c r="A96">
        <v>6</v>
      </c>
      <c r="B96" s="94">
        <v>45075</v>
      </c>
      <c r="C96" t="s">
        <v>211</v>
      </c>
      <c r="D96" t="s">
        <v>471</v>
      </c>
      <c r="E96" s="95">
        <v>-1240</v>
      </c>
      <c r="F96">
        <v>132830</v>
      </c>
    </row>
    <row r="97" spans="1:6" hidden="1" x14ac:dyDescent="0.25">
      <c r="A97">
        <v>7</v>
      </c>
      <c r="B97" s="94">
        <v>45075</v>
      </c>
      <c r="C97" t="s">
        <v>211</v>
      </c>
      <c r="D97" t="s">
        <v>354</v>
      </c>
      <c r="E97" s="95">
        <v>-2170</v>
      </c>
      <c r="F97">
        <v>93356</v>
      </c>
    </row>
    <row r="98" spans="1:6" hidden="1" x14ac:dyDescent="0.25">
      <c r="A98">
        <v>8</v>
      </c>
      <c r="B98" s="94">
        <v>45075</v>
      </c>
      <c r="C98" t="s">
        <v>211</v>
      </c>
      <c r="D98" t="s">
        <v>472</v>
      </c>
      <c r="E98" s="95">
        <v>-1560</v>
      </c>
      <c r="F98">
        <v>17438</v>
      </c>
    </row>
    <row r="99" spans="1:6" hidden="1" x14ac:dyDescent="0.25">
      <c r="A99">
        <v>9</v>
      </c>
      <c r="B99" s="94">
        <v>45075</v>
      </c>
      <c r="C99" t="s">
        <v>211</v>
      </c>
      <c r="D99" t="s">
        <v>472</v>
      </c>
      <c r="E99" s="95">
        <v>-600</v>
      </c>
      <c r="F99">
        <v>40276</v>
      </c>
    </row>
    <row r="100" spans="1:6" hidden="1" x14ac:dyDescent="0.25">
      <c r="A100">
        <v>10</v>
      </c>
      <c r="B100" s="94">
        <v>45075</v>
      </c>
      <c r="C100" t="s">
        <v>211</v>
      </c>
      <c r="D100" t="s">
        <v>273</v>
      </c>
      <c r="E100" s="95">
        <v>-220</v>
      </c>
      <c r="F100">
        <v>17108</v>
      </c>
    </row>
    <row r="101" spans="1:6" hidden="1" x14ac:dyDescent="0.25">
      <c r="A101">
        <v>69</v>
      </c>
      <c r="B101" s="94">
        <v>45048</v>
      </c>
      <c r="C101" t="s">
        <v>211</v>
      </c>
      <c r="D101" t="s">
        <v>372</v>
      </c>
      <c r="E101" s="95">
        <v>-11500</v>
      </c>
      <c r="F101">
        <v>600241</v>
      </c>
    </row>
    <row r="102" spans="1:6" hidden="1" x14ac:dyDescent="0.25">
      <c r="A102">
        <v>23</v>
      </c>
      <c r="B102" s="94">
        <v>45064</v>
      </c>
      <c r="C102" t="s">
        <v>211</v>
      </c>
      <c r="D102" t="s">
        <v>473</v>
      </c>
      <c r="E102" s="95">
        <v>-2548.98</v>
      </c>
      <c r="F102">
        <v>96104</v>
      </c>
    </row>
    <row r="103" spans="1:6" hidden="1" x14ac:dyDescent="0.25">
      <c r="A103">
        <v>68</v>
      </c>
      <c r="B103" s="94">
        <v>45048</v>
      </c>
      <c r="C103" t="s">
        <v>211</v>
      </c>
      <c r="D103" t="s">
        <v>245</v>
      </c>
      <c r="E103" s="95">
        <v>-1629.6</v>
      </c>
      <c r="F103">
        <v>61072</v>
      </c>
    </row>
    <row r="104" spans="1:6" hidden="1" x14ac:dyDescent="0.25">
      <c r="A104">
        <v>13</v>
      </c>
      <c r="B104" s="94">
        <v>45069</v>
      </c>
      <c r="C104" t="s">
        <v>211</v>
      </c>
      <c r="D104" t="s">
        <v>366</v>
      </c>
      <c r="E104" s="95">
        <v>-1272</v>
      </c>
      <c r="F104">
        <v>124752</v>
      </c>
    </row>
    <row r="105" spans="1:6" hidden="1" x14ac:dyDescent="0.25">
      <c r="A105">
        <v>5</v>
      </c>
      <c r="B105" s="94">
        <v>45075</v>
      </c>
      <c r="C105" t="s">
        <v>211</v>
      </c>
      <c r="D105" t="s">
        <v>242</v>
      </c>
      <c r="E105" s="95">
        <v>-1640</v>
      </c>
      <c r="F105">
        <v>36873</v>
      </c>
    </row>
    <row r="106" spans="1:6" hidden="1" x14ac:dyDescent="0.25">
      <c r="A106">
        <v>14</v>
      </c>
      <c r="B106" s="94">
        <v>45068</v>
      </c>
      <c r="C106" t="s">
        <v>211</v>
      </c>
      <c r="D106" t="s">
        <v>245</v>
      </c>
      <c r="E106" s="95">
        <v>-6456.95</v>
      </c>
      <c r="F106">
        <v>61939</v>
      </c>
    </row>
    <row r="107" spans="1:6" hidden="1" x14ac:dyDescent="0.25">
      <c r="A107">
        <v>4</v>
      </c>
      <c r="B107" s="94">
        <v>45076</v>
      </c>
      <c r="C107" t="s">
        <v>211</v>
      </c>
      <c r="D107" t="s">
        <v>278</v>
      </c>
      <c r="E107" s="95">
        <v>-4401.1000000000004</v>
      </c>
      <c r="F107">
        <v>162276</v>
      </c>
    </row>
    <row r="108" spans="1:6" hidden="1" x14ac:dyDescent="0.25">
      <c r="A108">
        <v>16</v>
      </c>
      <c r="B108" s="94">
        <v>45068</v>
      </c>
      <c r="C108" t="s">
        <v>211</v>
      </c>
      <c r="D108" t="s">
        <v>269</v>
      </c>
      <c r="E108" s="95">
        <v>-1470</v>
      </c>
      <c r="F108">
        <v>95342</v>
      </c>
    </row>
    <row r="109" spans="1:6" hidden="1" x14ac:dyDescent="0.25">
      <c r="A109">
        <v>3</v>
      </c>
      <c r="B109" s="94">
        <v>45076</v>
      </c>
      <c r="C109" t="s">
        <v>211</v>
      </c>
      <c r="D109" t="s">
        <v>474</v>
      </c>
      <c r="E109" s="95">
        <v>-2790</v>
      </c>
      <c r="F109">
        <v>41418</v>
      </c>
    </row>
    <row r="110" spans="1:6" hidden="1" x14ac:dyDescent="0.25">
      <c r="A110">
        <v>67</v>
      </c>
      <c r="B110" s="94">
        <v>45048</v>
      </c>
      <c r="C110" t="s">
        <v>211</v>
      </c>
      <c r="D110" t="s">
        <v>392</v>
      </c>
      <c r="E110" s="95">
        <v>-1650</v>
      </c>
      <c r="F110">
        <v>41177</v>
      </c>
    </row>
    <row r="111" spans="1:6" hidden="1" x14ac:dyDescent="0.25">
      <c r="A111">
        <v>20</v>
      </c>
      <c r="B111" s="94">
        <v>45065</v>
      </c>
      <c r="C111" t="s">
        <v>211</v>
      </c>
      <c r="D111" t="s">
        <v>475</v>
      </c>
      <c r="E111" s="95">
        <v>-2060</v>
      </c>
      <c r="F111">
        <v>231513</v>
      </c>
    </row>
    <row r="112" spans="1:6" hidden="1" x14ac:dyDescent="0.25">
      <c r="A112">
        <v>21</v>
      </c>
      <c r="B112" s="94">
        <v>45065</v>
      </c>
      <c r="C112" t="s">
        <v>211</v>
      </c>
      <c r="D112" t="s">
        <v>278</v>
      </c>
      <c r="E112" s="95">
        <v>-5785.16</v>
      </c>
      <c r="F112">
        <v>217407</v>
      </c>
    </row>
    <row r="113" spans="1:6" hidden="1" x14ac:dyDescent="0.25">
      <c r="A113">
        <v>2</v>
      </c>
      <c r="B113" s="94">
        <v>45076</v>
      </c>
      <c r="C113" t="s">
        <v>211</v>
      </c>
      <c r="D113" t="s">
        <v>219</v>
      </c>
      <c r="E113" s="95">
        <v>-1437.8</v>
      </c>
      <c r="F113">
        <v>270488</v>
      </c>
    </row>
    <row r="114" spans="1:6" hidden="1" x14ac:dyDescent="0.25">
      <c r="A114">
        <v>15</v>
      </c>
      <c r="B114" s="94">
        <v>45068</v>
      </c>
      <c r="C114" t="s">
        <v>211</v>
      </c>
      <c r="D114" t="s">
        <v>216</v>
      </c>
      <c r="E114" s="95">
        <v>-2810.09</v>
      </c>
      <c r="F114">
        <v>356429</v>
      </c>
    </row>
    <row r="115" spans="1:6" hidden="1" x14ac:dyDescent="0.25">
      <c r="A115">
        <v>49</v>
      </c>
      <c r="B115" s="94">
        <v>45054</v>
      </c>
      <c r="C115" t="s">
        <v>221</v>
      </c>
      <c r="D115" t="s">
        <v>257</v>
      </c>
      <c r="E115" s="95">
        <v>107000</v>
      </c>
      <c r="F115">
        <v>628599</v>
      </c>
    </row>
    <row r="116" spans="1:6" hidden="1" x14ac:dyDescent="0.25">
      <c r="A116">
        <v>34</v>
      </c>
      <c r="B116" s="94">
        <v>45061</v>
      </c>
      <c r="C116" t="s">
        <v>244</v>
      </c>
      <c r="D116" t="s">
        <v>476</v>
      </c>
      <c r="E116" s="95">
        <v>-3550</v>
      </c>
      <c r="F116">
        <v>915787</v>
      </c>
    </row>
    <row r="117" spans="1:6" hidden="1" x14ac:dyDescent="0.25">
      <c r="A117">
        <v>50</v>
      </c>
      <c r="B117" s="94">
        <v>45054</v>
      </c>
      <c r="C117" t="s">
        <v>435</v>
      </c>
      <c r="D117" t="s">
        <v>477</v>
      </c>
      <c r="E117" s="95">
        <v>-237166.39</v>
      </c>
      <c r="F117">
        <v>477334</v>
      </c>
    </row>
    <row r="118" spans="1:6" hidden="1" x14ac:dyDescent="0.25">
      <c r="A118">
        <v>25</v>
      </c>
      <c r="B118" s="94">
        <v>45064</v>
      </c>
      <c r="C118" t="s">
        <v>478</v>
      </c>
      <c r="E118" s="95">
        <v>-48500</v>
      </c>
      <c r="F118">
        <v>934393</v>
      </c>
    </row>
    <row r="119" spans="1:6" hidden="1" x14ac:dyDescent="0.25">
      <c r="A119">
        <v>39</v>
      </c>
      <c r="B119" s="94">
        <v>45057</v>
      </c>
      <c r="C119" t="s">
        <v>229</v>
      </c>
      <c r="D119" t="s">
        <v>230</v>
      </c>
      <c r="E119" s="95">
        <v>-10000</v>
      </c>
      <c r="F119">
        <v>7568</v>
      </c>
    </row>
    <row r="120" spans="1:6" hidden="1" x14ac:dyDescent="0.25">
      <c r="A120">
        <v>53</v>
      </c>
      <c r="B120" s="94">
        <v>45051</v>
      </c>
      <c r="C120" t="s">
        <v>376</v>
      </c>
      <c r="D120" t="s">
        <v>379</v>
      </c>
      <c r="E120" s="95">
        <v>-10000</v>
      </c>
      <c r="F120">
        <v>3770</v>
      </c>
    </row>
    <row r="121" spans="1:6" hidden="1" x14ac:dyDescent="0.25">
      <c r="A121">
        <v>40</v>
      </c>
      <c r="B121" s="94">
        <v>45056</v>
      </c>
      <c r="C121" t="s">
        <v>376</v>
      </c>
      <c r="D121" t="s">
        <v>379</v>
      </c>
      <c r="E121" s="95">
        <v>-1000</v>
      </c>
      <c r="F121">
        <v>4781</v>
      </c>
    </row>
    <row r="122" spans="1:6" hidden="1" x14ac:dyDescent="0.25">
      <c r="A122">
        <v>33</v>
      </c>
      <c r="B122" s="94">
        <v>45061</v>
      </c>
      <c r="C122" t="s">
        <v>376</v>
      </c>
      <c r="D122" t="s">
        <v>379</v>
      </c>
      <c r="E122" s="95">
        <v>-4000</v>
      </c>
      <c r="F122">
        <v>5561</v>
      </c>
    </row>
    <row r="123" spans="1:6" hidden="1" x14ac:dyDescent="0.25">
      <c r="A123">
        <v>17</v>
      </c>
      <c r="B123" s="94">
        <v>45068</v>
      </c>
      <c r="C123" t="s">
        <v>376</v>
      </c>
      <c r="D123" t="s">
        <v>379</v>
      </c>
      <c r="E123" s="95">
        <v>-5000</v>
      </c>
      <c r="F123">
        <v>6784</v>
      </c>
    </row>
    <row r="124" spans="1:6" hidden="1" x14ac:dyDescent="0.25">
      <c r="A124">
        <v>18</v>
      </c>
      <c r="B124" s="94">
        <v>45068</v>
      </c>
      <c r="C124" t="s">
        <v>376</v>
      </c>
      <c r="D124" t="s">
        <v>379</v>
      </c>
      <c r="E124" s="95">
        <v>-10000</v>
      </c>
      <c r="F124">
        <v>6783</v>
      </c>
    </row>
    <row r="125" spans="1:6" hidden="1" x14ac:dyDescent="0.25">
      <c r="A125">
        <v>41</v>
      </c>
      <c r="B125" s="94">
        <v>45056</v>
      </c>
      <c r="C125" t="s">
        <v>376</v>
      </c>
      <c r="D125" t="s">
        <v>379</v>
      </c>
      <c r="E125" s="95">
        <v>-10000</v>
      </c>
      <c r="F125">
        <v>4780</v>
      </c>
    </row>
    <row r="126" spans="1:6" hidden="1" x14ac:dyDescent="0.25">
      <c r="A126">
        <v>26</v>
      </c>
      <c r="B126" s="94">
        <v>45064</v>
      </c>
      <c r="C126" t="s">
        <v>479</v>
      </c>
      <c r="E126" s="95">
        <v>-14550</v>
      </c>
      <c r="F126">
        <v>934393</v>
      </c>
    </row>
    <row r="127" spans="1:6" hidden="1" x14ac:dyDescent="0.25">
      <c r="A127">
        <v>1</v>
      </c>
      <c r="B127" s="94">
        <v>45077</v>
      </c>
      <c r="C127" t="s">
        <v>215</v>
      </c>
      <c r="E127" s="95">
        <v>-494.42</v>
      </c>
      <c r="F127">
        <v>0</v>
      </c>
    </row>
    <row r="128" spans="1:6" hidden="1" x14ac:dyDescent="0.25">
      <c r="A128">
        <v>71</v>
      </c>
      <c r="B128" s="94">
        <v>45047</v>
      </c>
      <c r="C128" t="s">
        <v>231</v>
      </c>
      <c r="E128" s="95">
        <v>49.24</v>
      </c>
      <c r="F128">
        <v>0</v>
      </c>
    </row>
    <row r="129" spans="1:6" hidden="1" x14ac:dyDescent="0.25">
      <c r="A129">
        <v>0</v>
      </c>
      <c r="B129" s="94">
        <v>45077</v>
      </c>
      <c r="C129" t="s">
        <v>214</v>
      </c>
      <c r="E129" s="95">
        <v>-2354.39</v>
      </c>
      <c r="F129">
        <v>0</v>
      </c>
    </row>
    <row r="130" spans="1:6" hidden="1" x14ac:dyDescent="0.25">
      <c r="A130">
        <v>61</v>
      </c>
      <c r="B130" s="94">
        <v>45049</v>
      </c>
      <c r="C130" t="s">
        <v>218</v>
      </c>
      <c r="D130" t="s">
        <v>276</v>
      </c>
      <c r="E130" s="95">
        <v>-691.86</v>
      </c>
      <c r="F130">
        <v>946765</v>
      </c>
    </row>
    <row r="131" spans="1:6" hidden="1" x14ac:dyDescent="0.25">
      <c r="A131">
        <v>27</v>
      </c>
      <c r="B131" s="94">
        <v>45064</v>
      </c>
      <c r="C131" t="s">
        <v>480</v>
      </c>
      <c r="E131" s="95">
        <v>-16975</v>
      </c>
      <c r="F131">
        <v>934393</v>
      </c>
    </row>
    <row r="132" spans="1:6" hidden="1" x14ac:dyDescent="0.25">
      <c r="A132">
        <v>62</v>
      </c>
      <c r="B132" s="94">
        <v>45048</v>
      </c>
      <c r="C132" t="s">
        <v>224</v>
      </c>
      <c r="D132" t="s">
        <v>225</v>
      </c>
      <c r="E132" s="95">
        <v>-97376.07</v>
      </c>
      <c r="F132">
        <v>142230</v>
      </c>
    </row>
    <row r="133" spans="1:6" hidden="1" x14ac:dyDescent="0.25">
      <c r="A133">
        <v>51</v>
      </c>
      <c r="B133" s="94">
        <v>45054</v>
      </c>
      <c r="C133" t="s">
        <v>481</v>
      </c>
      <c r="D133" t="s">
        <v>482</v>
      </c>
      <c r="E133" s="95">
        <v>20000</v>
      </c>
      <c r="F133">
        <v>581904</v>
      </c>
    </row>
    <row r="134" spans="1:6" hidden="1" x14ac:dyDescent="0.25">
      <c r="A134">
        <v>35</v>
      </c>
      <c r="B134" s="94">
        <v>45061</v>
      </c>
      <c r="C134" t="s">
        <v>358</v>
      </c>
      <c r="D134" t="s">
        <v>483</v>
      </c>
      <c r="E134" s="95">
        <v>32000</v>
      </c>
      <c r="F134">
        <v>736886</v>
      </c>
    </row>
    <row r="135" spans="1:6" hidden="1" x14ac:dyDescent="0.25">
      <c r="A135">
        <v>60</v>
      </c>
      <c r="B135" s="94">
        <v>45050</v>
      </c>
      <c r="C135" t="s">
        <v>217</v>
      </c>
      <c r="D135" t="s">
        <v>484</v>
      </c>
      <c r="E135" s="95">
        <v>-11000</v>
      </c>
      <c r="F135">
        <v>290453</v>
      </c>
    </row>
    <row r="136" spans="1:6" hidden="1" x14ac:dyDescent="0.25">
      <c r="A136">
        <v>44</v>
      </c>
      <c r="B136" s="94">
        <v>45055</v>
      </c>
      <c r="C136" t="s">
        <v>217</v>
      </c>
      <c r="D136" t="s">
        <v>485</v>
      </c>
      <c r="E136" s="95">
        <v>-5000</v>
      </c>
      <c r="F136">
        <v>755919</v>
      </c>
    </row>
    <row r="137" spans="1:6" hidden="1" x14ac:dyDescent="0.25">
      <c r="A137">
        <v>37</v>
      </c>
      <c r="B137" s="94">
        <v>45058</v>
      </c>
      <c r="C137" t="s">
        <v>217</v>
      </c>
      <c r="D137" t="s">
        <v>413</v>
      </c>
      <c r="E137" s="95">
        <v>-30000</v>
      </c>
      <c r="F137">
        <v>964131</v>
      </c>
    </row>
    <row r="138" spans="1:6" hidden="1" x14ac:dyDescent="0.25">
      <c r="A138">
        <v>24</v>
      </c>
      <c r="B138" s="94">
        <v>45064</v>
      </c>
      <c r="C138" t="s">
        <v>217</v>
      </c>
      <c r="D138" t="s">
        <v>486</v>
      </c>
      <c r="E138" s="95">
        <v>-6000</v>
      </c>
      <c r="F138">
        <v>354326</v>
      </c>
    </row>
    <row r="139" spans="1:6" hidden="1" x14ac:dyDescent="0.25">
      <c r="A139">
        <v>19</v>
      </c>
      <c r="B139" s="94">
        <v>45068</v>
      </c>
      <c r="C139" t="s">
        <v>217</v>
      </c>
      <c r="D139" t="s">
        <v>451</v>
      </c>
      <c r="E139" s="95">
        <v>-16000</v>
      </c>
      <c r="F139">
        <v>494509</v>
      </c>
    </row>
    <row r="140" spans="1:6" hidden="1" x14ac:dyDescent="0.25">
      <c r="A140">
        <v>12</v>
      </c>
      <c r="B140" s="94">
        <v>45075</v>
      </c>
      <c r="C140" t="s">
        <v>217</v>
      </c>
      <c r="D140" t="s">
        <v>305</v>
      </c>
      <c r="E140" s="95">
        <v>-5000</v>
      </c>
      <c r="F140">
        <v>718347</v>
      </c>
    </row>
    <row r="141" spans="1:6" hidden="1" x14ac:dyDescent="0.25">
      <c r="A141">
        <v>11</v>
      </c>
      <c r="B141" s="94">
        <v>45075</v>
      </c>
      <c r="C141" t="s">
        <v>217</v>
      </c>
      <c r="D141" t="s">
        <v>487</v>
      </c>
      <c r="E141" s="95">
        <v>-17600</v>
      </c>
      <c r="F141">
        <v>760503</v>
      </c>
    </row>
    <row r="142" spans="1:6" hidden="1" x14ac:dyDescent="0.25">
      <c r="A142">
        <v>55</v>
      </c>
      <c r="B142" s="94">
        <v>45051</v>
      </c>
      <c r="C142" t="s">
        <v>217</v>
      </c>
      <c r="D142" t="s">
        <v>413</v>
      </c>
      <c r="E142" s="95">
        <v>-15000</v>
      </c>
      <c r="F142">
        <v>462959</v>
      </c>
    </row>
    <row r="143" spans="1:6" hidden="1" x14ac:dyDescent="0.25">
      <c r="A143">
        <v>38</v>
      </c>
      <c r="B143" s="94">
        <v>44937</v>
      </c>
      <c r="C143" t="s">
        <v>243</v>
      </c>
      <c r="E143" s="95">
        <v>371575.34</v>
      </c>
      <c r="F143">
        <v>452624</v>
      </c>
    </row>
    <row r="144" spans="1:6" hidden="1" x14ac:dyDescent="0.25">
      <c r="A144">
        <v>53</v>
      </c>
      <c r="B144" s="94">
        <v>44931</v>
      </c>
      <c r="C144" t="s">
        <v>226</v>
      </c>
      <c r="D144" t="s">
        <v>227</v>
      </c>
      <c r="E144" s="95">
        <v>157806.07999999999</v>
      </c>
      <c r="F144">
        <v>0</v>
      </c>
    </row>
    <row r="145" spans="1:6" hidden="1" x14ac:dyDescent="0.25">
      <c r="A145">
        <v>4</v>
      </c>
      <c r="B145" s="94">
        <v>44956</v>
      </c>
      <c r="C145" t="s">
        <v>221</v>
      </c>
      <c r="D145" t="s">
        <v>356</v>
      </c>
      <c r="E145" s="95">
        <v>80000</v>
      </c>
      <c r="F145">
        <v>415126</v>
      </c>
    </row>
    <row r="146" spans="1:6" hidden="1" x14ac:dyDescent="0.25">
      <c r="A146">
        <v>26</v>
      </c>
      <c r="B146" s="94">
        <v>44943</v>
      </c>
      <c r="C146" t="s">
        <v>358</v>
      </c>
      <c r="D146" t="s">
        <v>359</v>
      </c>
      <c r="E146" s="95">
        <v>47077</v>
      </c>
      <c r="F146">
        <v>938990</v>
      </c>
    </row>
    <row r="147" spans="1:6" hidden="1" x14ac:dyDescent="0.25">
      <c r="A147">
        <v>15</v>
      </c>
      <c r="B147" s="94">
        <v>44950</v>
      </c>
      <c r="C147" t="s">
        <v>221</v>
      </c>
      <c r="D147" t="s">
        <v>357</v>
      </c>
      <c r="E147" s="95">
        <v>23000</v>
      </c>
      <c r="F147">
        <v>530654</v>
      </c>
    </row>
    <row r="148" spans="1:6" hidden="1" x14ac:dyDescent="0.25">
      <c r="A148">
        <v>43</v>
      </c>
      <c r="B148" s="94">
        <v>44935</v>
      </c>
      <c r="C148" t="s">
        <v>325</v>
      </c>
      <c r="D148" t="s">
        <v>326</v>
      </c>
      <c r="E148" s="95">
        <v>20500</v>
      </c>
      <c r="F148">
        <v>15312</v>
      </c>
    </row>
    <row r="149" spans="1:6" hidden="1" x14ac:dyDescent="0.25">
      <c r="A149">
        <v>61</v>
      </c>
      <c r="B149" s="94">
        <v>44929</v>
      </c>
      <c r="C149" t="s">
        <v>221</v>
      </c>
      <c r="D149" t="s">
        <v>257</v>
      </c>
      <c r="E149" s="95">
        <v>2500</v>
      </c>
      <c r="F149">
        <v>125410</v>
      </c>
    </row>
    <row r="150" spans="1:6" hidden="1" x14ac:dyDescent="0.25">
      <c r="A150">
        <v>49</v>
      </c>
      <c r="B150" s="94">
        <v>44935</v>
      </c>
      <c r="C150" t="s">
        <v>221</v>
      </c>
      <c r="D150" t="s">
        <v>257</v>
      </c>
      <c r="E150" s="95">
        <v>1700</v>
      </c>
      <c r="F150">
        <v>321880</v>
      </c>
    </row>
    <row r="151" spans="1:6" hidden="1" x14ac:dyDescent="0.25">
      <c r="A151">
        <v>64</v>
      </c>
      <c r="B151" s="94">
        <v>44928</v>
      </c>
      <c r="C151" t="s">
        <v>360</v>
      </c>
      <c r="D151" t="s">
        <v>361</v>
      </c>
      <c r="E151" s="95">
        <v>1000</v>
      </c>
      <c r="F151">
        <v>4250080</v>
      </c>
    </row>
    <row r="152" spans="1:6" hidden="1" x14ac:dyDescent="0.25">
      <c r="A152">
        <v>65</v>
      </c>
      <c r="B152" s="94">
        <v>44927</v>
      </c>
      <c r="C152" t="s">
        <v>231</v>
      </c>
      <c r="E152" s="95">
        <v>38.01</v>
      </c>
      <c r="F152">
        <v>0</v>
      </c>
    </row>
    <row r="153" spans="1:6" hidden="1" x14ac:dyDescent="0.25">
      <c r="A153">
        <v>51</v>
      </c>
      <c r="B153" s="94">
        <v>44932</v>
      </c>
      <c r="C153" t="s">
        <v>211</v>
      </c>
      <c r="D153" t="s">
        <v>342</v>
      </c>
      <c r="E153" s="95">
        <v>-198.9</v>
      </c>
      <c r="F153">
        <v>2208</v>
      </c>
    </row>
    <row r="154" spans="1:6" hidden="1" x14ac:dyDescent="0.25">
      <c r="A154">
        <v>37</v>
      </c>
      <c r="B154" s="94">
        <v>44937</v>
      </c>
      <c r="C154" t="s">
        <v>211</v>
      </c>
      <c r="D154" t="s">
        <v>335</v>
      </c>
      <c r="E154" s="95">
        <v>-200</v>
      </c>
      <c r="F154">
        <v>915403</v>
      </c>
    </row>
    <row r="155" spans="1:6" hidden="1" x14ac:dyDescent="0.25">
      <c r="A155">
        <v>16</v>
      </c>
      <c r="B155" s="94">
        <v>44949</v>
      </c>
      <c r="C155" t="s">
        <v>211</v>
      </c>
      <c r="D155" t="s">
        <v>329</v>
      </c>
      <c r="E155" s="95">
        <v>-270</v>
      </c>
      <c r="F155">
        <v>18780</v>
      </c>
    </row>
    <row r="156" spans="1:6" hidden="1" x14ac:dyDescent="0.25">
      <c r="A156">
        <v>36</v>
      </c>
      <c r="B156" s="94">
        <v>44937</v>
      </c>
      <c r="C156" t="s">
        <v>211</v>
      </c>
      <c r="D156" t="s">
        <v>334</v>
      </c>
      <c r="E156" s="95">
        <v>-360</v>
      </c>
      <c r="F156">
        <v>25789</v>
      </c>
    </row>
    <row r="157" spans="1:6" hidden="1" x14ac:dyDescent="0.25">
      <c r="A157">
        <v>59</v>
      </c>
      <c r="B157" s="94">
        <v>44929</v>
      </c>
      <c r="C157" t="s">
        <v>211</v>
      </c>
      <c r="D157" t="s">
        <v>331</v>
      </c>
      <c r="E157" s="95">
        <v>-371.77</v>
      </c>
      <c r="F157">
        <v>69556</v>
      </c>
    </row>
    <row r="158" spans="1:6" hidden="1" x14ac:dyDescent="0.25">
      <c r="A158">
        <v>8</v>
      </c>
      <c r="B158" s="94">
        <v>44952</v>
      </c>
      <c r="C158" t="s">
        <v>211</v>
      </c>
      <c r="D158" t="s">
        <v>336</v>
      </c>
      <c r="E158" s="95">
        <v>-420</v>
      </c>
      <c r="F158">
        <v>74613</v>
      </c>
    </row>
    <row r="159" spans="1:6" hidden="1" x14ac:dyDescent="0.25">
      <c r="A159">
        <v>1</v>
      </c>
      <c r="B159" s="94">
        <v>44957</v>
      </c>
      <c r="C159" t="s">
        <v>215</v>
      </c>
      <c r="E159" s="95">
        <v>-437.54</v>
      </c>
      <c r="F159">
        <v>0</v>
      </c>
    </row>
    <row r="160" spans="1:6" hidden="1" x14ac:dyDescent="0.25">
      <c r="A160">
        <v>9</v>
      </c>
      <c r="B160" s="94">
        <v>44952</v>
      </c>
      <c r="C160" t="s">
        <v>211</v>
      </c>
      <c r="D160" t="s">
        <v>336</v>
      </c>
      <c r="E160" s="95">
        <v>-440</v>
      </c>
      <c r="F160">
        <v>19812</v>
      </c>
    </row>
    <row r="161" spans="1:6" hidden="1" x14ac:dyDescent="0.25">
      <c r="A161">
        <v>28</v>
      </c>
      <c r="B161" s="94">
        <v>44942</v>
      </c>
      <c r="C161" t="s">
        <v>211</v>
      </c>
      <c r="D161" t="s">
        <v>352</v>
      </c>
      <c r="E161" s="95">
        <v>-600</v>
      </c>
      <c r="F161">
        <v>632342</v>
      </c>
    </row>
    <row r="162" spans="1:6" hidden="1" x14ac:dyDescent="0.25">
      <c r="A162">
        <v>21</v>
      </c>
      <c r="B162" s="94">
        <v>44944</v>
      </c>
      <c r="C162" t="s">
        <v>211</v>
      </c>
      <c r="D162" t="s">
        <v>268</v>
      </c>
      <c r="E162" s="95">
        <v>-600</v>
      </c>
      <c r="F162">
        <v>981039</v>
      </c>
    </row>
    <row r="163" spans="1:6" hidden="1" x14ac:dyDescent="0.25">
      <c r="A163">
        <v>20</v>
      </c>
      <c r="B163" s="94">
        <v>44945</v>
      </c>
      <c r="C163" t="s">
        <v>211</v>
      </c>
      <c r="D163" t="s">
        <v>219</v>
      </c>
      <c r="E163" s="95">
        <v>-623.32000000000005</v>
      </c>
      <c r="F163">
        <v>414465</v>
      </c>
    </row>
    <row r="164" spans="1:6" hidden="1" x14ac:dyDescent="0.25">
      <c r="A164">
        <v>41</v>
      </c>
      <c r="B164" s="94">
        <v>44936</v>
      </c>
      <c r="C164" t="s">
        <v>211</v>
      </c>
      <c r="D164" t="s">
        <v>337</v>
      </c>
      <c r="E164" s="95">
        <v>-670</v>
      </c>
      <c r="F164">
        <v>857728</v>
      </c>
    </row>
    <row r="165" spans="1:6" hidden="1" x14ac:dyDescent="0.25">
      <c r="A165">
        <v>50</v>
      </c>
      <c r="B165" s="94">
        <v>44932</v>
      </c>
      <c r="C165" t="s">
        <v>211</v>
      </c>
      <c r="D165" t="s">
        <v>341</v>
      </c>
      <c r="E165" s="95">
        <v>-718.16</v>
      </c>
      <c r="F165">
        <v>19861</v>
      </c>
    </row>
    <row r="166" spans="1:6" hidden="1" x14ac:dyDescent="0.25">
      <c r="A166">
        <v>10</v>
      </c>
      <c r="B166" s="94">
        <v>44952</v>
      </c>
      <c r="C166" t="s">
        <v>211</v>
      </c>
      <c r="D166" t="s">
        <v>330</v>
      </c>
      <c r="E166" s="95">
        <v>-750</v>
      </c>
      <c r="F166">
        <v>66043</v>
      </c>
    </row>
    <row r="167" spans="1:6" hidden="1" x14ac:dyDescent="0.25">
      <c r="A167">
        <v>47</v>
      </c>
      <c r="B167" s="94">
        <v>44935</v>
      </c>
      <c r="C167" t="s">
        <v>211</v>
      </c>
      <c r="D167" t="s">
        <v>340</v>
      </c>
      <c r="E167" s="95">
        <v>-760</v>
      </c>
      <c r="F167">
        <v>28045</v>
      </c>
    </row>
    <row r="168" spans="1:6" hidden="1" x14ac:dyDescent="0.25">
      <c r="A168">
        <v>33</v>
      </c>
      <c r="B168" s="94">
        <v>44939</v>
      </c>
      <c r="C168" t="s">
        <v>211</v>
      </c>
      <c r="D168" t="s">
        <v>332</v>
      </c>
      <c r="E168" s="95">
        <v>-890</v>
      </c>
      <c r="F168">
        <v>21871</v>
      </c>
    </row>
    <row r="169" spans="1:6" hidden="1" x14ac:dyDescent="0.25">
      <c r="A169">
        <v>2</v>
      </c>
      <c r="B169" s="94">
        <v>44956</v>
      </c>
      <c r="C169" t="s">
        <v>211</v>
      </c>
      <c r="D169" t="s">
        <v>330</v>
      </c>
      <c r="E169" s="95">
        <v>-1000</v>
      </c>
      <c r="F169">
        <v>74049</v>
      </c>
    </row>
    <row r="170" spans="1:6" hidden="1" x14ac:dyDescent="0.25">
      <c r="A170">
        <v>14</v>
      </c>
      <c r="B170" s="94">
        <v>44950</v>
      </c>
      <c r="C170" t="s">
        <v>211</v>
      </c>
      <c r="D170" t="s">
        <v>351</v>
      </c>
      <c r="E170" s="95">
        <v>-1000</v>
      </c>
      <c r="F170">
        <v>72195</v>
      </c>
    </row>
    <row r="171" spans="1:6" hidden="1" x14ac:dyDescent="0.25">
      <c r="A171">
        <v>18</v>
      </c>
      <c r="B171" s="94">
        <v>44949</v>
      </c>
      <c r="C171" t="s">
        <v>211</v>
      </c>
      <c r="D171" t="s">
        <v>329</v>
      </c>
      <c r="E171" s="95">
        <v>-1029</v>
      </c>
      <c r="F171">
        <v>82446</v>
      </c>
    </row>
    <row r="172" spans="1:6" hidden="1" x14ac:dyDescent="0.25">
      <c r="A172">
        <v>6</v>
      </c>
      <c r="B172" s="94">
        <v>44953</v>
      </c>
      <c r="C172" t="s">
        <v>211</v>
      </c>
      <c r="D172" t="s">
        <v>330</v>
      </c>
      <c r="E172" s="95">
        <v>-1040</v>
      </c>
      <c r="F172">
        <v>96268</v>
      </c>
    </row>
    <row r="173" spans="1:6" hidden="1" x14ac:dyDescent="0.25">
      <c r="A173">
        <v>27</v>
      </c>
      <c r="B173" s="94">
        <v>44942</v>
      </c>
      <c r="C173" t="s">
        <v>211</v>
      </c>
      <c r="D173" t="s">
        <v>330</v>
      </c>
      <c r="E173" s="95">
        <v>-1120</v>
      </c>
      <c r="F173">
        <v>34838</v>
      </c>
    </row>
    <row r="174" spans="1:6" hidden="1" x14ac:dyDescent="0.25">
      <c r="A174">
        <v>13</v>
      </c>
      <c r="B174" s="94">
        <v>44951</v>
      </c>
      <c r="C174" t="s">
        <v>211</v>
      </c>
      <c r="D174" t="s">
        <v>347</v>
      </c>
      <c r="E174" s="95">
        <v>-1150</v>
      </c>
      <c r="F174">
        <v>940618</v>
      </c>
    </row>
    <row r="175" spans="1:6" hidden="1" x14ac:dyDescent="0.25">
      <c r="A175">
        <v>19</v>
      </c>
      <c r="B175" s="94">
        <v>44945</v>
      </c>
      <c r="C175" t="s">
        <v>211</v>
      </c>
      <c r="D175" t="s">
        <v>354</v>
      </c>
      <c r="E175" s="95">
        <v>-1180</v>
      </c>
      <c r="F175">
        <v>19587</v>
      </c>
    </row>
    <row r="176" spans="1:6" hidden="1" x14ac:dyDescent="0.25">
      <c r="A176">
        <v>39</v>
      </c>
      <c r="B176" s="94">
        <v>44936</v>
      </c>
      <c r="C176" t="s">
        <v>211</v>
      </c>
      <c r="D176" t="s">
        <v>329</v>
      </c>
      <c r="E176" s="95">
        <v>-1332</v>
      </c>
      <c r="F176">
        <v>47569</v>
      </c>
    </row>
    <row r="177" spans="1:6" hidden="1" x14ac:dyDescent="0.25">
      <c r="A177">
        <v>32</v>
      </c>
      <c r="B177" s="94">
        <v>44939</v>
      </c>
      <c r="C177" t="s">
        <v>211</v>
      </c>
      <c r="D177" t="s">
        <v>329</v>
      </c>
      <c r="E177" s="95">
        <v>-1333</v>
      </c>
      <c r="F177">
        <v>63420</v>
      </c>
    </row>
    <row r="178" spans="1:6" hidden="1" x14ac:dyDescent="0.25">
      <c r="A178">
        <v>63</v>
      </c>
      <c r="B178" s="94">
        <v>44928</v>
      </c>
      <c r="C178" t="s">
        <v>211</v>
      </c>
      <c r="D178" t="s">
        <v>350</v>
      </c>
      <c r="E178" s="95">
        <v>-1360.92</v>
      </c>
      <c r="F178">
        <v>103468</v>
      </c>
    </row>
    <row r="179" spans="1:6" hidden="1" x14ac:dyDescent="0.25">
      <c r="A179">
        <v>48</v>
      </c>
      <c r="B179" s="94">
        <v>44935</v>
      </c>
      <c r="C179" t="s">
        <v>211</v>
      </c>
      <c r="D179" t="s">
        <v>329</v>
      </c>
      <c r="E179" s="95">
        <v>-1380</v>
      </c>
      <c r="F179">
        <v>91174</v>
      </c>
    </row>
    <row r="180" spans="1:6" hidden="1" x14ac:dyDescent="0.25">
      <c r="A180">
        <v>35</v>
      </c>
      <c r="B180" s="94">
        <v>44937</v>
      </c>
      <c r="C180" t="s">
        <v>211</v>
      </c>
      <c r="D180" t="s">
        <v>330</v>
      </c>
      <c r="E180" s="95">
        <v>-1440</v>
      </c>
      <c r="F180">
        <v>70979</v>
      </c>
    </row>
    <row r="181" spans="1:6" hidden="1" x14ac:dyDescent="0.25">
      <c r="A181">
        <v>44</v>
      </c>
      <c r="B181" s="94">
        <v>44935</v>
      </c>
      <c r="C181" t="s">
        <v>211</v>
      </c>
      <c r="D181" t="s">
        <v>338</v>
      </c>
      <c r="E181" s="95">
        <v>-1700</v>
      </c>
      <c r="F181">
        <v>370436</v>
      </c>
    </row>
    <row r="182" spans="1:6" hidden="1" x14ac:dyDescent="0.25">
      <c r="A182">
        <v>11</v>
      </c>
      <c r="B182" s="94">
        <v>44952</v>
      </c>
      <c r="C182" t="s">
        <v>211</v>
      </c>
      <c r="D182" t="s">
        <v>329</v>
      </c>
      <c r="E182" s="95">
        <v>-1720</v>
      </c>
      <c r="F182">
        <v>62913</v>
      </c>
    </row>
    <row r="183" spans="1:6" hidden="1" x14ac:dyDescent="0.25">
      <c r="A183">
        <v>31</v>
      </c>
      <c r="B183" s="94">
        <v>44939</v>
      </c>
      <c r="C183" t="s">
        <v>211</v>
      </c>
      <c r="D183" t="s">
        <v>330</v>
      </c>
      <c r="E183" s="95">
        <v>-1780</v>
      </c>
      <c r="F183">
        <v>14877</v>
      </c>
    </row>
    <row r="184" spans="1:6" hidden="1" x14ac:dyDescent="0.25">
      <c r="A184">
        <v>29</v>
      </c>
      <c r="B184" s="94">
        <v>44942</v>
      </c>
      <c r="C184" t="s">
        <v>211</v>
      </c>
      <c r="D184" t="s">
        <v>346</v>
      </c>
      <c r="E184" s="95">
        <v>-1790</v>
      </c>
      <c r="F184">
        <v>84068</v>
      </c>
    </row>
    <row r="185" spans="1:6" hidden="1" x14ac:dyDescent="0.25">
      <c r="A185">
        <v>22</v>
      </c>
      <c r="B185" s="94">
        <v>44944</v>
      </c>
      <c r="C185" t="s">
        <v>211</v>
      </c>
      <c r="D185" t="s">
        <v>278</v>
      </c>
      <c r="E185" s="95">
        <v>-1828.25</v>
      </c>
      <c r="F185">
        <v>969183</v>
      </c>
    </row>
    <row r="186" spans="1:6" hidden="1" x14ac:dyDescent="0.25">
      <c r="A186">
        <v>54</v>
      </c>
      <c r="B186" s="94">
        <v>44930</v>
      </c>
      <c r="C186" t="s">
        <v>211</v>
      </c>
      <c r="D186" t="s">
        <v>344</v>
      </c>
      <c r="E186" s="95">
        <v>-1850</v>
      </c>
      <c r="F186">
        <v>63516</v>
      </c>
    </row>
    <row r="187" spans="1:6" hidden="1" x14ac:dyDescent="0.25">
      <c r="A187">
        <v>34</v>
      </c>
      <c r="B187" s="94">
        <v>44938</v>
      </c>
      <c r="C187" t="s">
        <v>211</v>
      </c>
      <c r="D187" t="s">
        <v>333</v>
      </c>
      <c r="E187" s="95">
        <v>-1930</v>
      </c>
      <c r="F187">
        <v>305722</v>
      </c>
    </row>
    <row r="188" spans="1:6" hidden="1" x14ac:dyDescent="0.25">
      <c r="A188">
        <v>52</v>
      </c>
      <c r="B188" s="94">
        <v>44931</v>
      </c>
      <c r="C188" t="s">
        <v>211</v>
      </c>
      <c r="D188" t="s">
        <v>343</v>
      </c>
      <c r="E188" s="95">
        <v>-2000</v>
      </c>
      <c r="F188">
        <v>392853</v>
      </c>
    </row>
    <row r="189" spans="1:6" hidden="1" x14ac:dyDescent="0.25">
      <c r="A189">
        <v>0</v>
      </c>
      <c r="B189" s="94">
        <v>44957</v>
      </c>
      <c r="C189" t="s">
        <v>214</v>
      </c>
      <c r="E189" s="95">
        <v>-2083.5300000000002</v>
      </c>
      <c r="F189">
        <v>0</v>
      </c>
    </row>
    <row r="190" spans="1:6" hidden="1" x14ac:dyDescent="0.25">
      <c r="A190">
        <v>17</v>
      </c>
      <c r="B190" s="94">
        <v>44949</v>
      </c>
      <c r="C190" t="s">
        <v>211</v>
      </c>
      <c r="D190" t="s">
        <v>353</v>
      </c>
      <c r="E190" s="95">
        <v>-2200</v>
      </c>
      <c r="F190">
        <v>44160</v>
      </c>
    </row>
    <row r="191" spans="1:6" hidden="1" x14ac:dyDescent="0.25">
      <c r="A191">
        <v>40</v>
      </c>
      <c r="B191" s="94">
        <v>44936</v>
      </c>
      <c r="C191" t="s">
        <v>211</v>
      </c>
      <c r="D191" t="s">
        <v>336</v>
      </c>
      <c r="E191" s="95">
        <v>-2580</v>
      </c>
      <c r="F191">
        <v>51231</v>
      </c>
    </row>
    <row r="192" spans="1:6" hidden="1" x14ac:dyDescent="0.25">
      <c r="A192">
        <v>12</v>
      </c>
      <c r="B192" s="94">
        <v>44952</v>
      </c>
      <c r="C192" t="s">
        <v>217</v>
      </c>
      <c r="D192" t="s">
        <v>362</v>
      </c>
      <c r="E192" s="95">
        <v>-3000</v>
      </c>
      <c r="F192">
        <v>366767</v>
      </c>
    </row>
    <row r="193" spans="1:6" hidden="1" x14ac:dyDescent="0.25">
      <c r="A193">
        <v>3</v>
      </c>
      <c r="B193" s="94">
        <v>44956</v>
      </c>
      <c r="C193" t="s">
        <v>211</v>
      </c>
      <c r="D193" t="s">
        <v>348</v>
      </c>
      <c r="E193" s="95">
        <v>-3110</v>
      </c>
      <c r="F193">
        <v>74558</v>
      </c>
    </row>
    <row r="194" spans="1:6" hidden="1" x14ac:dyDescent="0.25">
      <c r="A194">
        <v>5</v>
      </c>
      <c r="B194" s="94">
        <v>44953</v>
      </c>
      <c r="C194" t="s">
        <v>211</v>
      </c>
      <c r="D194" t="s">
        <v>349</v>
      </c>
      <c r="E194" s="95">
        <v>-3160</v>
      </c>
      <c r="F194">
        <v>104156</v>
      </c>
    </row>
    <row r="195" spans="1:6" hidden="1" x14ac:dyDescent="0.25">
      <c r="A195">
        <v>45</v>
      </c>
      <c r="B195" s="94">
        <v>44935</v>
      </c>
      <c r="C195" t="s">
        <v>211</v>
      </c>
      <c r="D195" t="s">
        <v>339</v>
      </c>
      <c r="E195" s="95">
        <v>-3990</v>
      </c>
      <c r="F195">
        <v>25141</v>
      </c>
    </row>
    <row r="196" spans="1:6" hidden="1" x14ac:dyDescent="0.25">
      <c r="A196">
        <v>24</v>
      </c>
      <c r="B196" s="94">
        <v>44943</v>
      </c>
      <c r="C196" t="s">
        <v>211</v>
      </c>
      <c r="D196" t="s">
        <v>355</v>
      </c>
      <c r="E196" s="95">
        <v>-4200</v>
      </c>
      <c r="F196">
        <v>809569</v>
      </c>
    </row>
    <row r="197" spans="1:6" hidden="1" x14ac:dyDescent="0.25">
      <c r="A197">
        <v>55</v>
      </c>
      <c r="B197" s="94">
        <v>44930</v>
      </c>
      <c r="C197" t="s">
        <v>211</v>
      </c>
      <c r="D197" t="s">
        <v>345</v>
      </c>
      <c r="E197" s="95">
        <v>-5738.14</v>
      </c>
      <c r="F197">
        <v>833536</v>
      </c>
    </row>
    <row r="198" spans="1:6" hidden="1" x14ac:dyDescent="0.25">
      <c r="A198">
        <v>30</v>
      </c>
      <c r="B198" s="94">
        <v>44942</v>
      </c>
      <c r="C198" t="s">
        <v>211</v>
      </c>
      <c r="D198" t="s">
        <v>329</v>
      </c>
      <c r="E198" s="95">
        <v>-5839</v>
      </c>
      <c r="F198">
        <v>23304</v>
      </c>
    </row>
    <row r="199" spans="1:6" hidden="1" x14ac:dyDescent="0.25">
      <c r="A199">
        <v>7</v>
      </c>
      <c r="B199" s="94">
        <v>44953</v>
      </c>
      <c r="C199" t="s">
        <v>217</v>
      </c>
      <c r="D199" t="s">
        <v>363</v>
      </c>
      <c r="E199" s="95">
        <v>-6000</v>
      </c>
      <c r="F199">
        <v>420763</v>
      </c>
    </row>
    <row r="200" spans="1:6" hidden="1" x14ac:dyDescent="0.25">
      <c r="A200">
        <v>42</v>
      </c>
      <c r="B200" s="94">
        <v>44936</v>
      </c>
      <c r="C200" t="s">
        <v>217</v>
      </c>
      <c r="D200" t="s">
        <v>363</v>
      </c>
      <c r="E200" s="95">
        <v>-6000</v>
      </c>
      <c r="F200">
        <v>268533</v>
      </c>
    </row>
    <row r="201" spans="1:6" hidden="1" x14ac:dyDescent="0.25">
      <c r="A201">
        <v>60</v>
      </c>
      <c r="B201" s="94">
        <v>44929</v>
      </c>
      <c r="C201" t="s">
        <v>211</v>
      </c>
      <c r="D201" t="s">
        <v>345</v>
      </c>
      <c r="E201" s="95">
        <v>-6267.17</v>
      </c>
      <c r="F201">
        <v>539917</v>
      </c>
    </row>
    <row r="202" spans="1:6" hidden="1" x14ac:dyDescent="0.25">
      <c r="A202">
        <v>23</v>
      </c>
      <c r="B202" s="94">
        <v>44944</v>
      </c>
      <c r="C202" t="s">
        <v>229</v>
      </c>
      <c r="D202" t="s">
        <v>230</v>
      </c>
      <c r="E202" s="95">
        <v>-10000</v>
      </c>
      <c r="F202">
        <v>5479</v>
      </c>
    </row>
    <row r="203" spans="1:6" hidden="1" x14ac:dyDescent="0.25">
      <c r="A203">
        <v>57</v>
      </c>
      <c r="B203" s="94">
        <v>44929</v>
      </c>
      <c r="C203" t="s">
        <v>327</v>
      </c>
      <c r="D203" t="s">
        <v>328</v>
      </c>
      <c r="E203" s="95">
        <v>-15007</v>
      </c>
      <c r="F203">
        <v>660959</v>
      </c>
    </row>
    <row r="204" spans="1:6" hidden="1" x14ac:dyDescent="0.25">
      <c r="A204">
        <v>58</v>
      </c>
      <c r="B204" s="94">
        <v>44929</v>
      </c>
      <c r="C204" t="s">
        <v>211</v>
      </c>
      <c r="D204" t="s">
        <v>219</v>
      </c>
      <c r="E204" s="95">
        <v>-15428.1</v>
      </c>
      <c r="F204">
        <v>559189</v>
      </c>
    </row>
    <row r="205" spans="1:6" hidden="1" x14ac:dyDescent="0.25">
      <c r="A205">
        <v>46</v>
      </c>
      <c r="B205" s="94">
        <v>44935</v>
      </c>
      <c r="C205" t="s">
        <v>211</v>
      </c>
      <c r="D205" t="s">
        <v>339</v>
      </c>
      <c r="E205" s="95">
        <v>-20500</v>
      </c>
      <c r="F205">
        <v>80730</v>
      </c>
    </row>
    <row r="206" spans="1:6" hidden="1" x14ac:dyDescent="0.25">
      <c r="A206">
        <v>25</v>
      </c>
      <c r="B206" s="94">
        <v>44943</v>
      </c>
      <c r="C206" t="s">
        <v>211</v>
      </c>
      <c r="D206" t="s">
        <v>286</v>
      </c>
      <c r="E206" s="95">
        <v>-42877.3</v>
      </c>
      <c r="F206">
        <v>55983</v>
      </c>
    </row>
    <row r="207" spans="1:6" hidden="1" x14ac:dyDescent="0.25">
      <c r="A207">
        <v>62</v>
      </c>
      <c r="B207" s="94">
        <v>44928</v>
      </c>
      <c r="C207" t="s">
        <v>224</v>
      </c>
      <c r="D207" t="s">
        <v>225</v>
      </c>
      <c r="E207" s="95">
        <v>-70193.279999999999</v>
      </c>
      <c r="F207">
        <v>400815</v>
      </c>
    </row>
    <row r="208" spans="1:6" hidden="1" x14ac:dyDescent="0.25">
      <c r="A208">
        <v>56</v>
      </c>
      <c r="B208" s="94">
        <v>44930</v>
      </c>
      <c r="C208" t="s">
        <v>222</v>
      </c>
      <c r="D208" t="s">
        <v>223</v>
      </c>
      <c r="E208" s="95">
        <v>-119932.09</v>
      </c>
      <c r="F208">
        <v>230103</v>
      </c>
    </row>
    <row r="209" spans="1:6" hidden="1" x14ac:dyDescent="0.25">
      <c r="A209">
        <v>62</v>
      </c>
      <c r="B209" s="94">
        <v>44960</v>
      </c>
      <c r="C209" t="s">
        <v>226</v>
      </c>
      <c r="D209" t="s">
        <v>227</v>
      </c>
      <c r="E209" s="95">
        <v>82673</v>
      </c>
      <c r="F209">
        <v>0</v>
      </c>
    </row>
    <row r="210" spans="1:6" hidden="1" x14ac:dyDescent="0.25">
      <c r="A210">
        <v>15</v>
      </c>
      <c r="B210" s="94">
        <v>44981</v>
      </c>
      <c r="C210" t="s">
        <v>226</v>
      </c>
      <c r="D210" t="s">
        <v>227</v>
      </c>
      <c r="E210" s="95">
        <v>14261</v>
      </c>
      <c r="F210">
        <v>0</v>
      </c>
    </row>
    <row r="211" spans="1:6" hidden="1" x14ac:dyDescent="0.25">
      <c r="A211">
        <v>25</v>
      </c>
      <c r="B211" s="94">
        <v>44974</v>
      </c>
      <c r="C211" t="s">
        <v>226</v>
      </c>
      <c r="D211" t="s">
        <v>227</v>
      </c>
      <c r="E211" s="95">
        <v>22818</v>
      </c>
      <c r="F211">
        <v>0</v>
      </c>
    </row>
    <row r="212" spans="1:6" hidden="1" x14ac:dyDescent="0.25">
      <c r="A212">
        <v>58</v>
      </c>
      <c r="B212" s="94">
        <v>44963</v>
      </c>
      <c r="C212" t="s">
        <v>226</v>
      </c>
      <c r="D212" t="s">
        <v>227</v>
      </c>
      <c r="E212" s="95">
        <v>338576.37</v>
      </c>
      <c r="F212">
        <v>0</v>
      </c>
    </row>
    <row r="213" spans="1:6" hidden="1" x14ac:dyDescent="0.25">
      <c r="A213">
        <v>2</v>
      </c>
      <c r="B213" s="94">
        <v>44984</v>
      </c>
      <c r="C213" t="s">
        <v>325</v>
      </c>
      <c r="D213" t="s">
        <v>279</v>
      </c>
      <c r="E213" s="95">
        <v>2000</v>
      </c>
      <c r="F213">
        <v>524639</v>
      </c>
    </row>
    <row r="214" spans="1:6" hidden="1" x14ac:dyDescent="0.25">
      <c r="A214">
        <v>56</v>
      </c>
      <c r="B214" s="94">
        <v>44963</v>
      </c>
      <c r="C214" t="s">
        <v>211</v>
      </c>
      <c r="D214" t="s">
        <v>366</v>
      </c>
      <c r="E214" s="95">
        <v>-1118</v>
      </c>
      <c r="F214">
        <v>129887</v>
      </c>
    </row>
    <row r="215" spans="1:6" hidden="1" x14ac:dyDescent="0.25">
      <c r="A215">
        <v>28</v>
      </c>
      <c r="B215" s="94">
        <v>44972</v>
      </c>
      <c r="C215" t="s">
        <v>211</v>
      </c>
      <c r="D215" t="s">
        <v>328</v>
      </c>
      <c r="E215" s="95">
        <v>-217.99</v>
      </c>
      <c r="F215">
        <v>499470</v>
      </c>
    </row>
    <row r="216" spans="1:6" hidden="1" x14ac:dyDescent="0.25">
      <c r="A216">
        <v>29</v>
      </c>
      <c r="B216" s="94">
        <v>44972</v>
      </c>
      <c r="C216" t="s">
        <v>211</v>
      </c>
      <c r="D216" t="s">
        <v>367</v>
      </c>
      <c r="E216" s="95">
        <v>-1500</v>
      </c>
      <c r="F216">
        <v>995807</v>
      </c>
    </row>
    <row r="217" spans="1:6" hidden="1" x14ac:dyDescent="0.25">
      <c r="A217">
        <v>32</v>
      </c>
      <c r="B217" s="94">
        <v>44971</v>
      </c>
      <c r="C217" t="s">
        <v>211</v>
      </c>
      <c r="D217" t="s">
        <v>328</v>
      </c>
      <c r="E217" s="95">
        <v>-747.74</v>
      </c>
      <c r="F217">
        <v>177935</v>
      </c>
    </row>
    <row r="218" spans="1:6" hidden="1" x14ac:dyDescent="0.25">
      <c r="A218">
        <v>35</v>
      </c>
      <c r="B218" s="94">
        <v>44970</v>
      </c>
      <c r="C218" t="s">
        <v>211</v>
      </c>
      <c r="D218" t="s">
        <v>345</v>
      </c>
      <c r="E218" s="95">
        <v>-6074.19</v>
      </c>
      <c r="F218">
        <v>915917</v>
      </c>
    </row>
    <row r="219" spans="1:6" hidden="1" x14ac:dyDescent="0.25">
      <c r="A219">
        <v>37</v>
      </c>
      <c r="B219" s="94">
        <v>44970</v>
      </c>
      <c r="C219" t="s">
        <v>211</v>
      </c>
      <c r="D219" t="s">
        <v>328</v>
      </c>
      <c r="E219" s="95">
        <v>-536.30999999999995</v>
      </c>
      <c r="F219">
        <v>655736</v>
      </c>
    </row>
    <row r="220" spans="1:6" hidden="1" x14ac:dyDescent="0.25">
      <c r="A220">
        <v>38</v>
      </c>
      <c r="B220" s="94">
        <v>44970</v>
      </c>
      <c r="C220" t="s">
        <v>211</v>
      </c>
      <c r="D220" t="s">
        <v>368</v>
      </c>
      <c r="E220" s="95">
        <v>-250</v>
      </c>
      <c r="F220">
        <v>44723</v>
      </c>
    </row>
    <row r="221" spans="1:6" hidden="1" x14ac:dyDescent="0.25">
      <c r="A221">
        <v>67</v>
      </c>
      <c r="B221" s="94">
        <v>44958</v>
      </c>
      <c r="C221" t="s">
        <v>211</v>
      </c>
      <c r="D221" t="s">
        <v>216</v>
      </c>
      <c r="E221" s="95">
        <v>-2873.61</v>
      </c>
      <c r="F221">
        <v>156809</v>
      </c>
    </row>
    <row r="222" spans="1:6" hidden="1" x14ac:dyDescent="0.25">
      <c r="A222">
        <v>43</v>
      </c>
      <c r="B222" s="94">
        <v>44967</v>
      </c>
      <c r="C222" t="s">
        <v>211</v>
      </c>
      <c r="D222" t="s">
        <v>213</v>
      </c>
      <c r="E222" s="95">
        <v>-1455</v>
      </c>
      <c r="F222">
        <v>54061</v>
      </c>
    </row>
    <row r="223" spans="1:6" hidden="1" x14ac:dyDescent="0.25">
      <c r="A223">
        <v>44</v>
      </c>
      <c r="B223" s="94">
        <v>44967</v>
      </c>
      <c r="C223" t="s">
        <v>211</v>
      </c>
      <c r="D223" t="s">
        <v>213</v>
      </c>
      <c r="E223" s="95">
        <v>-14.7</v>
      </c>
      <c r="F223">
        <v>54060</v>
      </c>
    </row>
    <row r="224" spans="1:6" hidden="1" x14ac:dyDescent="0.25">
      <c r="A224">
        <v>27</v>
      </c>
      <c r="B224" s="94">
        <v>44972</v>
      </c>
      <c r="C224" t="s">
        <v>211</v>
      </c>
      <c r="D224" t="s">
        <v>328</v>
      </c>
      <c r="E224" s="95">
        <v>-217.99</v>
      </c>
      <c r="F224">
        <v>538723</v>
      </c>
    </row>
    <row r="225" spans="1:6" hidden="1" x14ac:dyDescent="0.25">
      <c r="A225">
        <v>47</v>
      </c>
      <c r="B225" s="94">
        <v>44967</v>
      </c>
      <c r="C225" t="s">
        <v>211</v>
      </c>
      <c r="D225" t="s">
        <v>268</v>
      </c>
      <c r="E225" s="95">
        <v>-3330</v>
      </c>
      <c r="F225">
        <v>419174</v>
      </c>
    </row>
    <row r="226" spans="1:6" hidden="1" x14ac:dyDescent="0.25">
      <c r="A226">
        <v>49</v>
      </c>
      <c r="B226" s="94">
        <v>44966</v>
      </c>
      <c r="C226" t="s">
        <v>211</v>
      </c>
      <c r="D226" t="s">
        <v>345</v>
      </c>
      <c r="E226" s="95">
        <v>-2192.8000000000002</v>
      </c>
      <c r="F226">
        <v>487625</v>
      </c>
    </row>
    <row r="227" spans="1:6" hidden="1" x14ac:dyDescent="0.25">
      <c r="A227">
        <v>50</v>
      </c>
      <c r="B227" s="94">
        <v>44965</v>
      </c>
      <c r="C227" t="s">
        <v>211</v>
      </c>
      <c r="D227" t="s">
        <v>286</v>
      </c>
      <c r="E227" s="95">
        <v>-1976.94</v>
      </c>
      <c r="F227">
        <v>56527</v>
      </c>
    </row>
    <row r="228" spans="1:6" hidden="1" x14ac:dyDescent="0.25">
      <c r="A228">
        <v>51</v>
      </c>
      <c r="B228" s="94">
        <v>44965</v>
      </c>
      <c r="C228" t="s">
        <v>211</v>
      </c>
      <c r="D228" t="s">
        <v>345</v>
      </c>
      <c r="E228" s="95">
        <v>-26068.560000000001</v>
      </c>
      <c r="F228">
        <v>901973</v>
      </c>
    </row>
    <row r="229" spans="1:6" hidden="1" x14ac:dyDescent="0.25">
      <c r="A229">
        <v>66</v>
      </c>
      <c r="B229" s="94">
        <v>44958</v>
      </c>
      <c r="C229" t="s">
        <v>211</v>
      </c>
      <c r="D229" t="s">
        <v>228</v>
      </c>
      <c r="E229" s="95">
        <v>-3500</v>
      </c>
      <c r="F229">
        <v>835279</v>
      </c>
    </row>
    <row r="230" spans="1:6" hidden="1" x14ac:dyDescent="0.25">
      <c r="A230">
        <v>53</v>
      </c>
      <c r="B230" s="94">
        <v>44964</v>
      </c>
      <c r="C230" t="s">
        <v>211</v>
      </c>
      <c r="D230" t="s">
        <v>369</v>
      </c>
      <c r="E230" s="95">
        <v>-2000</v>
      </c>
      <c r="F230">
        <v>92762</v>
      </c>
    </row>
    <row r="231" spans="1:6" hidden="1" x14ac:dyDescent="0.25">
      <c r="A231">
        <v>54</v>
      </c>
      <c r="B231" s="94">
        <v>44964</v>
      </c>
      <c r="C231" t="s">
        <v>211</v>
      </c>
      <c r="D231" t="s">
        <v>337</v>
      </c>
      <c r="E231" s="95">
        <v>-1120</v>
      </c>
      <c r="F231">
        <v>869150</v>
      </c>
    </row>
    <row r="232" spans="1:6" hidden="1" x14ac:dyDescent="0.25">
      <c r="A232">
        <v>55</v>
      </c>
      <c r="B232" s="94">
        <v>44963</v>
      </c>
      <c r="C232" t="s">
        <v>211</v>
      </c>
      <c r="D232" t="s">
        <v>246</v>
      </c>
      <c r="E232" s="95">
        <v>-462.1</v>
      </c>
      <c r="F232">
        <v>407053</v>
      </c>
    </row>
    <row r="233" spans="1:6" hidden="1" x14ac:dyDescent="0.25">
      <c r="A233">
        <v>45</v>
      </c>
      <c r="B233" s="94">
        <v>44967</v>
      </c>
      <c r="C233" t="s">
        <v>211</v>
      </c>
      <c r="D233" t="s">
        <v>278</v>
      </c>
      <c r="E233" s="95">
        <v>-4328.25</v>
      </c>
      <c r="F233">
        <v>459376</v>
      </c>
    </row>
    <row r="234" spans="1:6" hidden="1" x14ac:dyDescent="0.25">
      <c r="A234">
        <v>46</v>
      </c>
      <c r="B234" s="94">
        <v>44967</v>
      </c>
      <c r="C234" t="s">
        <v>211</v>
      </c>
      <c r="D234" t="s">
        <v>242</v>
      </c>
      <c r="E234" s="95">
        <v>-250</v>
      </c>
      <c r="F234">
        <v>67144</v>
      </c>
    </row>
    <row r="235" spans="1:6" hidden="1" x14ac:dyDescent="0.25">
      <c r="A235">
        <v>36</v>
      </c>
      <c r="B235" s="94">
        <v>44970</v>
      </c>
      <c r="C235" t="s">
        <v>211</v>
      </c>
      <c r="D235" t="s">
        <v>370</v>
      </c>
      <c r="E235" s="95">
        <v>-1350</v>
      </c>
      <c r="F235">
        <v>17539</v>
      </c>
    </row>
    <row r="236" spans="1:6" hidden="1" x14ac:dyDescent="0.25">
      <c r="A236">
        <v>69</v>
      </c>
      <c r="B236" s="94">
        <v>44958</v>
      </c>
      <c r="C236" t="s">
        <v>211</v>
      </c>
      <c r="D236" t="s">
        <v>278</v>
      </c>
      <c r="E236" s="95">
        <v>-837.9</v>
      </c>
      <c r="F236">
        <v>645648</v>
      </c>
    </row>
    <row r="237" spans="1:6" hidden="1" x14ac:dyDescent="0.25">
      <c r="A237">
        <v>3</v>
      </c>
      <c r="B237" s="94">
        <v>44984</v>
      </c>
      <c r="C237" t="s">
        <v>211</v>
      </c>
      <c r="D237" t="s">
        <v>371</v>
      </c>
      <c r="E237" s="95">
        <v>-461.55</v>
      </c>
      <c r="F237">
        <v>494337</v>
      </c>
    </row>
    <row r="238" spans="1:6" hidden="1" x14ac:dyDescent="0.25">
      <c r="A238">
        <v>4</v>
      </c>
      <c r="B238" s="94">
        <v>44984</v>
      </c>
      <c r="C238" t="s">
        <v>211</v>
      </c>
      <c r="D238" t="s">
        <v>345</v>
      </c>
      <c r="E238" s="95">
        <v>-3876.79</v>
      </c>
      <c r="F238">
        <v>455845</v>
      </c>
    </row>
    <row r="239" spans="1:6" hidden="1" x14ac:dyDescent="0.25">
      <c r="A239">
        <v>5</v>
      </c>
      <c r="B239" s="94">
        <v>44984</v>
      </c>
      <c r="C239" t="s">
        <v>211</v>
      </c>
      <c r="D239" t="s">
        <v>246</v>
      </c>
      <c r="E239" s="95">
        <v>-2140.9699999999998</v>
      </c>
      <c r="F239">
        <v>301823</v>
      </c>
    </row>
    <row r="240" spans="1:6" hidden="1" x14ac:dyDescent="0.25">
      <c r="A240">
        <v>6</v>
      </c>
      <c r="B240" s="94">
        <v>44984</v>
      </c>
      <c r="C240" t="s">
        <v>211</v>
      </c>
      <c r="D240" t="s">
        <v>372</v>
      </c>
      <c r="E240" s="95">
        <v>-11050</v>
      </c>
      <c r="F240">
        <v>19380</v>
      </c>
    </row>
    <row r="241" spans="1:6" hidden="1" x14ac:dyDescent="0.25">
      <c r="A241">
        <v>7</v>
      </c>
      <c r="B241" s="94">
        <v>44984</v>
      </c>
      <c r="C241" t="s">
        <v>211</v>
      </c>
      <c r="D241" t="s">
        <v>286</v>
      </c>
      <c r="E241" s="95">
        <v>-9107.7999999999993</v>
      </c>
      <c r="F241">
        <v>56893</v>
      </c>
    </row>
    <row r="242" spans="1:6" hidden="1" x14ac:dyDescent="0.25">
      <c r="A242">
        <v>71</v>
      </c>
      <c r="B242" s="94">
        <v>44958</v>
      </c>
      <c r="C242" t="s">
        <v>211</v>
      </c>
      <c r="D242" t="s">
        <v>212</v>
      </c>
      <c r="E242" s="95">
        <v>-1100</v>
      </c>
      <c r="F242">
        <v>339283</v>
      </c>
    </row>
    <row r="243" spans="1:6" hidden="1" x14ac:dyDescent="0.25">
      <c r="A243">
        <v>10</v>
      </c>
      <c r="B243" s="94">
        <v>44981</v>
      </c>
      <c r="C243" t="s">
        <v>211</v>
      </c>
      <c r="D243" t="s">
        <v>268</v>
      </c>
      <c r="E243" s="95">
        <v>-1570</v>
      </c>
      <c r="F243">
        <v>498484</v>
      </c>
    </row>
    <row r="244" spans="1:6" hidden="1" x14ac:dyDescent="0.25">
      <c r="A244">
        <v>11</v>
      </c>
      <c r="B244" s="94">
        <v>44981</v>
      </c>
      <c r="C244" t="s">
        <v>211</v>
      </c>
      <c r="D244" t="s">
        <v>268</v>
      </c>
      <c r="E244" s="95">
        <v>-2000</v>
      </c>
      <c r="F244">
        <v>216788</v>
      </c>
    </row>
    <row r="245" spans="1:6" hidden="1" x14ac:dyDescent="0.25">
      <c r="A245">
        <v>12</v>
      </c>
      <c r="B245" s="94">
        <v>44981</v>
      </c>
      <c r="C245" t="s">
        <v>211</v>
      </c>
      <c r="D245" t="s">
        <v>281</v>
      </c>
      <c r="E245" s="95">
        <v>-900</v>
      </c>
      <c r="F245">
        <v>69073</v>
      </c>
    </row>
    <row r="246" spans="1:6" hidden="1" x14ac:dyDescent="0.25">
      <c r="A246">
        <v>13</v>
      </c>
      <c r="B246" s="94">
        <v>44981</v>
      </c>
      <c r="C246" t="s">
        <v>211</v>
      </c>
      <c r="D246" t="s">
        <v>281</v>
      </c>
      <c r="E246" s="95">
        <v>-6390</v>
      </c>
      <c r="F246">
        <v>69072</v>
      </c>
    </row>
    <row r="247" spans="1:6" hidden="1" x14ac:dyDescent="0.25">
      <c r="A247">
        <v>26</v>
      </c>
      <c r="B247" s="94">
        <v>44973</v>
      </c>
      <c r="C247" t="s">
        <v>211</v>
      </c>
      <c r="D247" t="s">
        <v>330</v>
      </c>
      <c r="E247" s="95">
        <v>-3675</v>
      </c>
      <c r="F247">
        <v>26610</v>
      </c>
    </row>
    <row r="248" spans="1:6" hidden="1" x14ac:dyDescent="0.25">
      <c r="A248">
        <v>16</v>
      </c>
      <c r="B248" s="94">
        <v>44980</v>
      </c>
      <c r="C248" t="s">
        <v>211</v>
      </c>
      <c r="D248" t="s">
        <v>328</v>
      </c>
      <c r="E248" s="95">
        <v>-2588</v>
      </c>
      <c r="F248">
        <v>517475</v>
      </c>
    </row>
    <row r="249" spans="1:6" hidden="1" x14ac:dyDescent="0.25">
      <c r="A249">
        <v>17</v>
      </c>
      <c r="B249" s="94">
        <v>44980</v>
      </c>
      <c r="C249" t="s">
        <v>211</v>
      </c>
      <c r="D249" t="s">
        <v>216</v>
      </c>
      <c r="E249" s="95">
        <v>-4174.29</v>
      </c>
      <c r="F249">
        <v>572383</v>
      </c>
    </row>
    <row r="250" spans="1:6" hidden="1" x14ac:dyDescent="0.25">
      <c r="A250">
        <v>68</v>
      </c>
      <c r="B250" s="94">
        <v>44958</v>
      </c>
      <c r="C250" t="s">
        <v>211</v>
      </c>
      <c r="D250" t="s">
        <v>344</v>
      </c>
      <c r="E250" s="95">
        <v>-1930</v>
      </c>
      <c r="F250">
        <v>58647</v>
      </c>
    </row>
    <row r="251" spans="1:6" hidden="1" x14ac:dyDescent="0.25">
      <c r="A251">
        <v>21</v>
      </c>
      <c r="B251" s="94">
        <v>44979</v>
      </c>
      <c r="C251" t="s">
        <v>211</v>
      </c>
      <c r="D251" t="s">
        <v>245</v>
      </c>
      <c r="E251" s="95">
        <v>-1152</v>
      </c>
      <c r="F251">
        <v>58312</v>
      </c>
    </row>
    <row r="252" spans="1:6" hidden="1" x14ac:dyDescent="0.25">
      <c r="A252">
        <v>18</v>
      </c>
      <c r="B252" s="94">
        <v>44979</v>
      </c>
      <c r="C252" t="s">
        <v>211</v>
      </c>
      <c r="D252" t="s">
        <v>373</v>
      </c>
      <c r="E252" s="95">
        <v>-883.7</v>
      </c>
      <c r="F252">
        <v>120262</v>
      </c>
    </row>
    <row r="253" spans="1:6" hidden="1" x14ac:dyDescent="0.25">
      <c r="A253">
        <v>19</v>
      </c>
      <c r="B253" s="94">
        <v>44979</v>
      </c>
      <c r="C253" t="s">
        <v>211</v>
      </c>
      <c r="D253" t="s">
        <v>374</v>
      </c>
      <c r="E253" s="95">
        <v>-1550</v>
      </c>
      <c r="F253">
        <v>399461</v>
      </c>
    </row>
    <row r="254" spans="1:6" hidden="1" x14ac:dyDescent="0.25">
      <c r="A254">
        <v>20</v>
      </c>
      <c r="B254" s="94">
        <v>44979</v>
      </c>
      <c r="C254" t="s">
        <v>211</v>
      </c>
      <c r="D254" t="s">
        <v>269</v>
      </c>
      <c r="E254" s="95">
        <v>-420</v>
      </c>
      <c r="F254">
        <v>50219</v>
      </c>
    </row>
    <row r="255" spans="1:6" hidden="1" x14ac:dyDescent="0.25">
      <c r="A255">
        <v>70</v>
      </c>
      <c r="B255" s="94">
        <v>44958</v>
      </c>
      <c r="C255" t="s">
        <v>211</v>
      </c>
      <c r="D255" t="s">
        <v>242</v>
      </c>
      <c r="E255" s="95">
        <v>-4610</v>
      </c>
      <c r="F255">
        <v>66722</v>
      </c>
    </row>
    <row r="256" spans="1:6" hidden="1" x14ac:dyDescent="0.25">
      <c r="A256">
        <v>22</v>
      </c>
      <c r="B256" s="94">
        <v>44979</v>
      </c>
      <c r="C256" t="s">
        <v>211</v>
      </c>
      <c r="D256" t="s">
        <v>370</v>
      </c>
      <c r="E256" s="95">
        <v>-800</v>
      </c>
      <c r="F256">
        <v>75975</v>
      </c>
    </row>
    <row r="257" spans="1:6" hidden="1" x14ac:dyDescent="0.25">
      <c r="A257">
        <v>57</v>
      </c>
      <c r="B257" s="94">
        <v>44963</v>
      </c>
      <c r="C257" t="s">
        <v>221</v>
      </c>
      <c r="D257" t="s">
        <v>375</v>
      </c>
      <c r="E257" s="95">
        <v>2000</v>
      </c>
      <c r="F257">
        <v>507303</v>
      </c>
    </row>
    <row r="258" spans="1:6" hidden="1" x14ac:dyDescent="0.25">
      <c r="A258">
        <v>33</v>
      </c>
      <c r="B258" s="94">
        <v>44971</v>
      </c>
      <c r="C258" t="s">
        <v>221</v>
      </c>
      <c r="D258" t="s">
        <v>257</v>
      </c>
      <c r="E258" s="95">
        <v>2798</v>
      </c>
      <c r="F258">
        <v>401330</v>
      </c>
    </row>
    <row r="259" spans="1:6" hidden="1" x14ac:dyDescent="0.25">
      <c r="A259">
        <v>8</v>
      </c>
      <c r="B259" s="94">
        <v>44984</v>
      </c>
      <c r="C259" t="s">
        <v>221</v>
      </c>
      <c r="D259" t="s">
        <v>257</v>
      </c>
      <c r="E259" s="95">
        <v>2000</v>
      </c>
      <c r="F259">
        <v>34722</v>
      </c>
    </row>
    <row r="260" spans="1:6" hidden="1" x14ac:dyDescent="0.25">
      <c r="A260">
        <v>61</v>
      </c>
      <c r="B260" s="94">
        <v>44960</v>
      </c>
      <c r="C260" t="s">
        <v>221</v>
      </c>
      <c r="D260" t="s">
        <v>257</v>
      </c>
      <c r="E260" s="95">
        <v>7000</v>
      </c>
      <c r="F260">
        <v>193965</v>
      </c>
    </row>
    <row r="261" spans="1:6" hidden="1" x14ac:dyDescent="0.25">
      <c r="A261">
        <v>59</v>
      </c>
      <c r="B261" s="94">
        <v>44963</v>
      </c>
      <c r="C261" t="s">
        <v>222</v>
      </c>
      <c r="D261" t="s">
        <v>223</v>
      </c>
      <c r="E261" s="95">
        <v>-281087.05</v>
      </c>
      <c r="F261">
        <v>230203</v>
      </c>
    </row>
    <row r="262" spans="1:6" hidden="1" x14ac:dyDescent="0.25">
      <c r="A262">
        <v>60</v>
      </c>
      <c r="B262" s="94">
        <v>44963</v>
      </c>
      <c r="C262" t="s">
        <v>258</v>
      </c>
      <c r="E262" s="95">
        <v>-500000</v>
      </c>
      <c r="F262">
        <v>5</v>
      </c>
    </row>
    <row r="263" spans="1:6" hidden="1" x14ac:dyDescent="0.25">
      <c r="A263">
        <v>14</v>
      </c>
      <c r="B263" s="94">
        <v>44981</v>
      </c>
      <c r="C263" t="s">
        <v>229</v>
      </c>
      <c r="D263" t="s">
        <v>230</v>
      </c>
      <c r="E263" s="95">
        <v>-13000</v>
      </c>
      <c r="F263">
        <v>1880</v>
      </c>
    </row>
    <row r="264" spans="1:6" hidden="1" x14ac:dyDescent="0.25">
      <c r="A264">
        <v>48</v>
      </c>
      <c r="B264" s="94">
        <v>44967</v>
      </c>
      <c r="C264" t="s">
        <v>229</v>
      </c>
      <c r="D264" t="s">
        <v>230</v>
      </c>
      <c r="E264" s="95">
        <v>-14000</v>
      </c>
      <c r="F264">
        <v>9835</v>
      </c>
    </row>
    <row r="265" spans="1:6" hidden="1" x14ac:dyDescent="0.25">
      <c r="A265">
        <v>72</v>
      </c>
      <c r="B265" s="94">
        <v>44958</v>
      </c>
      <c r="C265" t="s">
        <v>229</v>
      </c>
      <c r="D265" t="s">
        <v>230</v>
      </c>
      <c r="E265" s="95">
        <v>-14000</v>
      </c>
      <c r="F265">
        <v>7605</v>
      </c>
    </row>
    <row r="266" spans="1:6" hidden="1" x14ac:dyDescent="0.25">
      <c r="A266">
        <v>41</v>
      </c>
      <c r="B266" s="94">
        <v>44970</v>
      </c>
      <c r="C266" t="s">
        <v>376</v>
      </c>
      <c r="D266" t="s">
        <v>377</v>
      </c>
      <c r="E266" s="95">
        <v>-10000</v>
      </c>
      <c r="F266">
        <v>4526</v>
      </c>
    </row>
    <row r="267" spans="1:6" hidden="1" x14ac:dyDescent="0.25">
      <c r="A267">
        <v>34</v>
      </c>
      <c r="B267" s="94">
        <v>44971</v>
      </c>
      <c r="C267" t="s">
        <v>376</v>
      </c>
      <c r="D267" t="s">
        <v>378</v>
      </c>
      <c r="E267" s="95">
        <v>-15000</v>
      </c>
      <c r="F267">
        <v>9426</v>
      </c>
    </row>
    <row r="268" spans="1:6" hidden="1" x14ac:dyDescent="0.25">
      <c r="A268">
        <v>39</v>
      </c>
      <c r="B268" s="94">
        <v>44970</v>
      </c>
      <c r="C268" t="s">
        <v>376</v>
      </c>
      <c r="D268" t="s">
        <v>377</v>
      </c>
      <c r="E268" s="95">
        <v>-10000</v>
      </c>
      <c r="F268">
        <v>4528</v>
      </c>
    </row>
    <row r="269" spans="1:6" hidden="1" x14ac:dyDescent="0.25">
      <c r="A269">
        <v>30</v>
      </c>
      <c r="B269" s="94">
        <v>44972</v>
      </c>
      <c r="C269" t="s">
        <v>376</v>
      </c>
      <c r="D269" t="s">
        <v>379</v>
      </c>
      <c r="E269" s="95">
        <v>-10000</v>
      </c>
      <c r="F269">
        <v>384</v>
      </c>
    </row>
    <row r="270" spans="1:6" hidden="1" x14ac:dyDescent="0.25">
      <c r="A270">
        <v>40</v>
      </c>
      <c r="B270" s="94">
        <v>44970</v>
      </c>
      <c r="C270" t="s">
        <v>376</v>
      </c>
      <c r="D270" t="s">
        <v>377</v>
      </c>
      <c r="E270" s="95">
        <v>-10000</v>
      </c>
      <c r="F270">
        <v>4527</v>
      </c>
    </row>
    <row r="271" spans="1:6" hidden="1" x14ac:dyDescent="0.25">
      <c r="A271">
        <v>1</v>
      </c>
      <c r="B271" s="94">
        <v>44985</v>
      </c>
      <c r="C271" t="s">
        <v>215</v>
      </c>
      <c r="E271" s="95">
        <v>-437.54</v>
      </c>
      <c r="F271">
        <v>0</v>
      </c>
    </row>
    <row r="272" spans="1:6" hidden="1" x14ac:dyDescent="0.25">
      <c r="A272">
        <v>73</v>
      </c>
      <c r="B272" s="94">
        <v>44958</v>
      </c>
      <c r="C272" t="s">
        <v>231</v>
      </c>
      <c r="E272" s="95">
        <v>48.19</v>
      </c>
      <c r="F272">
        <v>0</v>
      </c>
    </row>
    <row r="273" spans="1:6" hidden="1" x14ac:dyDescent="0.25">
      <c r="A273">
        <v>0</v>
      </c>
      <c r="B273" s="94">
        <v>44985</v>
      </c>
      <c r="C273" t="s">
        <v>214</v>
      </c>
      <c r="E273" s="95">
        <v>-2083.5300000000002</v>
      </c>
      <c r="F273">
        <v>0</v>
      </c>
    </row>
    <row r="274" spans="1:6" hidden="1" x14ac:dyDescent="0.25">
      <c r="A274">
        <v>64</v>
      </c>
      <c r="B274" s="94">
        <v>44960</v>
      </c>
      <c r="C274" t="s">
        <v>218</v>
      </c>
      <c r="D274" t="s">
        <v>276</v>
      </c>
      <c r="E274" s="95">
        <v>-14661.46</v>
      </c>
      <c r="F274">
        <v>750282</v>
      </c>
    </row>
    <row r="275" spans="1:6" hidden="1" x14ac:dyDescent="0.25">
      <c r="A275">
        <v>65</v>
      </c>
      <c r="B275" s="94">
        <v>44959</v>
      </c>
      <c r="C275" t="s">
        <v>224</v>
      </c>
      <c r="D275" t="s">
        <v>225</v>
      </c>
      <c r="E275" s="95">
        <v>-45893.18</v>
      </c>
      <c r="F275">
        <v>503252</v>
      </c>
    </row>
    <row r="276" spans="1:6" hidden="1" x14ac:dyDescent="0.25">
      <c r="A276">
        <v>52</v>
      </c>
      <c r="B276" s="94">
        <v>44965</v>
      </c>
      <c r="C276" t="s">
        <v>217</v>
      </c>
      <c r="D276" t="s">
        <v>380</v>
      </c>
      <c r="E276" s="95">
        <v>-2040</v>
      </c>
      <c r="F276">
        <v>228580</v>
      </c>
    </row>
    <row r="277" spans="1:6" hidden="1" x14ac:dyDescent="0.25">
      <c r="A277">
        <v>42</v>
      </c>
      <c r="B277" s="94">
        <v>44970</v>
      </c>
      <c r="C277" t="s">
        <v>217</v>
      </c>
      <c r="D277" t="s">
        <v>381</v>
      </c>
      <c r="E277" s="95">
        <v>-36800</v>
      </c>
      <c r="F277">
        <v>526054</v>
      </c>
    </row>
    <row r="278" spans="1:6" hidden="1" x14ac:dyDescent="0.25">
      <c r="A278">
        <v>31</v>
      </c>
      <c r="B278" s="94">
        <v>44972</v>
      </c>
      <c r="C278" t="s">
        <v>217</v>
      </c>
      <c r="D278" t="s">
        <v>382</v>
      </c>
      <c r="E278" s="95">
        <v>-8500</v>
      </c>
      <c r="F278">
        <v>653558</v>
      </c>
    </row>
    <row r="279" spans="1:6" hidden="1" x14ac:dyDescent="0.25">
      <c r="A279">
        <v>24</v>
      </c>
      <c r="B279" s="94">
        <v>44979</v>
      </c>
      <c r="C279" t="s">
        <v>217</v>
      </c>
      <c r="D279" t="s">
        <v>270</v>
      </c>
      <c r="E279" s="95">
        <v>-4000</v>
      </c>
      <c r="F279">
        <v>901955</v>
      </c>
    </row>
    <row r="280" spans="1:6" hidden="1" x14ac:dyDescent="0.25">
      <c r="A280">
        <v>23</v>
      </c>
      <c r="B280" s="94">
        <v>44979</v>
      </c>
      <c r="C280" t="s">
        <v>217</v>
      </c>
      <c r="D280" t="s">
        <v>252</v>
      </c>
      <c r="E280" s="95">
        <v>-20000</v>
      </c>
      <c r="F280">
        <v>923248</v>
      </c>
    </row>
    <row r="281" spans="1:6" hidden="1" x14ac:dyDescent="0.25">
      <c r="A281">
        <v>9</v>
      </c>
      <c r="B281" s="94">
        <v>44984</v>
      </c>
      <c r="C281" t="s">
        <v>217</v>
      </c>
      <c r="D281" t="s">
        <v>383</v>
      </c>
      <c r="E281" s="95">
        <v>-2000</v>
      </c>
      <c r="F281">
        <v>112923</v>
      </c>
    </row>
    <row r="282" spans="1:6" hidden="1" x14ac:dyDescent="0.25">
      <c r="A282">
        <v>63</v>
      </c>
      <c r="B282" s="94">
        <v>44960</v>
      </c>
      <c r="C282" t="s">
        <v>217</v>
      </c>
      <c r="D282" t="s">
        <v>380</v>
      </c>
      <c r="E282" s="95">
        <v>-11500</v>
      </c>
      <c r="F282">
        <v>485149</v>
      </c>
    </row>
    <row r="283" spans="1:6" hidden="1" x14ac:dyDescent="0.25">
      <c r="A283">
        <v>36</v>
      </c>
      <c r="B283" s="94">
        <v>45002</v>
      </c>
      <c r="C283" t="s">
        <v>226</v>
      </c>
      <c r="D283" t="s">
        <v>227</v>
      </c>
      <c r="E283" s="95">
        <v>8557</v>
      </c>
      <c r="F283">
        <v>0</v>
      </c>
    </row>
    <row r="284" spans="1:6" hidden="1" x14ac:dyDescent="0.25">
      <c r="A284">
        <v>74</v>
      </c>
      <c r="B284" s="94">
        <v>44988</v>
      </c>
      <c r="C284" t="s">
        <v>226</v>
      </c>
      <c r="D284" t="s">
        <v>227</v>
      </c>
      <c r="E284" s="95">
        <v>2852</v>
      </c>
      <c r="F284">
        <v>0</v>
      </c>
    </row>
    <row r="285" spans="1:6" hidden="1" x14ac:dyDescent="0.25">
      <c r="A285">
        <v>67</v>
      </c>
      <c r="B285" s="94">
        <v>44991</v>
      </c>
      <c r="C285" t="s">
        <v>226</v>
      </c>
      <c r="D285" t="s">
        <v>227</v>
      </c>
      <c r="E285" s="95">
        <v>335293.31</v>
      </c>
      <c r="F285">
        <v>0</v>
      </c>
    </row>
    <row r="286" spans="1:6" hidden="1" x14ac:dyDescent="0.25">
      <c r="A286">
        <v>66</v>
      </c>
      <c r="B286" s="94">
        <v>44991</v>
      </c>
      <c r="C286" t="s">
        <v>226</v>
      </c>
      <c r="D286" t="s">
        <v>227</v>
      </c>
      <c r="E286" s="95">
        <v>21591.89</v>
      </c>
      <c r="F286">
        <v>0</v>
      </c>
    </row>
    <row r="287" spans="1:6" hidden="1" x14ac:dyDescent="0.25">
      <c r="A287">
        <v>11</v>
      </c>
      <c r="B287" s="94">
        <v>45012</v>
      </c>
      <c r="C287" t="s">
        <v>226</v>
      </c>
      <c r="D287" t="s">
        <v>227</v>
      </c>
      <c r="E287" s="95">
        <v>8557</v>
      </c>
      <c r="F287">
        <v>0</v>
      </c>
    </row>
    <row r="288" spans="1:6" hidden="1" x14ac:dyDescent="0.25">
      <c r="A288">
        <v>29</v>
      </c>
      <c r="B288" s="94">
        <v>45005</v>
      </c>
      <c r="C288" t="s">
        <v>226</v>
      </c>
      <c r="D288" t="s">
        <v>227</v>
      </c>
      <c r="E288" s="95">
        <v>1492603.35</v>
      </c>
      <c r="F288">
        <v>0</v>
      </c>
    </row>
    <row r="289" spans="1:6" hidden="1" x14ac:dyDescent="0.25">
      <c r="A289">
        <v>0</v>
      </c>
      <c r="B289" s="94">
        <v>45016</v>
      </c>
      <c r="C289" t="s">
        <v>211</v>
      </c>
      <c r="D289" t="s">
        <v>269</v>
      </c>
      <c r="E289" s="95">
        <v>-770</v>
      </c>
      <c r="F289">
        <v>93181</v>
      </c>
    </row>
    <row r="290" spans="1:6" hidden="1" x14ac:dyDescent="0.25">
      <c r="A290">
        <v>34</v>
      </c>
      <c r="B290" s="94">
        <v>45002</v>
      </c>
      <c r="C290" t="s">
        <v>211</v>
      </c>
      <c r="D290" t="s">
        <v>389</v>
      </c>
      <c r="E290" s="95">
        <v>-2500</v>
      </c>
      <c r="F290">
        <v>80213</v>
      </c>
    </row>
    <row r="291" spans="1:6" hidden="1" x14ac:dyDescent="0.25">
      <c r="A291">
        <v>37</v>
      </c>
      <c r="B291" s="94">
        <v>45001</v>
      </c>
      <c r="C291" t="s">
        <v>211</v>
      </c>
      <c r="D291" t="s">
        <v>390</v>
      </c>
      <c r="E291" s="95">
        <v>-4500</v>
      </c>
      <c r="F291">
        <v>16867</v>
      </c>
    </row>
    <row r="292" spans="1:6" hidden="1" x14ac:dyDescent="0.25">
      <c r="A292">
        <v>38</v>
      </c>
      <c r="B292" s="94">
        <v>45001</v>
      </c>
      <c r="C292" t="s">
        <v>211</v>
      </c>
      <c r="D292" t="s">
        <v>268</v>
      </c>
      <c r="E292" s="95">
        <v>-5320</v>
      </c>
      <c r="F292">
        <v>421428</v>
      </c>
    </row>
    <row r="293" spans="1:6" hidden="1" x14ac:dyDescent="0.25">
      <c r="A293">
        <v>41</v>
      </c>
      <c r="B293" s="94">
        <v>45000</v>
      </c>
      <c r="C293" t="s">
        <v>211</v>
      </c>
      <c r="D293" t="s">
        <v>391</v>
      </c>
      <c r="E293" s="95">
        <v>-11800</v>
      </c>
      <c r="F293">
        <v>357285</v>
      </c>
    </row>
    <row r="294" spans="1:6" hidden="1" x14ac:dyDescent="0.25">
      <c r="A294">
        <v>42</v>
      </c>
      <c r="B294" s="94">
        <v>45000</v>
      </c>
      <c r="C294" t="s">
        <v>211</v>
      </c>
      <c r="D294" t="s">
        <v>278</v>
      </c>
      <c r="E294" s="95">
        <v>-2926</v>
      </c>
      <c r="F294">
        <v>898812</v>
      </c>
    </row>
    <row r="295" spans="1:6" hidden="1" x14ac:dyDescent="0.25">
      <c r="A295">
        <v>43</v>
      </c>
      <c r="B295" s="94">
        <v>44998</v>
      </c>
      <c r="C295" t="s">
        <v>211</v>
      </c>
      <c r="D295" t="s">
        <v>392</v>
      </c>
      <c r="E295" s="95">
        <v>-1310</v>
      </c>
      <c r="F295">
        <v>75613</v>
      </c>
    </row>
    <row r="296" spans="1:6" hidden="1" x14ac:dyDescent="0.25">
      <c r="A296">
        <v>45</v>
      </c>
      <c r="B296" s="94">
        <v>44995</v>
      </c>
      <c r="C296" t="s">
        <v>211</v>
      </c>
      <c r="D296" t="s">
        <v>393</v>
      </c>
      <c r="E296" s="95">
        <v>-2290</v>
      </c>
      <c r="F296">
        <v>20563</v>
      </c>
    </row>
    <row r="297" spans="1:6" hidden="1" x14ac:dyDescent="0.25">
      <c r="A297">
        <v>50</v>
      </c>
      <c r="B297" s="94">
        <v>44994</v>
      </c>
      <c r="C297" t="s">
        <v>211</v>
      </c>
      <c r="D297" t="s">
        <v>242</v>
      </c>
      <c r="E297" s="95">
        <v>-850</v>
      </c>
      <c r="F297">
        <v>68513</v>
      </c>
    </row>
    <row r="298" spans="1:6" hidden="1" x14ac:dyDescent="0.25">
      <c r="A298">
        <v>51</v>
      </c>
      <c r="B298" s="94">
        <v>44994</v>
      </c>
      <c r="C298" t="s">
        <v>211</v>
      </c>
      <c r="D298" t="s">
        <v>394</v>
      </c>
      <c r="E298" s="95">
        <v>-5500</v>
      </c>
      <c r="F298">
        <v>128561</v>
      </c>
    </row>
    <row r="299" spans="1:6" hidden="1" x14ac:dyDescent="0.25">
      <c r="A299">
        <v>60</v>
      </c>
      <c r="B299" s="94">
        <v>44992</v>
      </c>
      <c r="C299" t="s">
        <v>211</v>
      </c>
      <c r="D299" t="s">
        <v>395</v>
      </c>
      <c r="E299" s="95">
        <v>-1670</v>
      </c>
      <c r="F299">
        <v>91941</v>
      </c>
    </row>
    <row r="300" spans="1:6" hidden="1" x14ac:dyDescent="0.25">
      <c r="A300">
        <v>59</v>
      </c>
      <c r="B300" s="94">
        <v>44992</v>
      </c>
      <c r="C300" t="s">
        <v>211</v>
      </c>
      <c r="D300" t="s">
        <v>393</v>
      </c>
      <c r="E300" s="95">
        <v>-1610</v>
      </c>
      <c r="F300">
        <v>58879</v>
      </c>
    </row>
    <row r="301" spans="1:6" hidden="1" x14ac:dyDescent="0.25">
      <c r="A301">
        <v>62</v>
      </c>
      <c r="B301" s="94">
        <v>44991</v>
      </c>
      <c r="C301" t="s">
        <v>211</v>
      </c>
      <c r="D301" t="s">
        <v>245</v>
      </c>
      <c r="E301" s="95">
        <v>-3044.25</v>
      </c>
      <c r="F301">
        <v>25534</v>
      </c>
    </row>
    <row r="302" spans="1:6" hidden="1" x14ac:dyDescent="0.25">
      <c r="A302">
        <v>63</v>
      </c>
      <c r="B302" s="94">
        <v>44991</v>
      </c>
      <c r="C302" t="s">
        <v>211</v>
      </c>
      <c r="D302" t="s">
        <v>268</v>
      </c>
      <c r="E302" s="95">
        <v>-950</v>
      </c>
      <c r="F302">
        <v>965551</v>
      </c>
    </row>
    <row r="303" spans="1:6" hidden="1" x14ac:dyDescent="0.25">
      <c r="A303">
        <v>70</v>
      </c>
      <c r="B303" s="94">
        <v>44988</v>
      </c>
      <c r="C303" t="s">
        <v>211</v>
      </c>
      <c r="D303" t="s">
        <v>396</v>
      </c>
      <c r="E303" s="95">
        <v>-1100</v>
      </c>
      <c r="F303">
        <v>350395</v>
      </c>
    </row>
    <row r="304" spans="1:6" hidden="1" x14ac:dyDescent="0.25">
      <c r="A304">
        <v>71</v>
      </c>
      <c r="B304" s="94">
        <v>44988</v>
      </c>
      <c r="C304" t="s">
        <v>211</v>
      </c>
      <c r="D304" t="s">
        <v>396</v>
      </c>
      <c r="E304" s="95">
        <v>-1000</v>
      </c>
      <c r="F304">
        <v>341815</v>
      </c>
    </row>
    <row r="305" spans="1:6" hidden="1" x14ac:dyDescent="0.25">
      <c r="A305">
        <v>72</v>
      </c>
      <c r="B305" s="94">
        <v>44988</v>
      </c>
      <c r="C305" t="s">
        <v>211</v>
      </c>
      <c r="D305" t="s">
        <v>329</v>
      </c>
      <c r="E305" s="95">
        <v>-700</v>
      </c>
      <c r="F305">
        <v>72514</v>
      </c>
    </row>
    <row r="306" spans="1:6" hidden="1" x14ac:dyDescent="0.25">
      <c r="A306">
        <v>73</v>
      </c>
      <c r="B306" s="94">
        <v>44988</v>
      </c>
      <c r="C306" t="s">
        <v>211</v>
      </c>
      <c r="D306" t="s">
        <v>397</v>
      </c>
      <c r="E306" s="95">
        <v>-480</v>
      </c>
      <c r="F306">
        <v>51607</v>
      </c>
    </row>
    <row r="307" spans="1:6" hidden="1" x14ac:dyDescent="0.25">
      <c r="A307">
        <v>75</v>
      </c>
      <c r="B307" s="94">
        <v>44987</v>
      </c>
      <c r="C307" t="s">
        <v>211</v>
      </c>
      <c r="D307" t="s">
        <v>268</v>
      </c>
      <c r="E307" s="95">
        <v>-1850</v>
      </c>
      <c r="F307">
        <v>707560</v>
      </c>
    </row>
    <row r="308" spans="1:6" hidden="1" x14ac:dyDescent="0.25">
      <c r="A308">
        <v>79</v>
      </c>
      <c r="B308" s="94">
        <v>44986</v>
      </c>
      <c r="C308" t="s">
        <v>211</v>
      </c>
      <c r="D308" t="s">
        <v>278</v>
      </c>
      <c r="E308" s="95">
        <v>-3539</v>
      </c>
      <c r="F308">
        <v>997525</v>
      </c>
    </row>
    <row r="309" spans="1:6" hidden="1" x14ac:dyDescent="0.25">
      <c r="A309">
        <v>56</v>
      </c>
      <c r="B309" s="94">
        <v>44993</v>
      </c>
      <c r="C309" t="s">
        <v>211</v>
      </c>
      <c r="D309" t="s">
        <v>398</v>
      </c>
      <c r="E309" s="95">
        <v>-1000</v>
      </c>
      <c r="F309">
        <v>66846</v>
      </c>
    </row>
    <row r="310" spans="1:6" hidden="1" x14ac:dyDescent="0.25">
      <c r="A310">
        <v>28</v>
      </c>
      <c r="B310" s="94">
        <v>45005</v>
      </c>
      <c r="C310" t="s">
        <v>211</v>
      </c>
      <c r="D310" t="s">
        <v>269</v>
      </c>
      <c r="E310" s="95">
        <v>-560</v>
      </c>
      <c r="F310">
        <v>92642</v>
      </c>
    </row>
    <row r="311" spans="1:6" hidden="1" x14ac:dyDescent="0.25">
      <c r="A311">
        <v>40</v>
      </c>
      <c r="B311" s="94">
        <v>45000</v>
      </c>
      <c r="C311" t="s">
        <v>211</v>
      </c>
      <c r="D311" t="s">
        <v>399</v>
      </c>
      <c r="E311" s="95">
        <v>-3394.07</v>
      </c>
      <c r="F311">
        <v>89559</v>
      </c>
    </row>
    <row r="312" spans="1:6" hidden="1" x14ac:dyDescent="0.25">
      <c r="A312">
        <v>26</v>
      </c>
      <c r="B312" s="94">
        <v>45005</v>
      </c>
      <c r="C312" t="s">
        <v>211</v>
      </c>
      <c r="D312" t="s">
        <v>242</v>
      </c>
      <c r="E312" s="95">
        <v>-970</v>
      </c>
      <c r="F312">
        <v>41287</v>
      </c>
    </row>
    <row r="313" spans="1:6" hidden="1" x14ac:dyDescent="0.25">
      <c r="A313">
        <v>10</v>
      </c>
      <c r="B313" s="94">
        <v>45012</v>
      </c>
      <c r="C313" t="s">
        <v>211</v>
      </c>
      <c r="D313" t="s">
        <v>242</v>
      </c>
      <c r="E313" s="95">
        <v>-630</v>
      </c>
      <c r="F313">
        <v>69250</v>
      </c>
    </row>
    <row r="314" spans="1:6" hidden="1" x14ac:dyDescent="0.25">
      <c r="A314">
        <v>7</v>
      </c>
      <c r="B314" s="94">
        <v>45012</v>
      </c>
      <c r="C314" t="s">
        <v>211</v>
      </c>
      <c r="D314" t="s">
        <v>354</v>
      </c>
      <c r="E314" s="95">
        <v>-2200</v>
      </c>
      <c r="F314">
        <v>72199</v>
      </c>
    </row>
    <row r="315" spans="1:6" hidden="1" x14ac:dyDescent="0.25">
      <c r="A315">
        <v>13</v>
      </c>
      <c r="B315" s="94">
        <v>45008</v>
      </c>
      <c r="C315" t="s">
        <v>211</v>
      </c>
      <c r="D315" t="s">
        <v>393</v>
      </c>
      <c r="E315" s="95">
        <v>-3130</v>
      </c>
      <c r="F315">
        <v>65881</v>
      </c>
    </row>
    <row r="316" spans="1:6" hidden="1" x14ac:dyDescent="0.25">
      <c r="A316">
        <v>14</v>
      </c>
      <c r="B316" s="94">
        <v>45007</v>
      </c>
      <c r="C316" t="s">
        <v>211</v>
      </c>
      <c r="D316" t="s">
        <v>400</v>
      </c>
      <c r="E316" s="95">
        <v>-900</v>
      </c>
      <c r="F316">
        <v>710499</v>
      </c>
    </row>
    <row r="317" spans="1:6" hidden="1" x14ac:dyDescent="0.25">
      <c r="A317">
        <v>15</v>
      </c>
      <c r="B317" s="94">
        <v>45007</v>
      </c>
      <c r="C317" t="s">
        <v>211</v>
      </c>
      <c r="D317" t="s">
        <v>401</v>
      </c>
      <c r="E317" s="95">
        <v>-1560</v>
      </c>
      <c r="F317">
        <v>572143</v>
      </c>
    </row>
    <row r="318" spans="1:6" hidden="1" x14ac:dyDescent="0.25">
      <c r="A318">
        <v>27</v>
      </c>
      <c r="B318" s="94">
        <v>45005</v>
      </c>
      <c r="C318" t="s">
        <v>211</v>
      </c>
      <c r="D318" t="s">
        <v>216</v>
      </c>
      <c r="E318" s="95">
        <v>-3263.9</v>
      </c>
      <c r="F318">
        <v>733879</v>
      </c>
    </row>
    <row r="319" spans="1:6" hidden="1" x14ac:dyDescent="0.25">
      <c r="A319">
        <v>16</v>
      </c>
      <c r="B319" s="94">
        <v>45007</v>
      </c>
      <c r="C319" t="s">
        <v>211</v>
      </c>
      <c r="D319" t="s">
        <v>402</v>
      </c>
      <c r="E319" s="95">
        <v>-2800</v>
      </c>
      <c r="F319">
        <v>525620</v>
      </c>
    </row>
    <row r="320" spans="1:6" hidden="1" x14ac:dyDescent="0.25">
      <c r="A320">
        <v>17</v>
      </c>
      <c r="B320" s="94">
        <v>45007</v>
      </c>
      <c r="C320" t="s">
        <v>211</v>
      </c>
      <c r="D320" t="s">
        <v>401</v>
      </c>
      <c r="E320" s="95">
        <v>-1560</v>
      </c>
      <c r="F320">
        <v>389138</v>
      </c>
    </row>
    <row r="321" spans="1:6" hidden="1" x14ac:dyDescent="0.25">
      <c r="A321">
        <v>9</v>
      </c>
      <c r="B321" s="94">
        <v>45012</v>
      </c>
      <c r="C321" t="s">
        <v>211</v>
      </c>
      <c r="D321" t="s">
        <v>245</v>
      </c>
      <c r="E321" s="95">
        <v>-2630</v>
      </c>
      <c r="F321">
        <v>59705</v>
      </c>
    </row>
    <row r="322" spans="1:6" hidden="1" x14ac:dyDescent="0.25">
      <c r="A322">
        <v>18</v>
      </c>
      <c r="B322" s="94">
        <v>45006</v>
      </c>
      <c r="C322" t="s">
        <v>211</v>
      </c>
      <c r="D322" t="s">
        <v>402</v>
      </c>
      <c r="E322" s="95">
        <v>-4200</v>
      </c>
      <c r="F322">
        <v>99381</v>
      </c>
    </row>
    <row r="323" spans="1:6" hidden="1" x14ac:dyDescent="0.25">
      <c r="A323">
        <v>19</v>
      </c>
      <c r="B323" s="94">
        <v>45006</v>
      </c>
      <c r="C323" t="s">
        <v>211</v>
      </c>
      <c r="D323" t="s">
        <v>403</v>
      </c>
      <c r="E323" s="95">
        <v>-6800</v>
      </c>
      <c r="F323">
        <v>12518</v>
      </c>
    </row>
    <row r="324" spans="1:6" hidden="1" x14ac:dyDescent="0.25">
      <c r="A324">
        <v>20</v>
      </c>
      <c r="B324" s="94">
        <v>45006</v>
      </c>
      <c r="C324" t="s">
        <v>211</v>
      </c>
      <c r="D324" t="s">
        <v>404</v>
      </c>
      <c r="E324" s="95">
        <v>-960</v>
      </c>
      <c r="F324">
        <v>13186</v>
      </c>
    </row>
    <row r="325" spans="1:6" hidden="1" x14ac:dyDescent="0.25">
      <c r="A325">
        <v>8</v>
      </c>
      <c r="B325" s="94">
        <v>45012</v>
      </c>
      <c r="C325" t="s">
        <v>211</v>
      </c>
      <c r="D325" t="s">
        <v>350</v>
      </c>
      <c r="E325" s="95">
        <v>-700</v>
      </c>
      <c r="F325">
        <v>104221</v>
      </c>
    </row>
    <row r="326" spans="1:6" hidden="1" x14ac:dyDescent="0.25">
      <c r="A326">
        <v>6</v>
      </c>
      <c r="B326" s="94">
        <v>45012</v>
      </c>
      <c r="C326" t="s">
        <v>211</v>
      </c>
      <c r="D326" t="s">
        <v>268</v>
      </c>
      <c r="E326" s="95">
        <v>-2040</v>
      </c>
      <c r="F326">
        <v>502736</v>
      </c>
    </row>
    <row r="327" spans="1:6" hidden="1" x14ac:dyDescent="0.25">
      <c r="A327">
        <v>25</v>
      </c>
      <c r="B327" s="94">
        <v>45005</v>
      </c>
      <c r="C327" t="s">
        <v>211</v>
      </c>
      <c r="D327" t="s">
        <v>297</v>
      </c>
      <c r="E327" s="95">
        <v>-1700</v>
      </c>
      <c r="F327">
        <v>68231</v>
      </c>
    </row>
    <row r="328" spans="1:6" hidden="1" x14ac:dyDescent="0.25">
      <c r="A328">
        <v>21</v>
      </c>
      <c r="B328" s="94">
        <v>45005</v>
      </c>
      <c r="C328" t="s">
        <v>211</v>
      </c>
      <c r="D328" t="s">
        <v>400</v>
      </c>
      <c r="E328" s="95">
        <v>-350</v>
      </c>
      <c r="F328">
        <v>824122</v>
      </c>
    </row>
    <row r="329" spans="1:6" hidden="1" x14ac:dyDescent="0.25">
      <c r="A329">
        <v>24</v>
      </c>
      <c r="B329" s="94">
        <v>45005</v>
      </c>
      <c r="C329" t="s">
        <v>211</v>
      </c>
      <c r="D329" t="s">
        <v>242</v>
      </c>
      <c r="E329" s="95">
        <v>-860</v>
      </c>
      <c r="F329">
        <v>41321</v>
      </c>
    </row>
    <row r="330" spans="1:6" hidden="1" x14ac:dyDescent="0.25">
      <c r="A330">
        <v>23</v>
      </c>
      <c r="B330" s="94">
        <v>45005</v>
      </c>
      <c r="C330" t="s">
        <v>211</v>
      </c>
      <c r="D330" t="s">
        <v>268</v>
      </c>
      <c r="E330" s="95">
        <v>-940</v>
      </c>
      <c r="F330">
        <v>566088</v>
      </c>
    </row>
    <row r="331" spans="1:6" hidden="1" x14ac:dyDescent="0.25">
      <c r="A331">
        <v>4</v>
      </c>
      <c r="B331" s="94">
        <v>45015</v>
      </c>
      <c r="C331" t="s">
        <v>211</v>
      </c>
      <c r="D331" t="s">
        <v>350</v>
      </c>
      <c r="E331" s="95">
        <v>-951.25</v>
      </c>
      <c r="F331">
        <v>104272</v>
      </c>
    </row>
    <row r="332" spans="1:6" hidden="1" x14ac:dyDescent="0.25">
      <c r="A332">
        <v>22</v>
      </c>
      <c r="B332" s="94">
        <v>45005</v>
      </c>
      <c r="C332" t="s">
        <v>211</v>
      </c>
      <c r="D332" t="s">
        <v>350</v>
      </c>
      <c r="E332" s="95">
        <v>-700</v>
      </c>
      <c r="F332">
        <v>104184</v>
      </c>
    </row>
    <row r="333" spans="1:6" hidden="1" x14ac:dyDescent="0.25">
      <c r="A333">
        <v>58</v>
      </c>
      <c r="B333" s="94">
        <v>44993</v>
      </c>
      <c r="C333" t="s">
        <v>243</v>
      </c>
      <c r="E333" s="95">
        <v>530821.92000000004</v>
      </c>
      <c r="F333">
        <v>470297</v>
      </c>
    </row>
    <row r="334" spans="1:6" hidden="1" x14ac:dyDescent="0.25">
      <c r="A334">
        <v>61</v>
      </c>
      <c r="B334" s="94">
        <v>44992</v>
      </c>
      <c r="C334" t="s">
        <v>221</v>
      </c>
      <c r="D334" t="s">
        <v>257</v>
      </c>
      <c r="E334" s="95">
        <v>7600</v>
      </c>
      <c r="F334">
        <v>389000</v>
      </c>
    </row>
    <row r="335" spans="1:6" hidden="1" x14ac:dyDescent="0.25">
      <c r="A335">
        <v>46</v>
      </c>
      <c r="B335" s="94">
        <v>44995</v>
      </c>
      <c r="C335" t="s">
        <v>221</v>
      </c>
      <c r="D335" t="s">
        <v>405</v>
      </c>
      <c r="E335" s="95">
        <v>855</v>
      </c>
      <c r="F335">
        <v>21551</v>
      </c>
    </row>
    <row r="336" spans="1:6" hidden="1" x14ac:dyDescent="0.25">
      <c r="A336">
        <v>44</v>
      </c>
      <c r="B336" s="94">
        <v>44998</v>
      </c>
      <c r="C336" t="s">
        <v>244</v>
      </c>
      <c r="D336" t="s">
        <v>406</v>
      </c>
      <c r="E336" s="95">
        <v>-15000</v>
      </c>
      <c r="F336">
        <v>425379</v>
      </c>
    </row>
    <row r="337" spans="1:6" hidden="1" x14ac:dyDescent="0.25">
      <c r="A337">
        <v>49</v>
      </c>
      <c r="B337" s="94">
        <v>44995</v>
      </c>
      <c r="C337" t="s">
        <v>222</v>
      </c>
      <c r="D337" t="s">
        <v>223</v>
      </c>
      <c r="E337" s="95">
        <v>-210264.08</v>
      </c>
      <c r="F337">
        <v>230309</v>
      </c>
    </row>
    <row r="338" spans="1:6" hidden="1" x14ac:dyDescent="0.25">
      <c r="A338">
        <v>33</v>
      </c>
      <c r="B338" s="94">
        <v>45005</v>
      </c>
      <c r="C338" t="s">
        <v>258</v>
      </c>
      <c r="E338" s="95">
        <v>-1000000</v>
      </c>
      <c r="F338">
        <v>1</v>
      </c>
    </row>
    <row r="339" spans="1:6" hidden="1" x14ac:dyDescent="0.25">
      <c r="A339">
        <v>52</v>
      </c>
      <c r="B339" s="94">
        <v>44994</v>
      </c>
      <c r="C339" t="s">
        <v>229</v>
      </c>
      <c r="D339" t="s">
        <v>230</v>
      </c>
      <c r="E339" s="95">
        <v>-20000</v>
      </c>
      <c r="F339">
        <v>4595</v>
      </c>
    </row>
    <row r="340" spans="1:6" hidden="1" x14ac:dyDescent="0.25">
      <c r="A340">
        <v>76</v>
      </c>
      <c r="B340" s="94">
        <v>44987</v>
      </c>
      <c r="C340" t="s">
        <v>229</v>
      </c>
      <c r="D340" t="s">
        <v>230</v>
      </c>
      <c r="E340" s="95">
        <v>-5000</v>
      </c>
      <c r="F340">
        <v>3070</v>
      </c>
    </row>
    <row r="341" spans="1:6" hidden="1" x14ac:dyDescent="0.25">
      <c r="A341">
        <v>1</v>
      </c>
      <c r="B341" s="94">
        <v>45016</v>
      </c>
      <c r="C341" t="s">
        <v>229</v>
      </c>
      <c r="D341" t="s">
        <v>230</v>
      </c>
      <c r="E341" s="95">
        <v>-10000</v>
      </c>
      <c r="F341">
        <v>9316</v>
      </c>
    </row>
    <row r="342" spans="1:6" hidden="1" x14ac:dyDescent="0.25">
      <c r="A342">
        <v>39</v>
      </c>
      <c r="B342" s="94">
        <v>45001</v>
      </c>
      <c r="C342" t="s">
        <v>376</v>
      </c>
      <c r="D342" t="s">
        <v>379</v>
      </c>
      <c r="E342" s="95">
        <v>-20000</v>
      </c>
      <c r="F342">
        <v>5314</v>
      </c>
    </row>
    <row r="343" spans="1:6" hidden="1" x14ac:dyDescent="0.25">
      <c r="A343">
        <v>53</v>
      </c>
      <c r="B343" s="94">
        <v>44994</v>
      </c>
      <c r="C343" t="s">
        <v>376</v>
      </c>
      <c r="D343" t="s">
        <v>407</v>
      </c>
      <c r="E343" s="95">
        <v>-100</v>
      </c>
      <c r="F343">
        <v>4954</v>
      </c>
    </row>
    <row r="344" spans="1:6" hidden="1" x14ac:dyDescent="0.25">
      <c r="A344">
        <v>57</v>
      </c>
      <c r="B344" s="94">
        <v>44993</v>
      </c>
      <c r="C344" t="s">
        <v>376</v>
      </c>
      <c r="D344" t="s">
        <v>379</v>
      </c>
      <c r="E344" s="95">
        <v>-1000</v>
      </c>
      <c r="F344">
        <v>948</v>
      </c>
    </row>
    <row r="345" spans="1:6" hidden="1" x14ac:dyDescent="0.25">
      <c r="A345">
        <v>47</v>
      </c>
      <c r="B345" s="94">
        <v>44995</v>
      </c>
      <c r="C345" t="s">
        <v>376</v>
      </c>
      <c r="D345" t="s">
        <v>379</v>
      </c>
      <c r="E345" s="95">
        <v>-20000</v>
      </c>
      <c r="F345">
        <v>4179</v>
      </c>
    </row>
    <row r="346" spans="1:6" hidden="1" x14ac:dyDescent="0.25">
      <c r="A346">
        <v>64</v>
      </c>
      <c r="B346" s="94">
        <v>44991</v>
      </c>
      <c r="C346" t="s">
        <v>376</v>
      </c>
      <c r="D346" t="s">
        <v>408</v>
      </c>
      <c r="E346" s="95">
        <v>-10000</v>
      </c>
      <c r="F346">
        <v>127</v>
      </c>
    </row>
    <row r="347" spans="1:6" hidden="1" x14ac:dyDescent="0.25">
      <c r="A347">
        <v>65</v>
      </c>
      <c r="B347" s="94">
        <v>44991</v>
      </c>
      <c r="C347" t="s">
        <v>376</v>
      </c>
      <c r="D347" t="s">
        <v>408</v>
      </c>
      <c r="E347" s="95">
        <v>-10000</v>
      </c>
      <c r="F347">
        <v>126</v>
      </c>
    </row>
    <row r="348" spans="1:6" hidden="1" x14ac:dyDescent="0.25">
      <c r="A348">
        <v>48</v>
      </c>
      <c r="B348" s="94">
        <v>44995</v>
      </c>
      <c r="C348" t="s">
        <v>376</v>
      </c>
      <c r="D348" t="s">
        <v>379</v>
      </c>
      <c r="E348" s="95">
        <v>-30000</v>
      </c>
      <c r="F348">
        <v>4178</v>
      </c>
    </row>
    <row r="349" spans="1:6" hidden="1" x14ac:dyDescent="0.25">
      <c r="A349">
        <v>54</v>
      </c>
      <c r="B349" s="94">
        <v>44994</v>
      </c>
      <c r="C349" t="s">
        <v>409</v>
      </c>
      <c r="E349" s="95">
        <v>-30000</v>
      </c>
      <c r="F349">
        <v>20</v>
      </c>
    </row>
    <row r="350" spans="1:6" hidden="1" x14ac:dyDescent="0.25">
      <c r="A350">
        <v>3</v>
      </c>
      <c r="B350" s="94">
        <v>45016</v>
      </c>
      <c r="C350" t="s">
        <v>215</v>
      </c>
      <c r="E350" s="95">
        <v>-494.42</v>
      </c>
      <c r="F350">
        <v>0</v>
      </c>
    </row>
    <row r="351" spans="1:6" hidden="1" x14ac:dyDescent="0.25">
      <c r="A351">
        <v>81</v>
      </c>
      <c r="B351" s="94">
        <v>44986</v>
      </c>
      <c r="C351" t="s">
        <v>231</v>
      </c>
      <c r="E351" s="95">
        <v>19.52</v>
      </c>
      <c r="F351">
        <v>0</v>
      </c>
    </row>
    <row r="352" spans="1:6" hidden="1" x14ac:dyDescent="0.25">
      <c r="A352">
        <v>2</v>
      </c>
      <c r="B352" s="94">
        <v>45016</v>
      </c>
      <c r="C352" t="s">
        <v>214</v>
      </c>
      <c r="E352" s="95">
        <v>-2354.39</v>
      </c>
      <c r="F352">
        <v>0</v>
      </c>
    </row>
    <row r="353" spans="1:6" hidden="1" x14ac:dyDescent="0.25">
      <c r="A353">
        <v>55</v>
      </c>
      <c r="B353" s="94">
        <v>44993</v>
      </c>
      <c r="C353" t="s">
        <v>224</v>
      </c>
      <c r="D353" t="s">
        <v>225</v>
      </c>
      <c r="E353" s="95">
        <v>-63386.65</v>
      </c>
      <c r="F353">
        <v>199749</v>
      </c>
    </row>
    <row r="354" spans="1:6" hidden="1" x14ac:dyDescent="0.25">
      <c r="A354">
        <v>77</v>
      </c>
      <c r="B354" s="94">
        <v>44987</v>
      </c>
      <c r="C354" t="s">
        <v>358</v>
      </c>
      <c r="D354" t="s">
        <v>241</v>
      </c>
      <c r="E354" s="95">
        <v>50000</v>
      </c>
      <c r="F354">
        <v>323704</v>
      </c>
    </row>
    <row r="355" spans="1:6" hidden="1" x14ac:dyDescent="0.25">
      <c r="A355">
        <v>69</v>
      </c>
      <c r="B355" s="94">
        <v>44991</v>
      </c>
      <c r="C355" t="s">
        <v>217</v>
      </c>
      <c r="D355" t="s">
        <v>410</v>
      </c>
      <c r="E355" s="95">
        <v>-20000</v>
      </c>
      <c r="F355">
        <v>609357</v>
      </c>
    </row>
    <row r="356" spans="1:6" hidden="1" x14ac:dyDescent="0.25">
      <c r="A356">
        <v>12</v>
      </c>
      <c r="B356" s="94">
        <v>45012</v>
      </c>
      <c r="C356" t="s">
        <v>217</v>
      </c>
      <c r="D356" t="s">
        <v>362</v>
      </c>
      <c r="E356" s="95">
        <v>-39000</v>
      </c>
      <c r="F356">
        <v>504802</v>
      </c>
    </row>
    <row r="357" spans="1:6" hidden="1" x14ac:dyDescent="0.25">
      <c r="A357">
        <v>80</v>
      </c>
      <c r="B357" s="94">
        <v>44986</v>
      </c>
      <c r="C357" t="s">
        <v>217</v>
      </c>
      <c r="D357" t="s">
        <v>411</v>
      </c>
      <c r="E357" s="95">
        <v>-7000</v>
      </c>
      <c r="F357">
        <v>236948</v>
      </c>
    </row>
    <row r="358" spans="1:6" hidden="1" x14ac:dyDescent="0.25">
      <c r="A358">
        <v>5</v>
      </c>
      <c r="B358" s="94">
        <v>45014</v>
      </c>
      <c r="C358" t="s">
        <v>217</v>
      </c>
      <c r="D358" t="s">
        <v>412</v>
      </c>
      <c r="E358" s="95">
        <v>-110000</v>
      </c>
      <c r="F358">
        <v>16333</v>
      </c>
    </row>
    <row r="359" spans="1:6" hidden="1" x14ac:dyDescent="0.25">
      <c r="A359">
        <v>32</v>
      </c>
      <c r="B359" s="94">
        <v>45005</v>
      </c>
      <c r="C359" t="s">
        <v>217</v>
      </c>
      <c r="D359" t="s">
        <v>413</v>
      </c>
      <c r="E359" s="95">
        <v>-15000</v>
      </c>
      <c r="F359">
        <v>510920</v>
      </c>
    </row>
    <row r="360" spans="1:6" hidden="1" x14ac:dyDescent="0.25">
      <c r="A360">
        <v>31</v>
      </c>
      <c r="B360" s="94">
        <v>45005</v>
      </c>
      <c r="C360" t="s">
        <v>217</v>
      </c>
      <c r="D360" t="s">
        <v>362</v>
      </c>
      <c r="E360" s="95">
        <v>-5000</v>
      </c>
      <c r="F360">
        <v>199359</v>
      </c>
    </row>
    <row r="361" spans="1:6" hidden="1" x14ac:dyDescent="0.25">
      <c r="A361">
        <v>78</v>
      </c>
      <c r="B361" s="94">
        <v>44987</v>
      </c>
      <c r="C361" t="s">
        <v>217</v>
      </c>
      <c r="D361" t="s">
        <v>410</v>
      </c>
      <c r="E361" s="95">
        <v>-60000</v>
      </c>
      <c r="F361">
        <v>344327</v>
      </c>
    </row>
    <row r="362" spans="1:6" hidden="1" x14ac:dyDescent="0.25">
      <c r="A362">
        <v>30</v>
      </c>
      <c r="B362" s="94">
        <v>45005</v>
      </c>
      <c r="C362" t="s">
        <v>217</v>
      </c>
      <c r="D362" t="s">
        <v>362</v>
      </c>
      <c r="E362" s="95">
        <v>-15000</v>
      </c>
      <c r="F362">
        <v>544544</v>
      </c>
    </row>
    <row r="363" spans="1:6" hidden="1" x14ac:dyDescent="0.25">
      <c r="A363">
        <v>68</v>
      </c>
      <c r="B363" s="94">
        <v>44991</v>
      </c>
      <c r="C363" t="s">
        <v>217</v>
      </c>
      <c r="D363" t="s">
        <v>241</v>
      </c>
      <c r="E363" s="95">
        <v>-38000</v>
      </c>
      <c r="F363">
        <v>605751</v>
      </c>
    </row>
    <row r="364" spans="1:6" hidden="1" x14ac:dyDescent="0.25">
      <c r="A364">
        <v>35</v>
      </c>
      <c r="B364" s="94">
        <v>45002</v>
      </c>
      <c r="C364" t="s">
        <v>414</v>
      </c>
      <c r="D364" t="s">
        <v>415</v>
      </c>
      <c r="E364" s="95">
        <v>180587.63</v>
      </c>
      <c r="F364">
        <v>2959873</v>
      </c>
    </row>
    <row r="365" spans="1:6" hidden="1" x14ac:dyDescent="0.25">
      <c r="A365">
        <v>69</v>
      </c>
      <c r="B365" s="94">
        <v>45079</v>
      </c>
      <c r="C365" t="s">
        <v>226</v>
      </c>
      <c r="D365" t="s">
        <v>227</v>
      </c>
      <c r="E365" s="95">
        <v>25257</v>
      </c>
      <c r="F365">
        <v>0</v>
      </c>
    </row>
    <row r="366" spans="1:6" hidden="1" x14ac:dyDescent="0.25">
      <c r="A366">
        <v>59</v>
      </c>
      <c r="B366" s="94">
        <v>45083</v>
      </c>
      <c r="C366" t="s">
        <v>226</v>
      </c>
      <c r="D366" t="s">
        <v>227</v>
      </c>
      <c r="E366" s="95">
        <v>380427.06</v>
      </c>
      <c r="F366">
        <v>0</v>
      </c>
    </row>
    <row r="367" spans="1:6" hidden="1" x14ac:dyDescent="0.25">
      <c r="A367">
        <v>40</v>
      </c>
      <c r="B367" s="94">
        <v>45086</v>
      </c>
      <c r="C367" t="s">
        <v>226</v>
      </c>
      <c r="D367" t="s">
        <v>227</v>
      </c>
      <c r="E367" s="95">
        <v>13312</v>
      </c>
      <c r="F367">
        <v>0</v>
      </c>
    </row>
    <row r="368" spans="1:6" hidden="1" x14ac:dyDescent="0.25">
      <c r="A368">
        <v>0</v>
      </c>
      <c r="B368" s="94">
        <v>45107</v>
      </c>
      <c r="C368" t="s">
        <v>211</v>
      </c>
      <c r="E368" s="95">
        <v>-600</v>
      </c>
      <c r="F368">
        <v>69176</v>
      </c>
    </row>
    <row r="369" spans="1:6" hidden="1" x14ac:dyDescent="0.25">
      <c r="A369">
        <v>26</v>
      </c>
      <c r="B369" s="94">
        <v>45090</v>
      </c>
      <c r="C369" t="s">
        <v>211</v>
      </c>
      <c r="D369" t="s">
        <v>297</v>
      </c>
      <c r="E369" s="95">
        <v>-1700</v>
      </c>
      <c r="F369">
        <v>71337</v>
      </c>
    </row>
    <row r="370" spans="1:6" hidden="1" x14ac:dyDescent="0.25">
      <c r="A370">
        <v>27</v>
      </c>
      <c r="B370" s="94">
        <v>45090</v>
      </c>
      <c r="C370" t="s">
        <v>211</v>
      </c>
      <c r="D370" t="s">
        <v>547</v>
      </c>
      <c r="E370" s="95">
        <v>-2780</v>
      </c>
      <c r="F370">
        <v>72496</v>
      </c>
    </row>
    <row r="371" spans="1:6" hidden="1" x14ac:dyDescent="0.25">
      <c r="A371">
        <v>28</v>
      </c>
      <c r="B371" s="94">
        <v>45090</v>
      </c>
      <c r="C371" t="s">
        <v>211</v>
      </c>
      <c r="D371" t="s">
        <v>278</v>
      </c>
      <c r="E371" s="95">
        <v>-5654.96</v>
      </c>
      <c r="F371">
        <v>896059</v>
      </c>
    </row>
    <row r="372" spans="1:6" hidden="1" x14ac:dyDescent="0.25">
      <c r="A372">
        <v>29</v>
      </c>
      <c r="B372" s="94">
        <v>45090</v>
      </c>
      <c r="C372" t="s">
        <v>211</v>
      </c>
      <c r="D372" t="s">
        <v>242</v>
      </c>
      <c r="E372" s="95">
        <v>-900</v>
      </c>
      <c r="F372">
        <v>43800</v>
      </c>
    </row>
    <row r="373" spans="1:6" hidden="1" x14ac:dyDescent="0.25">
      <c r="A373">
        <v>32</v>
      </c>
      <c r="B373" s="94">
        <v>45089</v>
      </c>
      <c r="C373" t="s">
        <v>211</v>
      </c>
      <c r="D373" t="s">
        <v>548</v>
      </c>
      <c r="E373" s="95">
        <v>-1590</v>
      </c>
      <c r="F373">
        <v>350265</v>
      </c>
    </row>
    <row r="374" spans="1:6" hidden="1" x14ac:dyDescent="0.25">
      <c r="A374">
        <v>33</v>
      </c>
      <c r="B374" s="94">
        <v>45089</v>
      </c>
      <c r="C374" t="s">
        <v>211</v>
      </c>
      <c r="D374" t="s">
        <v>549</v>
      </c>
      <c r="E374" s="95">
        <v>-1500</v>
      </c>
      <c r="F374">
        <v>107909</v>
      </c>
    </row>
    <row r="375" spans="1:6" hidden="1" x14ac:dyDescent="0.25">
      <c r="A375">
        <v>34</v>
      </c>
      <c r="B375" s="94">
        <v>45089</v>
      </c>
      <c r="C375" t="s">
        <v>211</v>
      </c>
      <c r="D375" t="s">
        <v>242</v>
      </c>
      <c r="E375" s="95">
        <v>-830</v>
      </c>
      <c r="F375">
        <v>37794</v>
      </c>
    </row>
    <row r="376" spans="1:6" hidden="1" x14ac:dyDescent="0.25">
      <c r="A376">
        <v>35</v>
      </c>
      <c r="B376" s="94">
        <v>45089</v>
      </c>
      <c r="C376" t="s">
        <v>211</v>
      </c>
      <c r="D376" t="s">
        <v>550</v>
      </c>
      <c r="E376" s="95">
        <v>-4734</v>
      </c>
      <c r="F376">
        <v>655989</v>
      </c>
    </row>
    <row r="377" spans="1:6" hidden="1" x14ac:dyDescent="0.25">
      <c r="A377">
        <v>39</v>
      </c>
      <c r="B377" s="94">
        <v>45086</v>
      </c>
      <c r="C377" t="s">
        <v>211</v>
      </c>
      <c r="D377" t="s">
        <v>551</v>
      </c>
      <c r="E377" s="95">
        <v>-2450</v>
      </c>
      <c r="F377">
        <v>619859</v>
      </c>
    </row>
    <row r="378" spans="1:6" hidden="1" x14ac:dyDescent="0.25">
      <c r="A378">
        <v>25</v>
      </c>
      <c r="B378" s="94">
        <v>45090</v>
      </c>
      <c r="C378" t="s">
        <v>211</v>
      </c>
      <c r="D378" t="s">
        <v>398</v>
      </c>
      <c r="E378" s="95">
        <v>-1190</v>
      </c>
      <c r="F378">
        <v>82097</v>
      </c>
    </row>
    <row r="379" spans="1:6" hidden="1" x14ac:dyDescent="0.25">
      <c r="A379">
        <v>42</v>
      </c>
      <c r="B379" s="94">
        <v>45084</v>
      </c>
      <c r="C379" t="s">
        <v>211</v>
      </c>
      <c r="D379" t="s">
        <v>552</v>
      </c>
      <c r="E379" s="95">
        <v>-1800</v>
      </c>
      <c r="F379">
        <v>433011</v>
      </c>
    </row>
    <row r="380" spans="1:6" hidden="1" x14ac:dyDescent="0.25">
      <c r="A380">
        <v>43</v>
      </c>
      <c r="B380" s="94">
        <v>45084</v>
      </c>
      <c r="C380" t="s">
        <v>211</v>
      </c>
      <c r="D380" t="s">
        <v>212</v>
      </c>
      <c r="E380" s="95">
        <v>-1010</v>
      </c>
      <c r="F380">
        <v>627341</v>
      </c>
    </row>
    <row r="381" spans="1:6" hidden="1" x14ac:dyDescent="0.25">
      <c r="A381">
        <v>44</v>
      </c>
      <c r="B381" s="94">
        <v>45084</v>
      </c>
      <c r="C381" t="s">
        <v>211</v>
      </c>
      <c r="D381" t="s">
        <v>216</v>
      </c>
      <c r="E381" s="95">
        <v>-2339.17</v>
      </c>
      <c r="F381">
        <v>546851</v>
      </c>
    </row>
    <row r="382" spans="1:6" hidden="1" x14ac:dyDescent="0.25">
      <c r="A382">
        <v>57</v>
      </c>
      <c r="B382" s="94">
        <v>45083</v>
      </c>
      <c r="C382" t="s">
        <v>211</v>
      </c>
      <c r="D382" t="s">
        <v>553</v>
      </c>
      <c r="E382" s="95">
        <v>-500</v>
      </c>
      <c r="F382">
        <v>764176</v>
      </c>
    </row>
    <row r="383" spans="1:6" hidden="1" x14ac:dyDescent="0.25">
      <c r="A383">
        <v>67</v>
      </c>
      <c r="B383" s="94">
        <v>45082</v>
      </c>
      <c r="C383" t="s">
        <v>211</v>
      </c>
      <c r="D383" t="s">
        <v>350</v>
      </c>
      <c r="E383" s="95">
        <v>-530</v>
      </c>
      <c r="F383">
        <v>104943</v>
      </c>
    </row>
    <row r="384" spans="1:6" hidden="1" x14ac:dyDescent="0.25">
      <c r="A384">
        <v>68</v>
      </c>
      <c r="B384" s="94">
        <v>45082</v>
      </c>
      <c r="C384" t="s">
        <v>211</v>
      </c>
      <c r="D384" t="s">
        <v>269</v>
      </c>
      <c r="E384" s="95">
        <v>-1480</v>
      </c>
      <c r="F384">
        <v>96009</v>
      </c>
    </row>
    <row r="385" spans="1:6" hidden="1" x14ac:dyDescent="0.25">
      <c r="A385">
        <v>37</v>
      </c>
      <c r="B385" s="94">
        <v>45089</v>
      </c>
      <c r="C385" t="s">
        <v>211</v>
      </c>
      <c r="D385" t="s">
        <v>269</v>
      </c>
      <c r="E385" s="95">
        <v>-1480</v>
      </c>
      <c r="F385">
        <v>96332</v>
      </c>
    </row>
    <row r="386" spans="1:6" hidden="1" x14ac:dyDescent="0.25">
      <c r="A386">
        <v>22</v>
      </c>
      <c r="B386" s="94">
        <v>45091</v>
      </c>
      <c r="C386" t="s">
        <v>211</v>
      </c>
      <c r="D386" t="s">
        <v>464</v>
      </c>
      <c r="E386" s="95">
        <v>-1850</v>
      </c>
      <c r="F386">
        <v>92809</v>
      </c>
    </row>
    <row r="387" spans="1:6" hidden="1" x14ac:dyDescent="0.25">
      <c r="A387">
        <v>36</v>
      </c>
      <c r="B387" s="94">
        <v>45089</v>
      </c>
      <c r="C387" t="s">
        <v>211</v>
      </c>
      <c r="D387" t="s">
        <v>268</v>
      </c>
      <c r="E387" s="95">
        <v>-3780</v>
      </c>
      <c r="F387">
        <v>136375</v>
      </c>
    </row>
    <row r="388" spans="1:6" hidden="1" x14ac:dyDescent="0.25">
      <c r="A388">
        <v>12</v>
      </c>
      <c r="B388" s="94">
        <v>45099</v>
      </c>
      <c r="C388" t="s">
        <v>211</v>
      </c>
      <c r="D388" t="s">
        <v>242</v>
      </c>
      <c r="E388" s="95">
        <v>-500</v>
      </c>
      <c r="F388">
        <v>38526</v>
      </c>
    </row>
    <row r="389" spans="1:6" hidden="1" x14ac:dyDescent="0.25">
      <c r="A389">
        <v>3</v>
      </c>
      <c r="B389" s="94">
        <v>45106</v>
      </c>
      <c r="C389" t="s">
        <v>211</v>
      </c>
      <c r="D389" t="s">
        <v>216</v>
      </c>
      <c r="E389" s="95">
        <v>-4309.5</v>
      </c>
      <c r="F389">
        <v>517441</v>
      </c>
    </row>
    <row r="390" spans="1:6" hidden="1" x14ac:dyDescent="0.25">
      <c r="A390">
        <v>19</v>
      </c>
      <c r="B390" s="94">
        <v>45093</v>
      </c>
      <c r="C390" t="s">
        <v>211</v>
      </c>
      <c r="D390" t="s">
        <v>242</v>
      </c>
      <c r="E390" s="95">
        <v>-1050</v>
      </c>
      <c r="F390">
        <v>43914</v>
      </c>
    </row>
    <row r="391" spans="1:6" hidden="1" x14ac:dyDescent="0.25">
      <c r="A391">
        <v>18</v>
      </c>
      <c r="B391" s="94">
        <v>45093</v>
      </c>
      <c r="C391" t="s">
        <v>211</v>
      </c>
      <c r="D391" t="s">
        <v>554</v>
      </c>
      <c r="E391" s="95">
        <v>-3800</v>
      </c>
      <c r="F391">
        <v>40152</v>
      </c>
    </row>
    <row r="392" spans="1:6" hidden="1" x14ac:dyDescent="0.25">
      <c r="A392">
        <v>17</v>
      </c>
      <c r="B392" s="94">
        <v>45098</v>
      </c>
      <c r="C392" t="s">
        <v>211</v>
      </c>
      <c r="D392" t="s">
        <v>242</v>
      </c>
      <c r="E392" s="95">
        <v>-1530</v>
      </c>
      <c r="F392">
        <v>43940</v>
      </c>
    </row>
    <row r="393" spans="1:6" hidden="1" x14ac:dyDescent="0.25">
      <c r="A393">
        <v>16</v>
      </c>
      <c r="B393" s="94">
        <v>45098</v>
      </c>
      <c r="C393" t="s">
        <v>211</v>
      </c>
      <c r="D393" t="s">
        <v>547</v>
      </c>
      <c r="E393" s="95">
        <v>-8760</v>
      </c>
      <c r="F393">
        <v>20367</v>
      </c>
    </row>
    <row r="394" spans="1:6" hidden="1" x14ac:dyDescent="0.25">
      <c r="A394">
        <v>7</v>
      </c>
      <c r="B394" s="94">
        <v>45103</v>
      </c>
      <c r="C394" t="s">
        <v>211</v>
      </c>
      <c r="D394" t="s">
        <v>242</v>
      </c>
      <c r="E394" s="95">
        <v>-1345</v>
      </c>
      <c r="F394">
        <v>44168</v>
      </c>
    </row>
    <row r="395" spans="1:6" hidden="1" x14ac:dyDescent="0.25">
      <c r="A395">
        <v>6</v>
      </c>
      <c r="B395" s="94">
        <v>45103</v>
      </c>
      <c r="C395" t="s">
        <v>211</v>
      </c>
      <c r="D395" t="s">
        <v>298</v>
      </c>
      <c r="E395" s="95">
        <v>-1612</v>
      </c>
      <c r="F395">
        <v>134197</v>
      </c>
    </row>
    <row r="396" spans="1:6" hidden="1" x14ac:dyDescent="0.25">
      <c r="A396">
        <v>15</v>
      </c>
      <c r="B396" s="94">
        <v>45098</v>
      </c>
      <c r="C396" t="s">
        <v>211</v>
      </c>
      <c r="D396" t="s">
        <v>268</v>
      </c>
      <c r="E396" s="95">
        <v>-1000</v>
      </c>
      <c r="F396">
        <v>642523</v>
      </c>
    </row>
    <row r="397" spans="1:6" hidden="1" x14ac:dyDescent="0.25">
      <c r="A397">
        <v>14</v>
      </c>
      <c r="B397" s="94">
        <v>45099</v>
      </c>
      <c r="C397" t="s">
        <v>211</v>
      </c>
      <c r="D397" t="s">
        <v>474</v>
      </c>
      <c r="E397" s="95">
        <v>-3260</v>
      </c>
      <c r="F397">
        <v>57813</v>
      </c>
    </row>
    <row r="398" spans="1:6" hidden="1" x14ac:dyDescent="0.25">
      <c r="A398">
        <v>13</v>
      </c>
      <c r="B398" s="94">
        <v>45099</v>
      </c>
      <c r="C398" t="s">
        <v>211</v>
      </c>
      <c r="D398" t="s">
        <v>278</v>
      </c>
      <c r="E398" s="95">
        <v>-5193.03</v>
      </c>
      <c r="F398">
        <v>287585</v>
      </c>
    </row>
    <row r="399" spans="1:6" hidden="1" x14ac:dyDescent="0.25">
      <c r="A399">
        <v>58</v>
      </c>
      <c r="B399" s="94">
        <v>45083</v>
      </c>
      <c r="C399" t="s">
        <v>435</v>
      </c>
      <c r="D399" t="s">
        <v>477</v>
      </c>
      <c r="E399" s="95">
        <v>-296181.01</v>
      </c>
      <c r="F399">
        <v>690718</v>
      </c>
    </row>
    <row r="400" spans="1:6" hidden="1" x14ac:dyDescent="0.25">
      <c r="A400">
        <v>46</v>
      </c>
      <c r="B400" s="94">
        <v>45084</v>
      </c>
      <c r="C400" t="s">
        <v>478</v>
      </c>
      <c r="E400" s="95">
        <v>-50700</v>
      </c>
      <c r="F400">
        <v>721573</v>
      </c>
    </row>
    <row r="401" spans="1:6" hidden="1" x14ac:dyDescent="0.25">
      <c r="A401">
        <v>31</v>
      </c>
      <c r="B401" s="94">
        <v>45090</v>
      </c>
      <c r="C401" t="s">
        <v>229</v>
      </c>
      <c r="D401" t="s">
        <v>230</v>
      </c>
      <c r="E401" s="95">
        <v>-12000</v>
      </c>
      <c r="F401">
        <v>5028</v>
      </c>
    </row>
    <row r="402" spans="1:6" hidden="1" x14ac:dyDescent="0.25">
      <c r="A402">
        <v>30</v>
      </c>
      <c r="B402" s="94">
        <v>45090</v>
      </c>
      <c r="C402" t="s">
        <v>229</v>
      </c>
      <c r="D402" t="s">
        <v>230</v>
      </c>
      <c r="E402" s="95">
        <v>-5000</v>
      </c>
      <c r="F402">
        <v>5030</v>
      </c>
    </row>
    <row r="403" spans="1:6" hidden="1" x14ac:dyDescent="0.25">
      <c r="A403">
        <v>8</v>
      </c>
      <c r="B403" s="94">
        <v>45100</v>
      </c>
      <c r="C403" t="s">
        <v>229</v>
      </c>
      <c r="D403" t="s">
        <v>230</v>
      </c>
      <c r="E403" s="95">
        <v>-12000</v>
      </c>
      <c r="F403">
        <v>6865</v>
      </c>
    </row>
    <row r="404" spans="1:6" hidden="1" x14ac:dyDescent="0.25">
      <c r="A404">
        <v>41</v>
      </c>
      <c r="B404" s="94">
        <v>45085</v>
      </c>
      <c r="C404" t="s">
        <v>376</v>
      </c>
      <c r="D404" t="s">
        <v>379</v>
      </c>
      <c r="E404" s="95">
        <v>-10000</v>
      </c>
      <c r="F404">
        <v>9071</v>
      </c>
    </row>
    <row r="405" spans="1:6" hidden="1" x14ac:dyDescent="0.25">
      <c r="A405">
        <v>11</v>
      </c>
      <c r="B405" s="94">
        <v>45100</v>
      </c>
      <c r="C405" t="s">
        <v>376</v>
      </c>
      <c r="D405" t="s">
        <v>379</v>
      </c>
      <c r="E405" s="95">
        <v>-10000</v>
      </c>
      <c r="F405">
        <v>2166</v>
      </c>
    </row>
    <row r="406" spans="1:6" hidden="1" x14ac:dyDescent="0.25">
      <c r="A406">
        <v>10</v>
      </c>
      <c r="B406" s="94">
        <v>45100</v>
      </c>
      <c r="C406" t="s">
        <v>376</v>
      </c>
      <c r="D406" t="s">
        <v>379</v>
      </c>
      <c r="E406" s="95">
        <v>-5000</v>
      </c>
      <c r="F406">
        <v>2167</v>
      </c>
    </row>
    <row r="407" spans="1:6" hidden="1" x14ac:dyDescent="0.25">
      <c r="A407">
        <v>38</v>
      </c>
      <c r="B407" s="94">
        <v>45089</v>
      </c>
      <c r="C407" t="s">
        <v>376</v>
      </c>
      <c r="D407" t="s">
        <v>379</v>
      </c>
      <c r="E407" s="95">
        <v>-1000</v>
      </c>
      <c r="F407">
        <v>461</v>
      </c>
    </row>
    <row r="408" spans="1:6" hidden="1" x14ac:dyDescent="0.25">
      <c r="A408">
        <v>5</v>
      </c>
      <c r="B408" s="94">
        <v>45104</v>
      </c>
      <c r="C408" t="s">
        <v>376</v>
      </c>
      <c r="D408" t="s">
        <v>379</v>
      </c>
      <c r="E408" s="95">
        <v>-5000</v>
      </c>
      <c r="F408">
        <v>2222</v>
      </c>
    </row>
    <row r="409" spans="1:6" hidden="1" x14ac:dyDescent="0.25">
      <c r="A409">
        <v>4</v>
      </c>
      <c r="B409" s="94">
        <v>45104</v>
      </c>
      <c r="C409" t="s">
        <v>376</v>
      </c>
      <c r="D409" t="s">
        <v>379</v>
      </c>
      <c r="E409" s="95">
        <v>-1000</v>
      </c>
      <c r="F409">
        <v>2223</v>
      </c>
    </row>
    <row r="410" spans="1:6" hidden="1" x14ac:dyDescent="0.25">
      <c r="A410">
        <v>70</v>
      </c>
      <c r="B410" s="94">
        <v>45078</v>
      </c>
      <c r="C410" t="s">
        <v>376</v>
      </c>
      <c r="D410" t="s">
        <v>379</v>
      </c>
      <c r="E410" s="95">
        <v>-5000</v>
      </c>
      <c r="F410">
        <v>8303</v>
      </c>
    </row>
    <row r="411" spans="1:6" hidden="1" x14ac:dyDescent="0.25">
      <c r="A411">
        <v>9</v>
      </c>
      <c r="B411" s="94">
        <v>45100</v>
      </c>
      <c r="C411" t="s">
        <v>376</v>
      </c>
      <c r="D411" t="s">
        <v>379</v>
      </c>
      <c r="E411" s="95">
        <v>-5000</v>
      </c>
      <c r="F411">
        <v>2170</v>
      </c>
    </row>
    <row r="412" spans="1:6" hidden="1" x14ac:dyDescent="0.25">
      <c r="A412">
        <v>21</v>
      </c>
      <c r="B412" s="94">
        <v>45092</v>
      </c>
      <c r="C412" t="s">
        <v>376</v>
      </c>
      <c r="D412" t="s">
        <v>379</v>
      </c>
      <c r="E412" s="95">
        <v>-10000</v>
      </c>
      <c r="F412">
        <v>1176</v>
      </c>
    </row>
    <row r="413" spans="1:6" hidden="1" x14ac:dyDescent="0.25">
      <c r="A413">
        <v>54</v>
      </c>
      <c r="B413" s="94">
        <v>45084</v>
      </c>
      <c r="C413" t="s">
        <v>479</v>
      </c>
      <c r="E413" s="95">
        <v>-15210</v>
      </c>
      <c r="F413">
        <v>721573</v>
      </c>
    </row>
    <row r="414" spans="1:6" hidden="1" x14ac:dyDescent="0.25">
      <c r="A414">
        <v>24</v>
      </c>
      <c r="B414" s="94">
        <v>45091</v>
      </c>
      <c r="C414" t="s">
        <v>215</v>
      </c>
      <c r="E414" s="95">
        <v>-18437.419999999998</v>
      </c>
      <c r="F414">
        <v>1329817</v>
      </c>
    </row>
    <row r="415" spans="1:6" hidden="1" x14ac:dyDescent="0.25">
      <c r="A415">
        <v>2</v>
      </c>
      <c r="B415" s="94">
        <v>45107</v>
      </c>
      <c r="C415" t="s">
        <v>215</v>
      </c>
      <c r="E415" s="95">
        <v>-494.42</v>
      </c>
      <c r="F415">
        <v>0</v>
      </c>
    </row>
    <row r="416" spans="1:6" hidden="1" x14ac:dyDescent="0.25">
      <c r="A416">
        <v>72</v>
      </c>
      <c r="B416" s="94">
        <v>45078</v>
      </c>
      <c r="C416" t="s">
        <v>231</v>
      </c>
      <c r="E416" s="95">
        <v>50.82</v>
      </c>
      <c r="F416">
        <v>0</v>
      </c>
    </row>
    <row r="417" spans="1:6" hidden="1" x14ac:dyDescent="0.25">
      <c r="A417">
        <v>23</v>
      </c>
      <c r="B417" s="94">
        <v>45091</v>
      </c>
      <c r="C417" t="s">
        <v>555</v>
      </c>
      <c r="E417" s="95">
        <v>-87797.25</v>
      </c>
      <c r="F417">
        <v>1329818</v>
      </c>
    </row>
    <row r="418" spans="1:6" hidden="1" x14ac:dyDescent="0.25">
      <c r="A418">
        <v>1</v>
      </c>
      <c r="B418" s="94">
        <v>45107</v>
      </c>
      <c r="C418" t="s">
        <v>214</v>
      </c>
      <c r="E418" s="95">
        <v>-2354.39</v>
      </c>
      <c r="F418">
        <v>0</v>
      </c>
    </row>
    <row r="419" spans="1:6" hidden="1" x14ac:dyDescent="0.25">
      <c r="A419">
        <v>55</v>
      </c>
      <c r="B419" s="94">
        <v>45084</v>
      </c>
      <c r="C419" t="s">
        <v>480</v>
      </c>
      <c r="E419" s="95">
        <v>-17745</v>
      </c>
      <c r="F419">
        <v>721573</v>
      </c>
    </row>
    <row r="420" spans="1:6" hidden="1" x14ac:dyDescent="0.25">
      <c r="A420">
        <v>56</v>
      </c>
      <c r="B420" s="94">
        <v>45083</v>
      </c>
      <c r="C420" t="s">
        <v>224</v>
      </c>
      <c r="D420" t="s">
        <v>225</v>
      </c>
      <c r="E420" s="95">
        <v>-84741.32</v>
      </c>
      <c r="F420">
        <v>285262</v>
      </c>
    </row>
    <row r="421" spans="1:6" hidden="1" x14ac:dyDescent="0.25">
      <c r="A421">
        <v>53</v>
      </c>
      <c r="B421" s="94">
        <v>45084</v>
      </c>
      <c r="C421" t="s">
        <v>437</v>
      </c>
      <c r="D421" t="s">
        <v>556</v>
      </c>
      <c r="E421" s="95">
        <v>645.69000000000005</v>
      </c>
      <c r="F421">
        <v>61939</v>
      </c>
    </row>
    <row r="422" spans="1:6" hidden="1" x14ac:dyDescent="0.25">
      <c r="A422">
        <v>66</v>
      </c>
      <c r="B422" s="94">
        <v>45083</v>
      </c>
      <c r="C422" t="s">
        <v>437</v>
      </c>
      <c r="D422" t="s">
        <v>557</v>
      </c>
      <c r="E422" s="95">
        <v>470.73</v>
      </c>
      <c r="F422">
        <v>751559</v>
      </c>
    </row>
    <row r="423" spans="1:6" hidden="1" x14ac:dyDescent="0.25">
      <c r="A423">
        <v>65</v>
      </c>
      <c r="B423" s="94">
        <v>45083</v>
      </c>
      <c r="C423" t="s">
        <v>437</v>
      </c>
      <c r="D423" t="s">
        <v>558</v>
      </c>
      <c r="E423" s="95">
        <v>444.62</v>
      </c>
      <c r="F423">
        <v>923717</v>
      </c>
    </row>
    <row r="424" spans="1:6" hidden="1" x14ac:dyDescent="0.25">
      <c r="A424">
        <v>64</v>
      </c>
      <c r="B424" s="94">
        <v>45083</v>
      </c>
      <c r="C424" t="s">
        <v>437</v>
      </c>
      <c r="D424" t="s">
        <v>559</v>
      </c>
      <c r="E424" s="95">
        <v>400</v>
      </c>
      <c r="F424">
        <v>861519</v>
      </c>
    </row>
    <row r="425" spans="1:6" hidden="1" x14ac:dyDescent="0.25">
      <c r="A425">
        <v>63</v>
      </c>
      <c r="B425" s="94">
        <v>45083</v>
      </c>
      <c r="C425" t="s">
        <v>437</v>
      </c>
      <c r="D425" t="s">
        <v>560</v>
      </c>
      <c r="E425" s="95">
        <v>384.77</v>
      </c>
      <c r="F425">
        <v>973593</v>
      </c>
    </row>
    <row r="426" spans="1:6" hidden="1" x14ac:dyDescent="0.25">
      <c r="A426">
        <v>52</v>
      </c>
      <c r="B426" s="94">
        <v>45084</v>
      </c>
      <c r="C426" t="s">
        <v>437</v>
      </c>
      <c r="D426" t="s">
        <v>561</v>
      </c>
      <c r="E426" s="95">
        <v>463.25</v>
      </c>
      <c r="F426">
        <v>217407</v>
      </c>
    </row>
    <row r="427" spans="1:6" hidden="1" x14ac:dyDescent="0.25">
      <c r="A427">
        <v>62</v>
      </c>
      <c r="B427" s="94">
        <v>45083</v>
      </c>
      <c r="C427" t="s">
        <v>437</v>
      </c>
      <c r="D427" t="s">
        <v>562</v>
      </c>
      <c r="E427" s="95">
        <v>230</v>
      </c>
      <c r="F427">
        <v>279635</v>
      </c>
    </row>
    <row r="428" spans="1:6" hidden="1" x14ac:dyDescent="0.25">
      <c r="A428">
        <v>48</v>
      </c>
      <c r="B428" s="94">
        <v>45084</v>
      </c>
      <c r="C428" t="s">
        <v>437</v>
      </c>
      <c r="D428" t="s">
        <v>563</v>
      </c>
      <c r="E428" s="95">
        <v>255</v>
      </c>
      <c r="F428">
        <v>49273</v>
      </c>
    </row>
    <row r="429" spans="1:6" hidden="1" x14ac:dyDescent="0.25">
      <c r="A429">
        <v>49</v>
      </c>
      <c r="B429" s="94">
        <v>45084</v>
      </c>
      <c r="C429" t="s">
        <v>437</v>
      </c>
      <c r="D429" t="s">
        <v>564</v>
      </c>
      <c r="E429" s="95">
        <v>316.61</v>
      </c>
      <c r="F429">
        <v>563773</v>
      </c>
    </row>
    <row r="430" spans="1:6" hidden="1" x14ac:dyDescent="0.25">
      <c r="A430">
        <v>50</v>
      </c>
      <c r="B430" s="94">
        <v>45084</v>
      </c>
      <c r="C430" t="s">
        <v>437</v>
      </c>
      <c r="D430" t="s">
        <v>565</v>
      </c>
      <c r="E430" s="95">
        <v>427</v>
      </c>
      <c r="F430">
        <v>728336</v>
      </c>
    </row>
    <row r="431" spans="1:6" hidden="1" x14ac:dyDescent="0.25">
      <c r="A431">
        <v>51</v>
      </c>
      <c r="B431" s="94">
        <v>45084</v>
      </c>
      <c r="C431" t="s">
        <v>437</v>
      </c>
      <c r="D431" t="s">
        <v>566</v>
      </c>
      <c r="E431" s="95">
        <v>448.14</v>
      </c>
      <c r="F431">
        <v>293243</v>
      </c>
    </row>
    <row r="432" spans="1:6" hidden="1" x14ac:dyDescent="0.25">
      <c r="A432">
        <v>61</v>
      </c>
      <c r="B432" s="94">
        <v>45083</v>
      </c>
      <c r="C432" t="s">
        <v>437</v>
      </c>
      <c r="D432" t="s">
        <v>563</v>
      </c>
      <c r="E432" s="95">
        <v>69.88</v>
      </c>
      <c r="F432">
        <v>477163</v>
      </c>
    </row>
    <row r="433" spans="1:6" hidden="1" x14ac:dyDescent="0.25">
      <c r="A433">
        <v>47</v>
      </c>
      <c r="B433" s="94">
        <v>45084</v>
      </c>
      <c r="C433" t="s">
        <v>437</v>
      </c>
      <c r="D433" t="s">
        <v>440</v>
      </c>
      <c r="E433" s="95">
        <v>90</v>
      </c>
      <c r="F433">
        <v>461475</v>
      </c>
    </row>
    <row r="434" spans="1:6" hidden="1" x14ac:dyDescent="0.25">
      <c r="A434">
        <v>60</v>
      </c>
      <c r="B434" s="94">
        <v>45083</v>
      </c>
      <c r="C434" t="s">
        <v>217</v>
      </c>
      <c r="D434" t="s">
        <v>486</v>
      </c>
      <c r="E434" s="95">
        <v>-7000</v>
      </c>
      <c r="F434">
        <v>137045</v>
      </c>
    </row>
    <row r="435" spans="1:6" hidden="1" x14ac:dyDescent="0.25">
      <c r="A435">
        <v>45</v>
      </c>
      <c r="B435" s="94">
        <v>45084</v>
      </c>
      <c r="C435" t="s">
        <v>217</v>
      </c>
      <c r="D435" t="s">
        <v>567</v>
      </c>
      <c r="E435" s="95">
        <v>-7756.31</v>
      </c>
      <c r="F435">
        <v>566406</v>
      </c>
    </row>
    <row r="436" spans="1:6" hidden="1" x14ac:dyDescent="0.25">
      <c r="A436">
        <v>71</v>
      </c>
      <c r="B436" s="94">
        <v>45078</v>
      </c>
      <c r="C436" t="s">
        <v>217</v>
      </c>
      <c r="D436" t="s">
        <v>485</v>
      </c>
      <c r="E436" s="95">
        <v>-3000</v>
      </c>
      <c r="F436">
        <v>2160</v>
      </c>
    </row>
    <row r="437" spans="1:6" hidden="1" x14ac:dyDescent="0.25">
      <c r="A437">
        <v>20</v>
      </c>
      <c r="B437" s="94">
        <v>45093</v>
      </c>
      <c r="C437" t="s">
        <v>217</v>
      </c>
      <c r="D437" t="s">
        <v>241</v>
      </c>
      <c r="E437" s="95">
        <v>-10000</v>
      </c>
      <c r="F437">
        <v>330554</v>
      </c>
    </row>
    <row r="438" spans="1:6" x14ac:dyDescent="0.25">
      <c r="A438">
        <v>80</v>
      </c>
      <c r="B438" s="94">
        <v>45108</v>
      </c>
      <c r="C438" t="s">
        <v>231</v>
      </c>
      <c r="E438" s="95">
        <v>24.87</v>
      </c>
      <c r="F438">
        <v>0</v>
      </c>
    </row>
    <row r="439" spans="1:6" x14ac:dyDescent="0.25">
      <c r="A439">
        <v>76</v>
      </c>
      <c r="B439" s="94">
        <v>45110</v>
      </c>
      <c r="C439" t="s">
        <v>211</v>
      </c>
      <c r="D439" t="s">
        <v>242</v>
      </c>
      <c r="E439" s="95">
        <v>-1340</v>
      </c>
      <c r="F439">
        <v>44498</v>
      </c>
    </row>
    <row r="440" spans="1:6" x14ac:dyDescent="0.25">
      <c r="A440">
        <v>77</v>
      </c>
      <c r="B440" s="94">
        <v>45110</v>
      </c>
      <c r="C440" t="s">
        <v>376</v>
      </c>
      <c r="D440" t="s">
        <v>407</v>
      </c>
      <c r="E440" s="95">
        <v>-3000</v>
      </c>
      <c r="F440">
        <v>4081</v>
      </c>
    </row>
    <row r="441" spans="1:6" x14ac:dyDescent="0.25">
      <c r="A441">
        <v>79</v>
      </c>
      <c r="B441" s="94">
        <v>45110</v>
      </c>
      <c r="C441" t="s">
        <v>358</v>
      </c>
      <c r="D441" t="s">
        <v>359</v>
      </c>
      <c r="E441" s="95">
        <v>30000</v>
      </c>
      <c r="F441">
        <v>805265</v>
      </c>
    </row>
    <row r="442" spans="1:6" x14ac:dyDescent="0.25">
      <c r="A442">
        <v>78</v>
      </c>
      <c r="B442" s="94">
        <v>45110</v>
      </c>
      <c r="C442" t="s">
        <v>358</v>
      </c>
      <c r="D442" t="s">
        <v>241</v>
      </c>
      <c r="E442" s="95">
        <v>30000</v>
      </c>
      <c r="F442">
        <v>149151</v>
      </c>
    </row>
    <row r="443" spans="1:6" x14ac:dyDescent="0.25">
      <c r="A443">
        <v>73</v>
      </c>
      <c r="B443" s="94">
        <v>45111</v>
      </c>
      <c r="C443" t="s">
        <v>211</v>
      </c>
      <c r="D443" t="s">
        <v>592</v>
      </c>
      <c r="E443" s="95">
        <v>-2942.65</v>
      </c>
      <c r="F443">
        <v>40079</v>
      </c>
    </row>
    <row r="444" spans="1:6" x14ac:dyDescent="0.25">
      <c r="A444">
        <v>74</v>
      </c>
      <c r="B444" s="94">
        <v>45111</v>
      </c>
      <c r="C444" t="s">
        <v>211</v>
      </c>
      <c r="D444" t="s">
        <v>268</v>
      </c>
      <c r="E444" s="95">
        <v>-2810</v>
      </c>
      <c r="F444">
        <v>464743</v>
      </c>
    </row>
    <row r="445" spans="1:6" x14ac:dyDescent="0.25">
      <c r="A445">
        <v>75</v>
      </c>
      <c r="B445" s="94">
        <v>45111</v>
      </c>
      <c r="C445" t="s">
        <v>376</v>
      </c>
      <c r="D445" t="s">
        <v>379</v>
      </c>
      <c r="E445" s="95">
        <v>-10000</v>
      </c>
      <c r="F445">
        <v>4086</v>
      </c>
    </row>
    <row r="446" spans="1:6" x14ac:dyDescent="0.25">
      <c r="A446">
        <v>70</v>
      </c>
      <c r="B446" s="94">
        <v>45112</v>
      </c>
      <c r="C446" t="s">
        <v>226</v>
      </c>
      <c r="D446" t="s">
        <v>227</v>
      </c>
      <c r="E446" s="95">
        <v>319803.76</v>
      </c>
      <c r="F446">
        <v>0</v>
      </c>
    </row>
    <row r="447" spans="1:6" x14ac:dyDescent="0.25">
      <c r="A447">
        <v>71</v>
      </c>
      <c r="B447" s="94">
        <v>45112</v>
      </c>
      <c r="C447" t="s">
        <v>226</v>
      </c>
      <c r="D447" t="s">
        <v>227</v>
      </c>
      <c r="E447" s="95">
        <v>500106.03</v>
      </c>
      <c r="F447">
        <v>0</v>
      </c>
    </row>
    <row r="448" spans="1:6" x14ac:dyDescent="0.25">
      <c r="A448">
        <v>72</v>
      </c>
      <c r="B448" s="94">
        <v>45112</v>
      </c>
      <c r="C448" t="s">
        <v>591</v>
      </c>
      <c r="E448" s="95">
        <v>-12072</v>
      </c>
      <c r="F448">
        <v>0</v>
      </c>
    </row>
    <row r="449" spans="1:6" x14ac:dyDescent="0.25">
      <c r="A449">
        <v>69</v>
      </c>
      <c r="B449" s="94">
        <v>45112</v>
      </c>
      <c r="C449" t="s">
        <v>435</v>
      </c>
      <c r="D449" t="s">
        <v>477</v>
      </c>
      <c r="E449" s="95">
        <v>-341947.88</v>
      </c>
      <c r="F449">
        <v>821100</v>
      </c>
    </row>
    <row r="450" spans="1:6" x14ac:dyDescent="0.25">
      <c r="A450">
        <v>68</v>
      </c>
      <c r="B450" s="94">
        <v>45113</v>
      </c>
      <c r="C450" t="s">
        <v>226</v>
      </c>
      <c r="D450" t="s">
        <v>227</v>
      </c>
      <c r="E450" s="95">
        <v>14202</v>
      </c>
      <c r="F450">
        <v>0</v>
      </c>
    </row>
    <row r="451" spans="1:6" x14ac:dyDescent="0.25">
      <c r="A451">
        <v>67</v>
      </c>
      <c r="B451" s="94">
        <v>45113</v>
      </c>
      <c r="C451" t="s">
        <v>211</v>
      </c>
      <c r="D451" t="s">
        <v>242</v>
      </c>
      <c r="E451" s="95">
        <v>-1160</v>
      </c>
      <c r="F451">
        <v>39376</v>
      </c>
    </row>
    <row r="452" spans="1:6" x14ac:dyDescent="0.25">
      <c r="A452">
        <v>62</v>
      </c>
      <c r="B452" s="94">
        <v>45114</v>
      </c>
      <c r="C452" t="s">
        <v>211</v>
      </c>
      <c r="D452" t="s">
        <v>354</v>
      </c>
      <c r="E452" s="95">
        <v>-1200</v>
      </c>
      <c r="F452">
        <v>95923</v>
      </c>
    </row>
    <row r="453" spans="1:6" x14ac:dyDescent="0.25">
      <c r="A453">
        <v>63</v>
      </c>
      <c r="B453" s="94">
        <v>45114</v>
      </c>
      <c r="C453" t="s">
        <v>211</v>
      </c>
      <c r="D453" t="s">
        <v>596</v>
      </c>
      <c r="E453" s="95">
        <v>-2550</v>
      </c>
      <c r="F453">
        <v>896481</v>
      </c>
    </row>
    <row r="454" spans="1:6" x14ac:dyDescent="0.25">
      <c r="A454">
        <v>64</v>
      </c>
      <c r="B454" s="94">
        <v>45114</v>
      </c>
      <c r="C454" t="s">
        <v>211</v>
      </c>
      <c r="D454" t="s">
        <v>278</v>
      </c>
      <c r="E454" s="95">
        <v>-5480.56</v>
      </c>
      <c r="F454">
        <v>484663</v>
      </c>
    </row>
    <row r="455" spans="1:6" x14ac:dyDescent="0.25">
      <c r="A455">
        <v>65</v>
      </c>
      <c r="B455" s="94">
        <v>45114</v>
      </c>
      <c r="C455" t="s">
        <v>211</v>
      </c>
      <c r="D455" t="s">
        <v>242</v>
      </c>
      <c r="E455" s="95">
        <v>-1185</v>
      </c>
      <c r="F455">
        <v>39461</v>
      </c>
    </row>
    <row r="456" spans="1:6" x14ac:dyDescent="0.25">
      <c r="A456">
        <v>66</v>
      </c>
      <c r="B456" s="94">
        <v>45114</v>
      </c>
      <c r="C456" t="s">
        <v>217</v>
      </c>
      <c r="D456" t="s">
        <v>615</v>
      </c>
      <c r="E456" s="95">
        <v>-28000</v>
      </c>
      <c r="F456">
        <v>673628</v>
      </c>
    </row>
    <row r="457" spans="1:6" x14ac:dyDescent="0.25">
      <c r="A457">
        <v>53</v>
      </c>
      <c r="B457" s="94">
        <v>45117</v>
      </c>
      <c r="C457" t="s">
        <v>211</v>
      </c>
      <c r="D457" t="s">
        <v>245</v>
      </c>
      <c r="E457" s="95">
        <v>-4385.05</v>
      </c>
      <c r="F457">
        <v>37027</v>
      </c>
    </row>
    <row r="458" spans="1:6" x14ac:dyDescent="0.25">
      <c r="A458">
        <v>52</v>
      </c>
      <c r="B458" s="94">
        <v>45117</v>
      </c>
      <c r="C458" t="s">
        <v>211</v>
      </c>
      <c r="D458" t="s">
        <v>242</v>
      </c>
      <c r="E458" s="95">
        <v>-650</v>
      </c>
      <c r="F458">
        <v>39630</v>
      </c>
    </row>
    <row r="459" spans="1:6" x14ac:dyDescent="0.25">
      <c r="A459">
        <v>54</v>
      </c>
      <c r="B459" s="94">
        <v>45117</v>
      </c>
      <c r="C459" t="s">
        <v>211</v>
      </c>
      <c r="D459" t="s">
        <v>242</v>
      </c>
      <c r="E459" s="95">
        <v>-1340</v>
      </c>
      <c r="F459">
        <v>39543</v>
      </c>
    </row>
    <row r="460" spans="1:6" x14ac:dyDescent="0.25">
      <c r="A460">
        <v>51</v>
      </c>
      <c r="B460" s="94">
        <v>45117</v>
      </c>
      <c r="C460" t="s">
        <v>224</v>
      </c>
      <c r="D460" t="s">
        <v>225</v>
      </c>
      <c r="E460" s="95">
        <v>-83962.87</v>
      </c>
      <c r="F460">
        <v>367728</v>
      </c>
    </row>
    <row r="461" spans="1:6" x14ac:dyDescent="0.25">
      <c r="A461">
        <v>61</v>
      </c>
      <c r="B461" s="94">
        <v>45117</v>
      </c>
      <c r="C461" t="s">
        <v>437</v>
      </c>
      <c r="D461" t="s">
        <v>608</v>
      </c>
      <c r="E461" s="95">
        <v>565.49</v>
      </c>
      <c r="F461">
        <v>896059</v>
      </c>
    </row>
    <row r="462" spans="1:6" x14ac:dyDescent="0.25">
      <c r="A462">
        <v>56</v>
      </c>
      <c r="B462" s="94">
        <v>45117</v>
      </c>
      <c r="C462" t="s">
        <v>437</v>
      </c>
      <c r="D462" t="s">
        <v>609</v>
      </c>
      <c r="E462" s="95">
        <v>161.19999999999999</v>
      </c>
      <c r="F462">
        <v>134197</v>
      </c>
    </row>
    <row r="463" spans="1:6" x14ac:dyDescent="0.25">
      <c r="A463">
        <v>60</v>
      </c>
      <c r="B463" s="94">
        <v>45117</v>
      </c>
      <c r="C463" t="s">
        <v>437</v>
      </c>
      <c r="D463" t="s">
        <v>610</v>
      </c>
      <c r="E463" s="95">
        <v>519.29999999999995</v>
      </c>
      <c r="F463">
        <v>287585</v>
      </c>
    </row>
    <row r="464" spans="1:6" x14ac:dyDescent="0.25">
      <c r="A464">
        <v>58</v>
      </c>
      <c r="B464" s="94">
        <v>45117</v>
      </c>
      <c r="C464" t="s">
        <v>437</v>
      </c>
      <c r="D464" t="s">
        <v>611</v>
      </c>
      <c r="E464" s="95">
        <v>233.91</v>
      </c>
      <c r="F464">
        <v>546851</v>
      </c>
    </row>
    <row r="465" spans="1:6" x14ac:dyDescent="0.25">
      <c r="A465">
        <v>59</v>
      </c>
      <c r="B465" s="94">
        <v>45117</v>
      </c>
      <c r="C465" t="s">
        <v>437</v>
      </c>
      <c r="D465" t="s">
        <v>612</v>
      </c>
      <c r="E465" s="95">
        <v>378</v>
      </c>
      <c r="F465">
        <v>136375</v>
      </c>
    </row>
    <row r="466" spans="1:6" x14ac:dyDescent="0.25">
      <c r="A466">
        <v>57</v>
      </c>
      <c r="B466" s="94">
        <v>45117</v>
      </c>
      <c r="C466" t="s">
        <v>437</v>
      </c>
      <c r="D466" t="s">
        <v>613</v>
      </c>
      <c r="E466" s="95">
        <v>203.3</v>
      </c>
      <c r="F466">
        <v>517441</v>
      </c>
    </row>
    <row r="467" spans="1:6" x14ac:dyDescent="0.25">
      <c r="A467">
        <v>55</v>
      </c>
      <c r="B467" s="94">
        <v>45117</v>
      </c>
      <c r="C467" t="s">
        <v>437</v>
      </c>
      <c r="D467" t="s">
        <v>614</v>
      </c>
      <c r="E467" s="95">
        <v>100</v>
      </c>
      <c r="F467">
        <v>642523</v>
      </c>
    </row>
    <row r="468" spans="1:6" x14ac:dyDescent="0.25">
      <c r="A468">
        <v>48</v>
      </c>
      <c r="B468" s="94">
        <v>45119</v>
      </c>
      <c r="C468" t="s">
        <v>211</v>
      </c>
      <c r="D468" t="s">
        <v>594</v>
      </c>
      <c r="E468" s="95">
        <v>-3300</v>
      </c>
      <c r="F468">
        <v>104289</v>
      </c>
    </row>
    <row r="469" spans="1:6" x14ac:dyDescent="0.25">
      <c r="A469">
        <v>49</v>
      </c>
      <c r="B469" s="94">
        <v>45119</v>
      </c>
      <c r="C469" t="s">
        <v>211</v>
      </c>
      <c r="D469" t="s">
        <v>548</v>
      </c>
      <c r="E469" s="95">
        <v>-2000</v>
      </c>
      <c r="F469">
        <v>99550</v>
      </c>
    </row>
    <row r="470" spans="1:6" x14ac:dyDescent="0.25">
      <c r="A470">
        <v>50</v>
      </c>
      <c r="B470" s="94">
        <v>45119</v>
      </c>
      <c r="C470" t="s">
        <v>211</v>
      </c>
      <c r="D470" t="s">
        <v>473</v>
      </c>
      <c r="E470" s="95">
        <v>-434.01</v>
      </c>
      <c r="F470">
        <v>96979</v>
      </c>
    </row>
    <row r="471" spans="1:6" x14ac:dyDescent="0.25">
      <c r="A471">
        <v>46</v>
      </c>
      <c r="B471" s="94">
        <v>45120</v>
      </c>
      <c r="C471" t="s">
        <v>211</v>
      </c>
      <c r="D471" t="s">
        <v>425</v>
      </c>
      <c r="E471" s="95">
        <v>-1840</v>
      </c>
      <c r="F471">
        <v>101755</v>
      </c>
    </row>
    <row r="472" spans="1:6" x14ac:dyDescent="0.25">
      <c r="A472">
        <v>47</v>
      </c>
      <c r="B472" s="94">
        <v>45120</v>
      </c>
      <c r="C472" t="s">
        <v>217</v>
      </c>
      <c r="D472" t="s">
        <v>617</v>
      </c>
      <c r="E472" s="95">
        <v>-3890</v>
      </c>
      <c r="F472">
        <v>770610</v>
      </c>
    </row>
    <row r="473" spans="1:6" x14ac:dyDescent="0.25">
      <c r="A473">
        <v>41</v>
      </c>
      <c r="B473" s="94">
        <v>45121</v>
      </c>
      <c r="C473" t="s">
        <v>211</v>
      </c>
      <c r="D473" t="s">
        <v>286</v>
      </c>
      <c r="E473" s="95">
        <v>-251.03</v>
      </c>
      <c r="F473">
        <v>60226</v>
      </c>
    </row>
    <row r="474" spans="1:6" x14ac:dyDescent="0.25">
      <c r="A474">
        <v>42</v>
      </c>
      <c r="B474" s="94">
        <v>45121</v>
      </c>
      <c r="C474" t="s">
        <v>211</v>
      </c>
      <c r="D474" t="s">
        <v>268</v>
      </c>
      <c r="E474" s="95">
        <v>-7570</v>
      </c>
      <c r="F474">
        <v>67606</v>
      </c>
    </row>
    <row r="475" spans="1:6" x14ac:dyDescent="0.25">
      <c r="A475">
        <v>43</v>
      </c>
      <c r="B475" s="94">
        <v>45121</v>
      </c>
      <c r="C475" t="s">
        <v>211</v>
      </c>
      <c r="D475" t="s">
        <v>286</v>
      </c>
      <c r="E475" s="95">
        <v>-2092.77</v>
      </c>
      <c r="F475">
        <v>60205</v>
      </c>
    </row>
    <row r="476" spans="1:6" x14ac:dyDescent="0.25">
      <c r="A476">
        <v>44</v>
      </c>
      <c r="B476" s="94">
        <v>45121</v>
      </c>
      <c r="C476" t="s">
        <v>211</v>
      </c>
      <c r="D476" t="s">
        <v>242</v>
      </c>
      <c r="E476" s="95">
        <v>-1520</v>
      </c>
      <c r="F476">
        <v>39911</v>
      </c>
    </row>
    <row r="477" spans="1:6" x14ac:dyDescent="0.25">
      <c r="A477">
        <v>45</v>
      </c>
      <c r="B477" s="94">
        <v>45121</v>
      </c>
      <c r="C477" t="s">
        <v>229</v>
      </c>
      <c r="D477" t="s">
        <v>230</v>
      </c>
      <c r="E477" s="95">
        <v>-22000</v>
      </c>
      <c r="F477">
        <v>1814</v>
      </c>
    </row>
    <row r="478" spans="1:6" x14ac:dyDescent="0.25">
      <c r="A478">
        <v>40</v>
      </c>
      <c r="B478" s="94">
        <v>45124</v>
      </c>
      <c r="C478" t="s">
        <v>226</v>
      </c>
      <c r="D478" t="s">
        <v>227</v>
      </c>
      <c r="E478" s="95">
        <v>138717.65</v>
      </c>
      <c r="F478">
        <v>0</v>
      </c>
    </row>
    <row r="479" spans="1:6" x14ac:dyDescent="0.25">
      <c r="A479">
        <v>38</v>
      </c>
      <c r="B479" s="94">
        <v>45124</v>
      </c>
      <c r="C479" t="s">
        <v>211</v>
      </c>
      <c r="D479" t="s">
        <v>593</v>
      </c>
      <c r="E479" s="95">
        <v>-3780</v>
      </c>
      <c r="F479">
        <v>18231</v>
      </c>
    </row>
    <row r="480" spans="1:6" x14ac:dyDescent="0.25">
      <c r="A480">
        <v>39</v>
      </c>
      <c r="B480" s="94">
        <v>45124</v>
      </c>
      <c r="C480" t="s">
        <v>244</v>
      </c>
      <c r="D480" t="s">
        <v>602</v>
      </c>
      <c r="E480" s="95">
        <v>-1800</v>
      </c>
      <c r="F480">
        <v>512098</v>
      </c>
    </row>
    <row r="481" spans="1:6" x14ac:dyDescent="0.25">
      <c r="A481">
        <v>33</v>
      </c>
      <c r="B481" s="94">
        <v>45125</v>
      </c>
      <c r="C481" t="s">
        <v>211</v>
      </c>
      <c r="D481" t="s">
        <v>242</v>
      </c>
      <c r="E481" s="95">
        <v>-1700</v>
      </c>
      <c r="F481">
        <v>45026</v>
      </c>
    </row>
    <row r="482" spans="1:6" x14ac:dyDescent="0.25">
      <c r="A482">
        <v>32</v>
      </c>
      <c r="B482" s="94">
        <v>45125</v>
      </c>
      <c r="C482" t="s">
        <v>211</v>
      </c>
      <c r="D482" t="s">
        <v>595</v>
      </c>
      <c r="E482" s="95">
        <v>-6000</v>
      </c>
      <c r="F482">
        <v>94067</v>
      </c>
    </row>
    <row r="483" spans="1:6" x14ac:dyDescent="0.25">
      <c r="A483">
        <v>34</v>
      </c>
      <c r="B483" s="94">
        <v>45125</v>
      </c>
      <c r="C483" t="s">
        <v>244</v>
      </c>
      <c r="D483" t="s">
        <v>603</v>
      </c>
      <c r="E483" s="95">
        <v>-8000</v>
      </c>
      <c r="F483">
        <v>530059</v>
      </c>
    </row>
    <row r="484" spans="1:6" x14ac:dyDescent="0.25">
      <c r="A484">
        <v>35</v>
      </c>
      <c r="B484" s="94">
        <v>45125</v>
      </c>
      <c r="C484" t="s">
        <v>478</v>
      </c>
      <c r="E484" s="95">
        <v>-56000</v>
      </c>
      <c r="F484">
        <v>623635</v>
      </c>
    </row>
    <row r="485" spans="1:6" x14ac:dyDescent="0.25">
      <c r="A485">
        <v>36</v>
      </c>
      <c r="B485" s="94">
        <v>45125</v>
      </c>
      <c r="C485" t="s">
        <v>479</v>
      </c>
      <c r="E485" s="95">
        <v>-16800</v>
      </c>
      <c r="F485">
        <v>623635</v>
      </c>
    </row>
    <row r="486" spans="1:6" x14ac:dyDescent="0.25">
      <c r="A486">
        <v>37</v>
      </c>
      <c r="B486" s="94">
        <v>45125</v>
      </c>
      <c r="C486" t="s">
        <v>480</v>
      </c>
      <c r="E486" s="95">
        <v>-19600</v>
      </c>
      <c r="F486">
        <v>623635</v>
      </c>
    </row>
    <row r="487" spans="1:6" x14ac:dyDescent="0.25">
      <c r="A487">
        <v>29</v>
      </c>
      <c r="B487" s="94">
        <v>45126</v>
      </c>
      <c r="C487" t="s">
        <v>211</v>
      </c>
      <c r="D487" t="s">
        <v>464</v>
      </c>
      <c r="E487" s="95">
        <v>-760</v>
      </c>
      <c r="F487">
        <v>93479</v>
      </c>
    </row>
    <row r="488" spans="1:6" x14ac:dyDescent="0.25">
      <c r="A488">
        <v>31</v>
      </c>
      <c r="B488" s="94">
        <v>45126</v>
      </c>
      <c r="C488" t="s">
        <v>376</v>
      </c>
      <c r="D488" t="s">
        <v>379</v>
      </c>
      <c r="E488" s="95">
        <v>-10000</v>
      </c>
      <c r="F488">
        <v>6346</v>
      </c>
    </row>
    <row r="489" spans="1:6" x14ac:dyDescent="0.25">
      <c r="A489">
        <v>30</v>
      </c>
      <c r="B489" s="94">
        <v>45126</v>
      </c>
      <c r="C489" t="s">
        <v>376</v>
      </c>
      <c r="D489" t="s">
        <v>379</v>
      </c>
      <c r="E489" s="95">
        <v>-10000</v>
      </c>
      <c r="F489">
        <v>6347</v>
      </c>
    </row>
    <row r="490" spans="1:6" x14ac:dyDescent="0.25">
      <c r="A490">
        <v>28</v>
      </c>
      <c r="B490" s="94">
        <v>45128</v>
      </c>
      <c r="C490" t="s">
        <v>226</v>
      </c>
      <c r="D490" t="s">
        <v>227</v>
      </c>
      <c r="E490" s="95">
        <v>14202</v>
      </c>
      <c r="F490">
        <v>0</v>
      </c>
    </row>
    <row r="491" spans="1:6" x14ac:dyDescent="0.25">
      <c r="A491">
        <v>24</v>
      </c>
      <c r="B491" s="94">
        <v>45128</v>
      </c>
      <c r="C491" t="s">
        <v>211</v>
      </c>
      <c r="D491" t="s">
        <v>598</v>
      </c>
      <c r="E491" s="95">
        <v>-2500</v>
      </c>
      <c r="F491">
        <v>10160</v>
      </c>
    </row>
    <row r="492" spans="1:6" x14ac:dyDescent="0.25">
      <c r="A492">
        <v>23</v>
      </c>
      <c r="B492" s="94">
        <v>45128</v>
      </c>
      <c r="C492" t="s">
        <v>211</v>
      </c>
      <c r="D492" t="s">
        <v>278</v>
      </c>
      <c r="E492" s="95">
        <v>-5887.01</v>
      </c>
      <c r="F492">
        <v>833390</v>
      </c>
    </row>
    <row r="493" spans="1:6" x14ac:dyDescent="0.25">
      <c r="A493">
        <v>25</v>
      </c>
      <c r="B493" s="94">
        <v>45128</v>
      </c>
      <c r="C493" t="s">
        <v>211</v>
      </c>
      <c r="D493" t="s">
        <v>242</v>
      </c>
      <c r="E493" s="95">
        <v>-1050</v>
      </c>
      <c r="F493">
        <v>40392</v>
      </c>
    </row>
    <row r="494" spans="1:6" x14ac:dyDescent="0.25">
      <c r="A494">
        <v>26</v>
      </c>
      <c r="B494" s="94">
        <v>45128</v>
      </c>
      <c r="C494" t="s">
        <v>211</v>
      </c>
      <c r="D494" t="s">
        <v>397</v>
      </c>
      <c r="E494" s="95">
        <v>-1960</v>
      </c>
      <c r="F494">
        <v>36355</v>
      </c>
    </row>
    <row r="495" spans="1:6" x14ac:dyDescent="0.25">
      <c r="A495">
        <v>27</v>
      </c>
      <c r="B495" s="94">
        <v>45128</v>
      </c>
      <c r="C495" t="s">
        <v>211</v>
      </c>
      <c r="D495" t="s">
        <v>434</v>
      </c>
      <c r="E495" s="95">
        <v>-2900</v>
      </c>
      <c r="F495">
        <v>181956</v>
      </c>
    </row>
    <row r="496" spans="1:6" x14ac:dyDescent="0.25">
      <c r="A496">
        <v>17</v>
      </c>
      <c r="B496" s="94">
        <v>45131</v>
      </c>
      <c r="C496" t="s">
        <v>211</v>
      </c>
      <c r="D496" t="s">
        <v>242</v>
      </c>
      <c r="E496" s="95">
        <v>-1790</v>
      </c>
      <c r="F496">
        <v>40548</v>
      </c>
    </row>
    <row r="497" spans="1:6" x14ac:dyDescent="0.25">
      <c r="A497">
        <v>18</v>
      </c>
      <c r="B497" s="94">
        <v>45131</v>
      </c>
      <c r="C497" t="s">
        <v>211</v>
      </c>
      <c r="D497" t="s">
        <v>296</v>
      </c>
      <c r="E497" s="95">
        <v>-1800</v>
      </c>
      <c r="F497">
        <v>976939</v>
      </c>
    </row>
    <row r="498" spans="1:6" x14ac:dyDescent="0.25">
      <c r="A498">
        <v>19</v>
      </c>
      <c r="B498" s="94">
        <v>45131</v>
      </c>
      <c r="C498" t="s">
        <v>211</v>
      </c>
      <c r="D498" t="s">
        <v>599</v>
      </c>
      <c r="E498" s="95">
        <v>-4380</v>
      </c>
      <c r="F498">
        <v>70844</v>
      </c>
    </row>
    <row r="499" spans="1:6" x14ac:dyDescent="0.25">
      <c r="A499">
        <v>20</v>
      </c>
      <c r="B499" s="94">
        <v>45131</v>
      </c>
      <c r="C499" t="s">
        <v>211</v>
      </c>
      <c r="D499" t="s">
        <v>329</v>
      </c>
      <c r="E499" s="95">
        <v>-1210</v>
      </c>
      <c r="F499">
        <v>11230</v>
      </c>
    </row>
    <row r="500" spans="1:6" x14ac:dyDescent="0.25">
      <c r="A500">
        <v>21</v>
      </c>
      <c r="B500" s="94">
        <v>45131</v>
      </c>
      <c r="C500" t="s">
        <v>217</v>
      </c>
      <c r="D500" t="s">
        <v>618</v>
      </c>
      <c r="E500" s="95">
        <v>-1200</v>
      </c>
      <c r="F500">
        <v>720905</v>
      </c>
    </row>
    <row r="501" spans="1:6" x14ac:dyDescent="0.25">
      <c r="A501">
        <v>22</v>
      </c>
      <c r="B501" s="94">
        <v>45131</v>
      </c>
      <c r="C501" t="s">
        <v>217</v>
      </c>
      <c r="D501" t="s">
        <v>486</v>
      </c>
      <c r="E501" s="95">
        <v>-9000</v>
      </c>
      <c r="F501">
        <v>710703</v>
      </c>
    </row>
    <row r="502" spans="1:6" x14ac:dyDescent="0.25">
      <c r="A502">
        <v>16</v>
      </c>
      <c r="B502" s="94">
        <v>45132</v>
      </c>
      <c r="C502" t="s">
        <v>217</v>
      </c>
      <c r="D502" t="s">
        <v>616</v>
      </c>
      <c r="E502" s="95">
        <v>-18500</v>
      </c>
      <c r="F502">
        <v>789051</v>
      </c>
    </row>
    <row r="503" spans="1:6" x14ac:dyDescent="0.25">
      <c r="A503">
        <v>14</v>
      </c>
      <c r="B503" s="94">
        <v>45133</v>
      </c>
      <c r="C503" t="s">
        <v>376</v>
      </c>
      <c r="D503" t="s">
        <v>379</v>
      </c>
      <c r="E503" s="95">
        <v>-10000</v>
      </c>
      <c r="F503">
        <v>7300</v>
      </c>
    </row>
    <row r="504" spans="1:6" x14ac:dyDescent="0.25">
      <c r="A504">
        <v>15</v>
      </c>
      <c r="B504" s="94">
        <v>45133</v>
      </c>
      <c r="C504" t="s">
        <v>217</v>
      </c>
      <c r="D504" t="s">
        <v>486</v>
      </c>
      <c r="E504" s="95">
        <v>-4800</v>
      </c>
      <c r="F504">
        <v>916585</v>
      </c>
    </row>
    <row r="505" spans="1:6" x14ac:dyDescent="0.25">
      <c r="A505">
        <v>12</v>
      </c>
      <c r="B505" s="94">
        <v>45134</v>
      </c>
      <c r="C505" t="s">
        <v>211</v>
      </c>
      <c r="D505" t="s">
        <v>600</v>
      </c>
      <c r="E505" s="95">
        <v>-5434.99</v>
      </c>
      <c r="F505">
        <v>759333</v>
      </c>
    </row>
    <row r="506" spans="1:6" x14ac:dyDescent="0.25">
      <c r="A506">
        <v>11</v>
      </c>
      <c r="B506" s="94">
        <v>45134</v>
      </c>
      <c r="C506" t="s">
        <v>211</v>
      </c>
      <c r="D506" t="s">
        <v>219</v>
      </c>
      <c r="E506" s="95">
        <v>-3742.02</v>
      </c>
      <c r="F506">
        <v>292523</v>
      </c>
    </row>
    <row r="507" spans="1:6" x14ac:dyDescent="0.25">
      <c r="A507">
        <v>13</v>
      </c>
      <c r="B507" s="94">
        <v>45134</v>
      </c>
      <c r="C507" t="s">
        <v>229</v>
      </c>
      <c r="D507" t="s">
        <v>230</v>
      </c>
      <c r="E507" s="95">
        <v>-13000</v>
      </c>
      <c r="F507">
        <v>4496</v>
      </c>
    </row>
    <row r="508" spans="1:6" x14ac:dyDescent="0.25">
      <c r="A508">
        <v>9</v>
      </c>
      <c r="B508" s="94">
        <v>45135</v>
      </c>
      <c r="C508" t="s">
        <v>226</v>
      </c>
      <c r="D508" t="s">
        <v>227</v>
      </c>
      <c r="E508" s="95">
        <v>18936</v>
      </c>
      <c r="F508">
        <v>0</v>
      </c>
    </row>
    <row r="509" spans="1:6" x14ac:dyDescent="0.25">
      <c r="A509">
        <v>5</v>
      </c>
      <c r="B509" s="94">
        <v>45135</v>
      </c>
      <c r="C509" t="s">
        <v>211</v>
      </c>
      <c r="D509" t="s">
        <v>216</v>
      </c>
      <c r="E509" s="95">
        <v>-3145.33</v>
      </c>
      <c r="F509">
        <v>191327</v>
      </c>
    </row>
    <row r="510" spans="1:6" x14ac:dyDescent="0.25">
      <c r="A510">
        <v>6</v>
      </c>
      <c r="B510" s="94">
        <v>45135</v>
      </c>
      <c r="C510" t="s">
        <v>211</v>
      </c>
      <c r="D510" t="s">
        <v>297</v>
      </c>
      <c r="E510" s="95">
        <v>-2100</v>
      </c>
      <c r="F510">
        <v>83726</v>
      </c>
    </row>
    <row r="511" spans="1:6" x14ac:dyDescent="0.25">
      <c r="A511">
        <v>7</v>
      </c>
      <c r="B511" s="94">
        <v>45135</v>
      </c>
      <c r="C511" t="s">
        <v>604</v>
      </c>
      <c r="D511" t="s">
        <v>605</v>
      </c>
      <c r="E511" s="95">
        <v>-144556.35999999999</v>
      </c>
      <c r="F511">
        <v>0</v>
      </c>
    </row>
    <row r="512" spans="1:6" x14ac:dyDescent="0.25">
      <c r="A512">
        <v>8</v>
      </c>
      <c r="B512" s="94">
        <v>45135</v>
      </c>
      <c r="C512" t="s">
        <v>606</v>
      </c>
      <c r="D512" t="s">
        <v>607</v>
      </c>
      <c r="E512" s="95">
        <v>-17714</v>
      </c>
      <c r="F512">
        <v>0</v>
      </c>
    </row>
    <row r="513" spans="1:6" x14ac:dyDescent="0.25">
      <c r="A513">
        <v>10</v>
      </c>
      <c r="B513" s="94">
        <v>45135</v>
      </c>
      <c r="C513" t="s">
        <v>217</v>
      </c>
      <c r="D513" t="s">
        <v>454</v>
      </c>
      <c r="E513" s="95">
        <v>-9900</v>
      </c>
      <c r="F513">
        <v>1148</v>
      </c>
    </row>
    <row r="514" spans="1:6" x14ac:dyDescent="0.25">
      <c r="A514">
        <v>0</v>
      </c>
      <c r="B514" s="94">
        <v>45138</v>
      </c>
      <c r="C514" t="s">
        <v>211</v>
      </c>
      <c r="D514" t="s">
        <v>597</v>
      </c>
      <c r="E514" s="95">
        <v>-5400</v>
      </c>
      <c r="F514">
        <v>73762</v>
      </c>
    </row>
    <row r="515" spans="1:6" x14ac:dyDescent="0.25">
      <c r="A515">
        <v>2</v>
      </c>
      <c r="B515" s="94">
        <v>45138</v>
      </c>
      <c r="C515" t="s">
        <v>211</v>
      </c>
      <c r="D515" t="s">
        <v>245</v>
      </c>
      <c r="E515" s="95">
        <v>-1350</v>
      </c>
      <c r="F515">
        <v>37875</v>
      </c>
    </row>
    <row r="516" spans="1:6" x14ac:dyDescent="0.25">
      <c r="A516">
        <v>1</v>
      </c>
      <c r="B516" s="94">
        <v>45138</v>
      </c>
      <c r="C516" t="s">
        <v>211</v>
      </c>
      <c r="D516" t="s">
        <v>601</v>
      </c>
      <c r="E516" s="95">
        <v>-2300</v>
      </c>
      <c r="F516">
        <v>40812</v>
      </c>
    </row>
    <row r="517" spans="1:6" x14ac:dyDescent="0.25">
      <c r="A517">
        <v>4</v>
      </c>
      <c r="B517" s="94">
        <v>45138</v>
      </c>
      <c r="C517" t="s">
        <v>215</v>
      </c>
      <c r="E517" s="95">
        <v>-603.19000000000005</v>
      </c>
      <c r="F517">
        <v>0</v>
      </c>
    </row>
    <row r="518" spans="1:6" x14ac:dyDescent="0.25">
      <c r="A518">
        <v>3</v>
      </c>
      <c r="B518" s="94">
        <v>45138</v>
      </c>
      <c r="C518" t="s">
        <v>214</v>
      </c>
      <c r="E518" s="95">
        <v>-2872.35</v>
      </c>
      <c r="F51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70"/>
  <sheetViews>
    <sheetView topLeftCell="A46" workbookViewId="0">
      <selection activeCell="B71" sqref="B7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95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95" t="s">
        <v>323</v>
      </c>
      <c r="F1" t="s">
        <v>324</v>
      </c>
    </row>
    <row r="2" spans="1:6" x14ac:dyDescent="0.25">
      <c r="A2">
        <v>50</v>
      </c>
      <c r="B2" s="94">
        <v>45026</v>
      </c>
      <c r="C2" t="s">
        <v>226</v>
      </c>
      <c r="D2" t="s">
        <v>227</v>
      </c>
      <c r="E2" s="95">
        <v>393146.75</v>
      </c>
      <c r="F2">
        <v>0</v>
      </c>
    </row>
    <row r="3" spans="1:6" x14ac:dyDescent="0.25">
      <c r="A3">
        <v>49</v>
      </c>
      <c r="B3" s="94">
        <v>45026</v>
      </c>
      <c r="C3" t="s">
        <v>226</v>
      </c>
      <c r="D3" t="s">
        <v>227</v>
      </c>
      <c r="E3" s="95">
        <v>8556</v>
      </c>
      <c r="F3">
        <v>0</v>
      </c>
    </row>
    <row r="4" spans="1:6" x14ac:dyDescent="0.25">
      <c r="A4">
        <v>0</v>
      </c>
      <c r="B4" s="94">
        <v>45044</v>
      </c>
      <c r="C4" t="s">
        <v>211</v>
      </c>
      <c r="D4" t="s">
        <v>425</v>
      </c>
      <c r="E4" s="95">
        <v>-1255</v>
      </c>
      <c r="F4">
        <v>101637</v>
      </c>
    </row>
    <row r="5" spans="1:6" x14ac:dyDescent="0.25">
      <c r="A5">
        <v>21</v>
      </c>
      <c r="B5" s="94">
        <v>45036</v>
      </c>
      <c r="C5" t="s">
        <v>211</v>
      </c>
      <c r="D5" t="s">
        <v>242</v>
      </c>
      <c r="E5" s="95">
        <v>-380</v>
      </c>
      <c r="F5">
        <v>34662</v>
      </c>
    </row>
    <row r="6" spans="1:6" x14ac:dyDescent="0.25">
      <c r="A6">
        <v>45</v>
      </c>
      <c r="B6" s="94">
        <v>45026</v>
      </c>
      <c r="C6" t="s">
        <v>211</v>
      </c>
      <c r="D6" t="s">
        <v>269</v>
      </c>
      <c r="E6" s="95">
        <v>-550</v>
      </c>
      <c r="F6">
        <v>93495</v>
      </c>
    </row>
    <row r="7" spans="1:6" x14ac:dyDescent="0.25">
      <c r="A7">
        <v>23</v>
      </c>
      <c r="B7" s="94">
        <v>45036</v>
      </c>
      <c r="C7" t="s">
        <v>211</v>
      </c>
      <c r="D7" t="s">
        <v>426</v>
      </c>
      <c r="E7" s="95">
        <v>-2400</v>
      </c>
      <c r="F7">
        <v>404535</v>
      </c>
    </row>
    <row r="8" spans="1:6" x14ac:dyDescent="0.25">
      <c r="A8">
        <v>26</v>
      </c>
      <c r="B8" s="94">
        <v>45035</v>
      </c>
      <c r="C8" t="s">
        <v>211</v>
      </c>
      <c r="D8" t="s">
        <v>278</v>
      </c>
      <c r="E8" s="95">
        <v>-3847.76</v>
      </c>
      <c r="F8">
        <v>973593</v>
      </c>
    </row>
    <row r="9" spans="1:6" x14ac:dyDescent="0.25">
      <c r="A9">
        <v>27</v>
      </c>
      <c r="B9" s="94">
        <v>45035</v>
      </c>
      <c r="C9" t="s">
        <v>211</v>
      </c>
      <c r="D9" t="s">
        <v>343</v>
      </c>
      <c r="E9" s="95">
        <v>-51000</v>
      </c>
      <c r="F9">
        <v>702414</v>
      </c>
    </row>
    <row r="10" spans="1:6" x14ac:dyDescent="0.25">
      <c r="A10">
        <v>32</v>
      </c>
      <c r="B10" s="94">
        <v>45034</v>
      </c>
      <c r="C10" t="s">
        <v>211</v>
      </c>
      <c r="D10" t="s">
        <v>427</v>
      </c>
      <c r="E10" s="95">
        <v>-3468.27</v>
      </c>
      <c r="F10">
        <v>578817</v>
      </c>
    </row>
    <row r="11" spans="1:6" x14ac:dyDescent="0.25">
      <c r="A11">
        <v>33</v>
      </c>
      <c r="B11" s="94">
        <v>45034</v>
      </c>
      <c r="C11" t="s">
        <v>211</v>
      </c>
      <c r="D11" t="s">
        <v>269</v>
      </c>
      <c r="E11" s="95">
        <v>-350</v>
      </c>
      <c r="F11">
        <v>93900</v>
      </c>
    </row>
    <row r="12" spans="1:6" x14ac:dyDescent="0.25">
      <c r="A12">
        <v>35</v>
      </c>
      <c r="B12" s="94">
        <v>45033</v>
      </c>
      <c r="C12" t="s">
        <v>211</v>
      </c>
      <c r="D12" t="s">
        <v>398</v>
      </c>
      <c r="E12" s="95">
        <v>-1300</v>
      </c>
      <c r="F12">
        <v>34672</v>
      </c>
    </row>
    <row r="13" spans="1:6" x14ac:dyDescent="0.25">
      <c r="A13">
        <v>36</v>
      </c>
      <c r="B13" s="94">
        <v>45033</v>
      </c>
      <c r="C13" t="s">
        <v>211</v>
      </c>
      <c r="D13" t="s">
        <v>216</v>
      </c>
      <c r="E13" s="95">
        <v>-4446.2</v>
      </c>
      <c r="F13">
        <v>923717</v>
      </c>
    </row>
    <row r="14" spans="1:6" x14ac:dyDescent="0.25">
      <c r="A14">
        <v>38</v>
      </c>
      <c r="B14" s="94">
        <v>45030</v>
      </c>
      <c r="C14" t="s">
        <v>211</v>
      </c>
      <c r="D14" t="s">
        <v>428</v>
      </c>
      <c r="E14" s="95">
        <v>-550</v>
      </c>
      <c r="F14">
        <v>46387</v>
      </c>
    </row>
    <row r="15" spans="1:6" x14ac:dyDescent="0.25">
      <c r="A15">
        <v>39</v>
      </c>
      <c r="B15" s="94">
        <v>45030</v>
      </c>
      <c r="C15" t="s">
        <v>211</v>
      </c>
      <c r="D15" t="s">
        <v>268</v>
      </c>
      <c r="E15" s="95">
        <v>-2300</v>
      </c>
      <c r="F15">
        <v>279635</v>
      </c>
    </row>
    <row r="16" spans="1:6" x14ac:dyDescent="0.25">
      <c r="A16">
        <v>40</v>
      </c>
      <c r="B16" s="94">
        <v>45030</v>
      </c>
      <c r="C16" t="s">
        <v>211</v>
      </c>
      <c r="D16" t="s">
        <v>429</v>
      </c>
      <c r="E16" s="95">
        <v>-2900</v>
      </c>
      <c r="F16">
        <v>264350</v>
      </c>
    </row>
    <row r="17" spans="1:6" x14ac:dyDescent="0.25">
      <c r="A17">
        <v>46</v>
      </c>
      <c r="B17" s="94">
        <v>45026</v>
      </c>
      <c r="C17" t="s">
        <v>211</v>
      </c>
      <c r="D17" t="s">
        <v>278</v>
      </c>
      <c r="E17" s="95">
        <v>-4707.33</v>
      </c>
      <c r="F17">
        <v>751559</v>
      </c>
    </row>
    <row r="18" spans="1:6" x14ac:dyDescent="0.25">
      <c r="A18">
        <v>20</v>
      </c>
      <c r="B18" s="94">
        <v>45036</v>
      </c>
      <c r="C18" t="s">
        <v>211</v>
      </c>
      <c r="D18" t="s">
        <v>394</v>
      </c>
      <c r="E18" s="95">
        <v>-620</v>
      </c>
      <c r="F18">
        <v>128814</v>
      </c>
    </row>
    <row r="19" spans="1:6" x14ac:dyDescent="0.25">
      <c r="A19">
        <v>18</v>
      </c>
      <c r="B19" s="94">
        <v>45040</v>
      </c>
      <c r="C19" t="s">
        <v>211</v>
      </c>
      <c r="D19" t="s">
        <v>268</v>
      </c>
      <c r="E19" s="95">
        <v>-3000</v>
      </c>
      <c r="F19">
        <v>761984</v>
      </c>
    </row>
    <row r="20" spans="1:6" x14ac:dyDescent="0.25">
      <c r="A20">
        <v>22</v>
      </c>
      <c r="B20" s="94">
        <v>45036</v>
      </c>
      <c r="C20" t="s">
        <v>211</v>
      </c>
      <c r="D20" t="s">
        <v>278</v>
      </c>
      <c r="E20" s="95">
        <v>-2550</v>
      </c>
      <c r="F20">
        <v>477163</v>
      </c>
    </row>
    <row r="21" spans="1:6" x14ac:dyDescent="0.25">
      <c r="A21">
        <v>52</v>
      </c>
      <c r="B21" s="94">
        <v>45021</v>
      </c>
      <c r="C21" t="s">
        <v>211</v>
      </c>
      <c r="D21" t="s">
        <v>430</v>
      </c>
      <c r="E21" s="95">
        <v>-9570</v>
      </c>
      <c r="F21">
        <v>53015</v>
      </c>
    </row>
    <row r="22" spans="1:6" x14ac:dyDescent="0.25">
      <c r="A22">
        <v>53</v>
      </c>
      <c r="B22" s="94">
        <v>45021</v>
      </c>
      <c r="C22" t="s">
        <v>211</v>
      </c>
      <c r="D22" t="s">
        <v>431</v>
      </c>
      <c r="E22" s="95">
        <v>-9988.43</v>
      </c>
      <c r="F22">
        <v>175172</v>
      </c>
    </row>
    <row r="23" spans="1:6" x14ac:dyDescent="0.25">
      <c r="A23">
        <v>54</v>
      </c>
      <c r="B23" s="94">
        <v>45021</v>
      </c>
      <c r="C23" t="s">
        <v>211</v>
      </c>
      <c r="D23" t="s">
        <v>432</v>
      </c>
      <c r="E23" s="95">
        <v>-6340</v>
      </c>
      <c r="F23">
        <v>78894</v>
      </c>
    </row>
    <row r="24" spans="1:6" x14ac:dyDescent="0.25">
      <c r="A24">
        <v>58</v>
      </c>
      <c r="B24" s="94">
        <v>45020</v>
      </c>
      <c r="C24" t="s">
        <v>211</v>
      </c>
      <c r="D24" t="s">
        <v>433</v>
      </c>
      <c r="E24" s="95">
        <v>-750</v>
      </c>
      <c r="F24">
        <v>86937</v>
      </c>
    </row>
    <row r="25" spans="1:6" x14ac:dyDescent="0.25">
      <c r="A25">
        <v>64</v>
      </c>
      <c r="B25" s="94">
        <v>45019</v>
      </c>
      <c r="C25" t="s">
        <v>211</v>
      </c>
      <c r="D25" t="s">
        <v>434</v>
      </c>
      <c r="E25" s="95">
        <v>-4100</v>
      </c>
      <c r="F25">
        <v>890812</v>
      </c>
    </row>
    <row r="26" spans="1:6" x14ac:dyDescent="0.25">
      <c r="A26">
        <v>17</v>
      </c>
      <c r="B26" s="94">
        <v>45041</v>
      </c>
      <c r="C26" t="s">
        <v>211</v>
      </c>
      <c r="D26" t="s">
        <v>219</v>
      </c>
      <c r="E26" s="95">
        <v>-1980.29</v>
      </c>
      <c r="F26">
        <v>475708</v>
      </c>
    </row>
    <row r="27" spans="1:6" x14ac:dyDescent="0.25">
      <c r="A27">
        <v>59</v>
      </c>
      <c r="B27" s="94">
        <v>45020</v>
      </c>
      <c r="C27" t="s">
        <v>211</v>
      </c>
      <c r="D27" t="s">
        <v>431</v>
      </c>
      <c r="E27" s="95">
        <v>-1339.46</v>
      </c>
      <c r="F27">
        <v>175106</v>
      </c>
    </row>
    <row r="28" spans="1:6" x14ac:dyDescent="0.25">
      <c r="A28">
        <v>63</v>
      </c>
      <c r="B28" s="94">
        <v>45019</v>
      </c>
      <c r="C28" t="s">
        <v>211</v>
      </c>
      <c r="D28" t="s">
        <v>268</v>
      </c>
      <c r="E28" s="95">
        <v>-4000</v>
      </c>
      <c r="F28">
        <v>861519</v>
      </c>
    </row>
    <row r="29" spans="1:6" x14ac:dyDescent="0.25">
      <c r="A29">
        <v>31</v>
      </c>
      <c r="B29" s="94">
        <v>45035</v>
      </c>
      <c r="C29" t="s">
        <v>243</v>
      </c>
      <c r="E29" s="95">
        <v>1064109.5900000001</v>
      </c>
      <c r="F29">
        <v>484180</v>
      </c>
    </row>
    <row r="30" spans="1:6" x14ac:dyDescent="0.25">
      <c r="A30">
        <v>48</v>
      </c>
      <c r="B30" s="94">
        <v>45026</v>
      </c>
      <c r="C30" t="s">
        <v>435</v>
      </c>
      <c r="D30" t="s">
        <v>436</v>
      </c>
      <c r="E30" s="95">
        <v>-4000</v>
      </c>
      <c r="F30">
        <v>518507</v>
      </c>
    </row>
    <row r="31" spans="1:6" x14ac:dyDescent="0.25">
      <c r="A31">
        <v>57</v>
      </c>
      <c r="B31" s="94">
        <v>45021</v>
      </c>
      <c r="C31" t="s">
        <v>222</v>
      </c>
      <c r="D31" t="s">
        <v>223</v>
      </c>
      <c r="E31" s="95">
        <v>-284555.63</v>
      </c>
      <c r="F31">
        <v>230404</v>
      </c>
    </row>
    <row r="32" spans="1:6" x14ac:dyDescent="0.25">
      <c r="A32">
        <v>66</v>
      </c>
      <c r="B32" s="94">
        <v>45019</v>
      </c>
      <c r="C32" t="s">
        <v>229</v>
      </c>
      <c r="D32" t="s">
        <v>230</v>
      </c>
      <c r="E32" s="95">
        <v>-10000</v>
      </c>
      <c r="F32">
        <v>9756</v>
      </c>
    </row>
    <row r="33" spans="1:6" x14ac:dyDescent="0.25">
      <c r="A33">
        <v>65</v>
      </c>
      <c r="B33" s="94">
        <v>45019</v>
      </c>
      <c r="C33" t="s">
        <v>229</v>
      </c>
      <c r="D33" t="s">
        <v>230</v>
      </c>
      <c r="E33" s="95">
        <v>-10000</v>
      </c>
      <c r="F33">
        <v>9758</v>
      </c>
    </row>
    <row r="34" spans="1:6" x14ac:dyDescent="0.25">
      <c r="A34">
        <v>1</v>
      </c>
      <c r="B34" s="94">
        <v>45044</v>
      </c>
      <c r="C34" t="s">
        <v>376</v>
      </c>
      <c r="D34" t="s">
        <v>379</v>
      </c>
      <c r="E34" s="95">
        <v>-10000</v>
      </c>
      <c r="F34">
        <v>2578</v>
      </c>
    </row>
    <row r="35" spans="1:6" x14ac:dyDescent="0.25">
      <c r="A35">
        <v>47</v>
      </c>
      <c r="B35" s="94">
        <v>45026</v>
      </c>
      <c r="C35" t="s">
        <v>376</v>
      </c>
      <c r="D35" t="s">
        <v>379</v>
      </c>
      <c r="E35" s="95">
        <v>-10000</v>
      </c>
      <c r="F35">
        <v>9097</v>
      </c>
    </row>
    <row r="36" spans="1:6" x14ac:dyDescent="0.25">
      <c r="A36">
        <v>19</v>
      </c>
      <c r="B36" s="94">
        <v>45040</v>
      </c>
      <c r="C36" t="s">
        <v>376</v>
      </c>
      <c r="D36" t="s">
        <v>379</v>
      </c>
      <c r="E36" s="95">
        <v>-500</v>
      </c>
      <c r="F36">
        <v>1701</v>
      </c>
    </row>
    <row r="37" spans="1:6" x14ac:dyDescent="0.25">
      <c r="A37">
        <v>60</v>
      </c>
      <c r="B37" s="94">
        <v>45020</v>
      </c>
      <c r="C37" t="s">
        <v>376</v>
      </c>
      <c r="D37" t="s">
        <v>379</v>
      </c>
      <c r="E37" s="95">
        <v>-10000</v>
      </c>
      <c r="F37">
        <v>8343</v>
      </c>
    </row>
    <row r="38" spans="1:6" x14ac:dyDescent="0.25">
      <c r="A38">
        <v>30</v>
      </c>
      <c r="B38" s="94">
        <v>45035</v>
      </c>
      <c r="C38" t="s">
        <v>376</v>
      </c>
      <c r="D38" t="s">
        <v>379</v>
      </c>
      <c r="E38" s="95">
        <v>-10000</v>
      </c>
      <c r="F38">
        <v>869</v>
      </c>
    </row>
    <row r="39" spans="1:6" x14ac:dyDescent="0.25">
      <c r="A39">
        <v>29</v>
      </c>
      <c r="B39" s="94">
        <v>45035</v>
      </c>
      <c r="C39" t="s">
        <v>376</v>
      </c>
      <c r="D39" t="s">
        <v>379</v>
      </c>
      <c r="E39" s="95">
        <v>-100</v>
      </c>
      <c r="F39">
        <v>873</v>
      </c>
    </row>
    <row r="40" spans="1:6" x14ac:dyDescent="0.25">
      <c r="A40">
        <v>28</v>
      </c>
      <c r="B40" s="94">
        <v>45035</v>
      </c>
      <c r="C40" t="s">
        <v>376</v>
      </c>
      <c r="D40" t="s">
        <v>407</v>
      </c>
      <c r="E40" s="95">
        <v>-4000</v>
      </c>
      <c r="F40">
        <v>8973</v>
      </c>
    </row>
    <row r="41" spans="1:6" x14ac:dyDescent="0.25">
      <c r="A41">
        <v>56</v>
      </c>
      <c r="B41" s="94">
        <v>45021</v>
      </c>
      <c r="C41" t="s">
        <v>376</v>
      </c>
      <c r="D41" t="s">
        <v>379</v>
      </c>
      <c r="E41" s="95">
        <v>-10000</v>
      </c>
      <c r="F41">
        <v>8716</v>
      </c>
    </row>
    <row r="42" spans="1:6" x14ac:dyDescent="0.25">
      <c r="A42">
        <v>55</v>
      </c>
      <c r="B42" s="94">
        <v>45021</v>
      </c>
      <c r="C42" t="s">
        <v>376</v>
      </c>
      <c r="D42" t="s">
        <v>379</v>
      </c>
      <c r="E42" s="95">
        <v>-10000</v>
      </c>
      <c r="F42">
        <v>8717</v>
      </c>
    </row>
    <row r="43" spans="1:6" x14ac:dyDescent="0.25">
      <c r="A43">
        <v>61</v>
      </c>
      <c r="B43" s="94">
        <v>45020</v>
      </c>
      <c r="C43" t="s">
        <v>376</v>
      </c>
      <c r="D43" t="s">
        <v>379</v>
      </c>
      <c r="E43" s="95">
        <v>-20000</v>
      </c>
      <c r="F43">
        <v>8342</v>
      </c>
    </row>
    <row r="44" spans="1:6" x14ac:dyDescent="0.25">
      <c r="A44">
        <v>44</v>
      </c>
      <c r="B44" s="94">
        <v>45027</v>
      </c>
      <c r="C44" t="s">
        <v>376</v>
      </c>
      <c r="D44" t="s">
        <v>379</v>
      </c>
      <c r="E44" s="95">
        <v>-10000</v>
      </c>
      <c r="F44">
        <v>7529</v>
      </c>
    </row>
    <row r="45" spans="1:6" x14ac:dyDescent="0.25">
      <c r="A45">
        <v>25</v>
      </c>
      <c r="B45" s="94">
        <v>45036</v>
      </c>
      <c r="C45" t="s">
        <v>409</v>
      </c>
      <c r="E45" s="95">
        <v>-900000</v>
      </c>
      <c r="F45">
        <v>51</v>
      </c>
    </row>
    <row r="46" spans="1:6" x14ac:dyDescent="0.25">
      <c r="A46">
        <v>3</v>
      </c>
      <c r="B46" s="94">
        <v>45044</v>
      </c>
      <c r="C46" t="s">
        <v>215</v>
      </c>
      <c r="E46" s="95">
        <v>-494.42</v>
      </c>
      <c r="F46">
        <v>0</v>
      </c>
    </row>
    <row r="47" spans="1:6" x14ac:dyDescent="0.25">
      <c r="A47">
        <v>68</v>
      </c>
      <c r="B47" s="94">
        <v>45017</v>
      </c>
      <c r="C47" t="s">
        <v>231</v>
      </c>
      <c r="E47" s="95">
        <v>51.64</v>
      </c>
      <c r="F47">
        <v>0</v>
      </c>
    </row>
    <row r="48" spans="1:6" x14ac:dyDescent="0.25">
      <c r="A48">
        <v>2</v>
      </c>
      <c r="B48" s="94">
        <v>45044</v>
      </c>
      <c r="C48" t="s">
        <v>214</v>
      </c>
      <c r="E48" s="95">
        <v>-2354.39</v>
      </c>
      <c r="F48">
        <v>0</v>
      </c>
    </row>
    <row r="49" spans="1:6" x14ac:dyDescent="0.25">
      <c r="A49">
        <v>62</v>
      </c>
      <c r="B49" s="94">
        <v>45019</v>
      </c>
      <c r="C49" t="s">
        <v>224</v>
      </c>
      <c r="D49" t="s">
        <v>225</v>
      </c>
      <c r="E49" s="95">
        <v>-88912.19</v>
      </c>
      <c r="F49">
        <v>396909</v>
      </c>
    </row>
    <row r="50" spans="1:6" x14ac:dyDescent="0.25">
      <c r="A50">
        <v>11</v>
      </c>
      <c r="B50" s="94">
        <v>45043</v>
      </c>
      <c r="C50" t="s">
        <v>437</v>
      </c>
      <c r="D50" t="s">
        <v>438</v>
      </c>
      <c r="E50" s="95">
        <v>263</v>
      </c>
      <c r="F50">
        <v>59705</v>
      </c>
    </row>
    <row r="51" spans="1:6" x14ac:dyDescent="0.25">
      <c r="A51">
        <v>5</v>
      </c>
      <c r="B51" s="94">
        <v>45043</v>
      </c>
      <c r="C51" t="s">
        <v>437</v>
      </c>
      <c r="D51" t="s">
        <v>439</v>
      </c>
      <c r="E51" s="95">
        <v>35</v>
      </c>
      <c r="F51">
        <v>824122</v>
      </c>
    </row>
    <row r="52" spans="1:6" x14ac:dyDescent="0.25">
      <c r="A52">
        <v>6</v>
      </c>
      <c r="B52" s="94">
        <v>45043</v>
      </c>
      <c r="C52" t="s">
        <v>437</v>
      </c>
      <c r="D52" t="s">
        <v>440</v>
      </c>
      <c r="E52" s="95">
        <v>90</v>
      </c>
      <c r="F52">
        <v>710499</v>
      </c>
    </row>
    <row r="53" spans="1:6" x14ac:dyDescent="0.25">
      <c r="A53">
        <v>7</v>
      </c>
      <c r="B53" s="94">
        <v>45043</v>
      </c>
      <c r="C53" t="s">
        <v>437</v>
      </c>
      <c r="D53" t="s">
        <v>441</v>
      </c>
      <c r="E53" s="95">
        <v>94</v>
      </c>
      <c r="F53">
        <v>566088</v>
      </c>
    </row>
    <row r="54" spans="1:6" x14ac:dyDescent="0.25">
      <c r="A54">
        <v>16</v>
      </c>
      <c r="B54" s="94">
        <v>45043</v>
      </c>
      <c r="C54" t="s">
        <v>437</v>
      </c>
      <c r="D54" t="s">
        <v>442</v>
      </c>
      <c r="E54" s="95">
        <v>532</v>
      </c>
      <c r="F54">
        <v>421428</v>
      </c>
    </row>
    <row r="55" spans="1:6" x14ac:dyDescent="0.25">
      <c r="A55">
        <v>15</v>
      </c>
      <c r="B55" s="94">
        <v>45043</v>
      </c>
      <c r="C55" t="s">
        <v>437</v>
      </c>
      <c r="D55" t="s">
        <v>443</v>
      </c>
      <c r="E55" s="95">
        <v>353.9</v>
      </c>
      <c r="F55">
        <v>997525</v>
      </c>
    </row>
    <row r="56" spans="1:6" x14ac:dyDescent="0.25">
      <c r="A56">
        <v>14</v>
      </c>
      <c r="B56" s="94">
        <v>45043</v>
      </c>
      <c r="C56" t="s">
        <v>437</v>
      </c>
      <c r="D56" t="s">
        <v>444</v>
      </c>
      <c r="E56" s="95">
        <v>326.39</v>
      </c>
      <c r="F56">
        <v>733879</v>
      </c>
    </row>
    <row r="57" spans="1:6" x14ac:dyDescent="0.25">
      <c r="A57">
        <v>13</v>
      </c>
      <c r="B57" s="94">
        <v>45043</v>
      </c>
      <c r="C57" t="s">
        <v>437</v>
      </c>
      <c r="D57" t="s">
        <v>445</v>
      </c>
      <c r="E57" s="95">
        <v>304.42</v>
      </c>
      <c r="F57">
        <v>25534</v>
      </c>
    </row>
    <row r="58" spans="1:6" x14ac:dyDescent="0.25">
      <c r="A58">
        <v>12</v>
      </c>
      <c r="B58" s="94">
        <v>45043</v>
      </c>
      <c r="C58" t="s">
        <v>437</v>
      </c>
      <c r="D58" t="s">
        <v>446</v>
      </c>
      <c r="E58" s="95">
        <v>292.60000000000002</v>
      </c>
      <c r="F58">
        <v>898812</v>
      </c>
    </row>
    <row r="59" spans="1:6" x14ac:dyDescent="0.25">
      <c r="A59">
        <v>8</v>
      </c>
      <c r="B59" s="94">
        <v>45043</v>
      </c>
      <c r="C59" t="s">
        <v>437</v>
      </c>
      <c r="D59" t="s">
        <v>447</v>
      </c>
      <c r="E59" s="95">
        <v>95</v>
      </c>
      <c r="F59">
        <v>965551</v>
      </c>
    </row>
    <row r="60" spans="1:6" x14ac:dyDescent="0.25">
      <c r="A60">
        <v>10</v>
      </c>
      <c r="B60" s="94">
        <v>45043</v>
      </c>
      <c r="C60" t="s">
        <v>437</v>
      </c>
      <c r="D60" t="s">
        <v>448</v>
      </c>
      <c r="E60" s="95">
        <v>185</v>
      </c>
      <c r="F60">
        <v>707560</v>
      </c>
    </row>
    <row r="61" spans="1:6" x14ac:dyDescent="0.25">
      <c r="A61">
        <v>9</v>
      </c>
      <c r="B61" s="94">
        <v>45043</v>
      </c>
      <c r="C61" t="s">
        <v>437</v>
      </c>
      <c r="D61" t="s">
        <v>449</v>
      </c>
      <c r="E61" s="95">
        <v>181.11</v>
      </c>
      <c r="F61">
        <v>502736</v>
      </c>
    </row>
    <row r="62" spans="1:6" x14ac:dyDescent="0.25">
      <c r="A62">
        <v>34</v>
      </c>
      <c r="B62" s="94">
        <v>45034</v>
      </c>
      <c r="C62" t="s">
        <v>358</v>
      </c>
      <c r="D62" t="s">
        <v>359</v>
      </c>
      <c r="E62" s="95">
        <v>6500</v>
      </c>
      <c r="F62">
        <v>365463</v>
      </c>
    </row>
    <row r="63" spans="1:6" x14ac:dyDescent="0.25">
      <c r="A63">
        <v>51</v>
      </c>
      <c r="B63" s="94">
        <v>45026</v>
      </c>
      <c r="C63" t="s">
        <v>217</v>
      </c>
      <c r="D63" t="s">
        <v>382</v>
      </c>
      <c r="E63" s="95">
        <v>-7000</v>
      </c>
      <c r="F63">
        <v>681092</v>
      </c>
    </row>
    <row r="64" spans="1:6" x14ac:dyDescent="0.25">
      <c r="A64">
        <v>24</v>
      </c>
      <c r="B64" s="94">
        <v>45036</v>
      </c>
      <c r="C64" t="s">
        <v>217</v>
      </c>
      <c r="D64" t="s">
        <v>450</v>
      </c>
      <c r="E64" s="95">
        <v>-12000</v>
      </c>
      <c r="F64">
        <v>137155</v>
      </c>
    </row>
    <row r="65" spans="1:6" x14ac:dyDescent="0.25">
      <c r="A65">
        <v>67</v>
      </c>
      <c r="B65" s="94">
        <v>45019</v>
      </c>
      <c r="C65" t="s">
        <v>217</v>
      </c>
      <c r="D65" t="s">
        <v>451</v>
      </c>
      <c r="E65" s="95">
        <v>-20000</v>
      </c>
      <c r="F65">
        <v>861618</v>
      </c>
    </row>
    <row r="66" spans="1:6" x14ac:dyDescent="0.25">
      <c r="A66">
        <v>37</v>
      </c>
      <c r="B66" s="94">
        <v>45033</v>
      </c>
      <c r="C66" t="s">
        <v>217</v>
      </c>
      <c r="D66" t="s">
        <v>451</v>
      </c>
      <c r="E66" s="95">
        <v>-28000</v>
      </c>
      <c r="F66">
        <v>285763</v>
      </c>
    </row>
    <row r="67" spans="1:6" x14ac:dyDescent="0.25">
      <c r="A67">
        <v>4</v>
      </c>
      <c r="B67" s="94">
        <v>45043</v>
      </c>
      <c r="C67" t="s">
        <v>217</v>
      </c>
      <c r="D67" t="s">
        <v>452</v>
      </c>
      <c r="E67" s="95">
        <v>-24111.41</v>
      </c>
      <c r="F67">
        <v>903013</v>
      </c>
    </row>
    <row r="68" spans="1:6" x14ac:dyDescent="0.25">
      <c r="A68">
        <v>41</v>
      </c>
      <c r="B68" s="94">
        <v>45029</v>
      </c>
      <c r="C68" t="s">
        <v>217</v>
      </c>
      <c r="D68" t="s">
        <v>453</v>
      </c>
      <c r="E68" s="95">
        <v>-49000</v>
      </c>
      <c r="F68">
        <v>78520</v>
      </c>
    </row>
    <row r="69" spans="1:6" x14ac:dyDescent="0.25">
      <c r="A69">
        <v>43</v>
      </c>
      <c r="B69" s="94">
        <v>45028</v>
      </c>
      <c r="C69" t="s">
        <v>217</v>
      </c>
      <c r="D69" t="s">
        <v>454</v>
      </c>
      <c r="E69" s="95">
        <v>-9000</v>
      </c>
      <c r="F69">
        <v>970592</v>
      </c>
    </row>
    <row r="70" spans="1:6" x14ac:dyDescent="0.25">
      <c r="A70">
        <v>42</v>
      </c>
      <c r="B70" s="94">
        <v>45029</v>
      </c>
      <c r="C70" t="s">
        <v>217</v>
      </c>
      <c r="D70" t="s">
        <v>455</v>
      </c>
      <c r="E70" s="95">
        <v>-110000</v>
      </c>
      <c r="F70">
        <v>724438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9"/>
  </sheetPr>
  <dimension ref="A1:J457"/>
  <sheetViews>
    <sheetView topLeftCell="A424" zoomScale="80" zoomScaleNormal="80" workbookViewId="0">
      <selection activeCell="F457" sqref="F457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8" width="12.625" style="95" customWidth="1"/>
    <col min="9" max="9" width="14.625" style="95" customWidth="1"/>
    <col min="10" max="10" width="30.625" style="95" customWidth="1"/>
    <col min="11" max="11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233</v>
      </c>
      <c r="F1" s="95" t="s">
        <v>234</v>
      </c>
      <c r="G1" s="95" t="s">
        <v>235</v>
      </c>
      <c r="H1" s="95" t="s">
        <v>236</v>
      </c>
      <c r="I1" s="95" t="s">
        <v>237</v>
      </c>
      <c r="J1" t="s">
        <v>238</v>
      </c>
    </row>
    <row r="2" spans="1:10" hidden="1" x14ac:dyDescent="0.25">
      <c r="A2">
        <v>33</v>
      </c>
      <c r="B2" s="94">
        <v>45034</v>
      </c>
      <c r="C2" t="s">
        <v>211</v>
      </c>
      <c r="D2" t="s">
        <v>269</v>
      </c>
      <c r="E2" s="95">
        <v>350</v>
      </c>
      <c r="J2"/>
    </row>
    <row r="3" spans="1:10" hidden="1" x14ac:dyDescent="0.25">
      <c r="A3">
        <v>21</v>
      </c>
      <c r="B3" s="94">
        <v>45036</v>
      </c>
      <c r="C3" t="s">
        <v>211</v>
      </c>
      <c r="D3" t="s">
        <v>242</v>
      </c>
      <c r="E3" s="95">
        <v>380</v>
      </c>
      <c r="J3"/>
    </row>
    <row r="4" spans="1:10" hidden="1" x14ac:dyDescent="0.25">
      <c r="A4">
        <v>3</v>
      </c>
      <c r="B4" s="94">
        <v>45044</v>
      </c>
      <c r="C4" t="s">
        <v>215</v>
      </c>
      <c r="E4" s="95">
        <v>494.42</v>
      </c>
      <c r="J4"/>
    </row>
    <row r="5" spans="1:10" hidden="1" x14ac:dyDescent="0.25">
      <c r="A5">
        <v>38</v>
      </c>
      <c r="B5" s="94">
        <v>45030</v>
      </c>
      <c r="C5" t="s">
        <v>211</v>
      </c>
      <c r="D5" t="s">
        <v>428</v>
      </c>
      <c r="E5" s="95">
        <v>550</v>
      </c>
      <c r="J5"/>
    </row>
    <row r="6" spans="1:10" hidden="1" x14ac:dyDescent="0.25">
      <c r="A6">
        <v>45</v>
      </c>
      <c r="B6" s="94">
        <v>45026</v>
      </c>
      <c r="C6" t="s">
        <v>211</v>
      </c>
      <c r="D6" t="s">
        <v>269</v>
      </c>
      <c r="E6" s="95">
        <v>550</v>
      </c>
      <c r="J6"/>
    </row>
    <row r="7" spans="1:10" hidden="1" x14ac:dyDescent="0.25">
      <c r="A7">
        <v>20</v>
      </c>
      <c r="B7" s="94">
        <v>45036</v>
      </c>
      <c r="C7" t="s">
        <v>211</v>
      </c>
      <c r="D7" t="s">
        <v>394</v>
      </c>
      <c r="E7" s="95">
        <v>620</v>
      </c>
      <c r="J7"/>
    </row>
    <row r="8" spans="1:10" hidden="1" x14ac:dyDescent="0.25">
      <c r="A8">
        <v>58</v>
      </c>
      <c r="B8" s="94">
        <v>45020</v>
      </c>
      <c r="C8" t="s">
        <v>211</v>
      </c>
      <c r="D8" t="s">
        <v>433</v>
      </c>
      <c r="E8" s="95">
        <v>750</v>
      </c>
      <c r="J8"/>
    </row>
    <row r="9" spans="1:10" hidden="1" x14ac:dyDescent="0.25">
      <c r="A9">
        <v>0</v>
      </c>
      <c r="B9" s="94">
        <v>45044</v>
      </c>
      <c r="C9" t="s">
        <v>211</v>
      </c>
      <c r="D9" t="s">
        <v>425</v>
      </c>
      <c r="E9" s="95">
        <v>1255</v>
      </c>
      <c r="J9"/>
    </row>
    <row r="10" spans="1:10" hidden="1" x14ac:dyDescent="0.25">
      <c r="A10">
        <v>35</v>
      </c>
      <c r="B10" s="94">
        <v>45033</v>
      </c>
      <c r="C10" t="s">
        <v>211</v>
      </c>
      <c r="D10" t="s">
        <v>398</v>
      </c>
      <c r="E10" s="95">
        <v>1300</v>
      </c>
      <c r="J10"/>
    </row>
    <row r="11" spans="1:10" hidden="1" x14ac:dyDescent="0.25">
      <c r="A11">
        <v>59</v>
      </c>
      <c r="B11" s="94">
        <v>45020</v>
      </c>
      <c r="C11" t="s">
        <v>211</v>
      </c>
      <c r="D11" t="s">
        <v>431</v>
      </c>
      <c r="E11" s="95">
        <v>1339.46</v>
      </c>
      <c r="J11"/>
    </row>
    <row r="12" spans="1:10" hidden="1" x14ac:dyDescent="0.25">
      <c r="A12">
        <v>17</v>
      </c>
      <c r="B12" s="94">
        <v>45041</v>
      </c>
      <c r="C12" t="s">
        <v>211</v>
      </c>
      <c r="D12" t="s">
        <v>219</v>
      </c>
      <c r="E12" s="95">
        <v>1980.29</v>
      </c>
      <c r="J12"/>
    </row>
    <row r="13" spans="1:10" hidden="1" x14ac:dyDescent="0.25">
      <c r="A13">
        <v>39</v>
      </c>
      <c r="B13" s="94">
        <v>45030</v>
      </c>
      <c r="C13" t="s">
        <v>211</v>
      </c>
      <c r="D13" t="s">
        <v>268</v>
      </c>
      <c r="E13" s="95">
        <v>2300</v>
      </c>
      <c r="J13"/>
    </row>
    <row r="14" spans="1:10" hidden="1" x14ac:dyDescent="0.25">
      <c r="A14">
        <v>2</v>
      </c>
      <c r="B14" s="94">
        <v>45044</v>
      </c>
      <c r="C14" t="s">
        <v>214</v>
      </c>
      <c r="E14" s="95">
        <v>2354.39</v>
      </c>
      <c r="J14"/>
    </row>
    <row r="15" spans="1:10" hidden="1" x14ac:dyDescent="0.25">
      <c r="A15">
        <v>23</v>
      </c>
      <c r="B15" s="94">
        <v>45036</v>
      </c>
      <c r="C15" t="s">
        <v>211</v>
      </c>
      <c r="D15" t="s">
        <v>426</v>
      </c>
      <c r="E15" s="95">
        <v>2400</v>
      </c>
      <c r="J15"/>
    </row>
    <row r="16" spans="1:10" hidden="1" x14ac:dyDescent="0.25">
      <c r="A16">
        <v>22</v>
      </c>
      <c r="B16" s="94">
        <v>45036</v>
      </c>
      <c r="C16" t="s">
        <v>211</v>
      </c>
      <c r="D16" t="s">
        <v>278</v>
      </c>
      <c r="E16" s="95">
        <v>2550</v>
      </c>
      <c r="J16"/>
    </row>
    <row r="17" spans="1:10" hidden="1" x14ac:dyDescent="0.25">
      <c r="A17">
        <v>40</v>
      </c>
      <c r="B17" s="94">
        <v>45030</v>
      </c>
      <c r="C17" t="s">
        <v>211</v>
      </c>
      <c r="D17" t="s">
        <v>429</v>
      </c>
      <c r="E17" s="95">
        <v>2900</v>
      </c>
      <c r="J17"/>
    </row>
    <row r="18" spans="1:10" hidden="1" x14ac:dyDescent="0.25">
      <c r="A18">
        <v>18</v>
      </c>
      <c r="B18" s="94">
        <v>45040</v>
      </c>
      <c r="C18" t="s">
        <v>211</v>
      </c>
      <c r="D18" t="s">
        <v>268</v>
      </c>
      <c r="E18" s="95">
        <v>3000</v>
      </c>
      <c r="J18"/>
    </row>
    <row r="19" spans="1:10" hidden="1" x14ac:dyDescent="0.25">
      <c r="A19">
        <v>32</v>
      </c>
      <c r="B19" s="94">
        <v>45034</v>
      </c>
      <c r="C19" t="s">
        <v>211</v>
      </c>
      <c r="D19" t="s">
        <v>427</v>
      </c>
      <c r="E19" s="95">
        <v>3468.27</v>
      </c>
      <c r="J19"/>
    </row>
    <row r="20" spans="1:10" hidden="1" x14ac:dyDescent="0.25">
      <c r="A20">
        <v>26</v>
      </c>
      <c r="B20" s="94">
        <v>45035</v>
      </c>
      <c r="C20" t="s">
        <v>211</v>
      </c>
      <c r="D20" t="s">
        <v>278</v>
      </c>
      <c r="E20" s="95">
        <v>3847.76</v>
      </c>
      <c r="J20"/>
    </row>
    <row r="21" spans="1:10" hidden="1" x14ac:dyDescent="0.25">
      <c r="A21">
        <v>48</v>
      </c>
      <c r="B21" s="94">
        <v>45026</v>
      </c>
      <c r="C21" t="s">
        <v>435</v>
      </c>
      <c r="D21" t="s">
        <v>436</v>
      </c>
      <c r="E21" s="95">
        <v>4000</v>
      </c>
      <c r="J21"/>
    </row>
    <row r="22" spans="1:10" hidden="1" x14ac:dyDescent="0.25">
      <c r="A22">
        <v>63</v>
      </c>
      <c r="B22" s="94">
        <v>45019</v>
      </c>
      <c r="C22" t="s">
        <v>211</v>
      </c>
      <c r="D22" t="s">
        <v>268</v>
      </c>
      <c r="E22" s="95">
        <v>4000</v>
      </c>
      <c r="J22"/>
    </row>
    <row r="23" spans="1:10" hidden="1" x14ac:dyDescent="0.25">
      <c r="A23">
        <v>64</v>
      </c>
      <c r="B23" s="94">
        <v>45019</v>
      </c>
      <c r="C23" t="s">
        <v>211</v>
      </c>
      <c r="D23" t="s">
        <v>434</v>
      </c>
      <c r="E23" s="95">
        <v>4100</v>
      </c>
      <c r="J23"/>
    </row>
    <row r="24" spans="1:10" hidden="1" x14ac:dyDescent="0.25">
      <c r="A24">
        <v>36</v>
      </c>
      <c r="B24" s="94">
        <v>45033</v>
      </c>
      <c r="C24" t="s">
        <v>211</v>
      </c>
      <c r="D24" t="s">
        <v>216</v>
      </c>
      <c r="E24" s="95">
        <v>4446.2</v>
      </c>
      <c r="J24"/>
    </row>
    <row r="25" spans="1:10" hidden="1" x14ac:dyDescent="0.25">
      <c r="A25">
        <v>46</v>
      </c>
      <c r="B25" s="94">
        <v>45026</v>
      </c>
      <c r="C25" t="s">
        <v>211</v>
      </c>
      <c r="D25" t="s">
        <v>278</v>
      </c>
      <c r="E25" s="95">
        <v>4707.33</v>
      </c>
      <c r="J25"/>
    </row>
    <row r="26" spans="1:10" hidden="1" x14ac:dyDescent="0.25">
      <c r="A26">
        <v>54</v>
      </c>
      <c r="B26" s="94">
        <v>45021</v>
      </c>
      <c r="C26" t="s">
        <v>211</v>
      </c>
      <c r="D26" t="s">
        <v>432</v>
      </c>
      <c r="E26" s="95">
        <v>6340</v>
      </c>
      <c r="J26"/>
    </row>
    <row r="27" spans="1:10" hidden="1" x14ac:dyDescent="0.25">
      <c r="A27">
        <v>51</v>
      </c>
      <c r="B27" s="94">
        <v>45026</v>
      </c>
      <c r="C27" t="s">
        <v>217</v>
      </c>
      <c r="D27" t="s">
        <v>382</v>
      </c>
      <c r="E27" s="95">
        <v>7000</v>
      </c>
      <c r="J27"/>
    </row>
    <row r="28" spans="1:10" hidden="1" x14ac:dyDescent="0.25">
      <c r="A28">
        <v>43</v>
      </c>
      <c r="B28" s="94">
        <v>45028</v>
      </c>
      <c r="C28" t="s">
        <v>217</v>
      </c>
      <c r="D28" t="s">
        <v>454</v>
      </c>
      <c r="E28" s="95">
        <v>9000</v>
      </c>
      <c r="J28"/>
    </row>
    <row r="29" spans="1:10" hidden="1" x14ac:dyDescent="0.25">
      <c r="A29">
        <v>52</v>
      </c>
      <c r="B29" s="94">
        <v>45021</v>
      </c>
      <c r="C29" t="s">
        <v>211</v>
      </c>
      <c r="D29" t="s">
        <v>430</v>
      </c>
      <c r="E29" s="95">
        <v>9570</v>
      </c>
      <c r="J29"/>
    </row>
    <row r="30" spans="1:10" hidden="1" x14ac:dyDescent="0.25">
      <c r="A30">
        <v>53</v>
      </c>
      <c r="B30" s="94">
        <v>45021</v>
      </c>
      <c r="C30" t="s">
        <v>211</v>
      </c>
      <c r="D30" t="s">
        <v>431</v>
      </c>
      <c r="E30" s="95">
        <v>9988.43</v>
      </c>
      <c r="J30"/>
    </row>
    <row r="31" spans="1:10" hidden="1" x14ac:dyDescent="0.25">
      <c r="A31">
        <v>24</v>
      </c>
      <c r="B31" s="94">
        <v>45036</v>
      </c>
      <c r="C31" t="s">
        <v>217</v>
      </c>
      <c r="D31" t="s">
        <v>450</v>
      </c>
      <c r="E31" s="95">
        <v>12000</v>
      </c>
      <c r="J31"/>
    </row>
    <row r="32" spans="1:10" hidden="1" x14ac:dyDescent="0.25">
      <c r="A32">
        <v>67</v>
      </c>
      <c r="B32" s="94">
        <v>45019</v>
      </c>
      <c r="C32" t="s">
        <v>217</v>
      </c>
      <c r="D32" t="s">
        <v>451</v>
      </c>
      <c r="E32" s="95">
        <v>20000</v>
      </c>
      <c r="J32"/>
    </row>
    <row r="33" spans="1:10" hidden="1" x14ac:dyDescent="0.25">
      <c r="A33">
        <v>4</v>
      </c>
      <c r="B33" s="94">
        <v>45043</v>
      </c>
      <c r="C33" t="s">
        <v>217</v>
      </c>
      <c r="D33" t="s">
        <v>452</v>
      </c>
      <c r="E33" s="95">
        <v>24111.41</v>
      </c>
      <c r="J33"/>
    </row>
    <row r="34" spans="1:10" hidden="1" x14ac:dyDescent="0.25">
      <c r="A34">
        <v>37</v>
      </c>
      <c r="B34" s="94">
        <v>45033</v>
      </c>
      <c r="C34" t="s">
        <v>217</v>
      </c>
      <c r="D34" t="s">
        <v>451</v>
      </c>
      <c r="E34" s="95">
        <v>28000</v>
      </c>
      <c r="J34"/>
    </row>
    <row r="35" spans="1:10" hidden="1" x14ac:dyDescent="0.25">
      <c r="A35">
        <v>41</v>
      </c>
      <c r="B35" s="94">
        <v>45029</v>
      </c>
      <c r="C35" t="s">
        <v>217</v>
      </c>
      <c r="D35" t="s">
        <v>453</v>
      </c>
      <c r="E35" s="95">
        <v>49000</v>
      </c>
      <c r="J35"/>
    </row>
    <row r="36" spans="1:10" hidden="1" x14ac:dyDescent="0.25">
      <c r="A36">
        <v>27</v>
      </c>
      <c r="B36" s="94">
        <v>45035</v>
      </c>
      <c r="C36" t="s">
        <v>211</v>
      </c>
      <c r="D36" t="s">
        <v>343</v>
      </c>
      <c r="E36" s="95">
        <v>51000</v>
      </c>
      <c r="J36"/>
    </row>
    <row r="37" spans="1:10" hidden="1" x14ac:dyDescent="0.25">
      <c r="A37">
        <v>42</v>
      </c>
      <c r="B37" s="94">
        <v>45029</v>
      </c>
      <c r="C37" t="s">
        <v>217</v>
      </c>
      <c r="D37" t="s">
        <v>455</v>
      </c>
      <c r="E37" s="95">
        <v>110000</v>
      </c>
      <c r="J37"/>
    </row>
    <row r="38" spans="1:10" hidden="1" x14ac:dyDescent="0.25">
      <c r="A38">
        <v>62</v>
      </c>
      <c r="B38" s="94">
        <v>45019</v>
      </c>
      <c r="C38" t="s">
        <v>224</v>
      </c>
      <c r="D38" t="s">
        <v>225</v>
      </c>
      <c r="E38" s="95">
        <v>0</v>
      </c>
      <c r="F38" s="95">
        <v>88912.19</v>
      </c>
      <c r="J38"/>
    </row>
    <row r="39" spans="1:10" hidden="1" x14ac:dyDescent="0.25">
      <c r="A39">
        <v>57</v>
      </c>
      <c r="B39" s="94">
        <v>45021</v>
      </c>
      <c r="C39" t="s">
        <v>222</v>
      </c>
      <c r="D39" t="s">
        <v>223</v>
      </c>
      <c r="E39" s="95">
        <v>0</v>
      </c>
      <c r="F39" s="95">
        <v>284555.63</v>
      </c>
      <c r="J39"/>
    </row>
    <row r="40" spans="1:10" hidden="1" x14ac:dyDescent="0.25">
      <c r="A40">
        <v>29</v>
      </c>
      <c r="B40" s="94">
        <v>45035</v>
      </c>
      <c r="C40" t="s">
        <v>376</v>
      </c>
      <c r="D40" t="s">
        <v>379</v>
      </c>
      <c r="E40" s="95">
        <v>0</v>
      </c>
      <c r="F40" s="95">
        <v>0</v>
      </c>
      <c r="I40" s="95">
        <v>100</v>
      </c>
      <c r="J40"/>
    </row>
    <row r="41" spans="1:10" hidden="1" x14ac:dyDescent="0.25">
      <c r="A41">
        <v>19</v>
      </c>
      <c r="B41" s="94">
        <v>45040</v>
      </c>
      <c r="C41" t="s">
        <v>376</v>
      </c>
      <c r="D41" t="s">
        <v>379</v>
      </c>
      <c r="E41" s="95">
        <v>0</v>
      </c>
      <c r="F41" s="95">
        <v>0</v>
      </c>
      <c r="I41" s="95">
        <v>500</v>
      </c>
      <c r="J41"/>
    </row>
    <row r="42" spans="1:10" hidden="1" x14ac:dyDescent="0.25">
      <c r="A42">
        <v>28</v>
      </c>
      <c r="B42" s="94">
        <v>45035</v>
      </c>
      <c r="C42" t="s">
        <v>376</v>
      </c>
      <c r="D42" t="s">
        <v>407</v>
      </c>
      <c r="E42" s="95">
        <v>0</v>
      </c>
      <c r="F42" s="95">
        <v>0</v>
      </c>
      <c r="I42" s="95">
        <v>4000</v>
      </c>
      <c r="J42"/>
    </row>
    <row r="43" spans="1:10" hidden="1" x14ac:dyDescent="0.25">
      <c r="A43">
        <v>1</v>
      </c>
      <c r="B43" s="94">
        <v>45044</v>
      </c>
      <c r="C43" t="s">
        <v>376</v>
      </c>
      <c r="D43" t="s">
        <v>379</v>
      </c>
      <c r="E43" s="95">
        <v>0</v>
      </c>
      <c r="F43" s="95">
        <v>0</v>
      </c>
      <c r="I43" s="95">
        <v>10000</v>
      </c>
      <c r="J43"/>
    </row>
    <row r="44" spans="1:10" hidden="1" x14ac:dyDescent="0.25">
      <c r="A44">
        <v>30</v>
      </c>
      <c r="B44" s="94">
        <v>45035</v>
      </c>
      <c r="C44" t="s">
        <v>376</v>
      </c>
      <c r="D44" t="s">
        <v>379</v>
      </c>
      <c r="E44" s="95">
        <v>0</v>
      </c>
      <c r="F44" s="95">
        <v>0</v>
      </c>
      <c r="I44" s="95">
        <v>10000</v>
      </c>
      <c r="J44"/>
    </row>
    <row r="45" spans="1:10" hidden="1" x14ac:dyDescent="0.25">
      <c r="A45">
        <v>44</v>
      </c>
      <c r="B45" s="94">
        <v>45027</v>
      </c>
      <c r="C45" t="s">
        <v>376</v>
      </c>
      <c r="D45" t="s">
        <v>379</v>
      </c>
      <c r="E45" s="95">
        <v>0</v>
      </c>
      <c r="F45" s="95">
        <v>0</v>
      </c>
      <c r="I45" s="95">
        <v>10000</v>
      </c>
      <c r="J45"/>
    </row>
    <row r="46" spans="1:10" hidden="1" x14ac:dyDescent="0.25">
      <c r="A46">
        <v>47</v>
      </c>
      <c r="B46" s="94">
        <v>45026</v>
      </c>
      <c r="C46" t="s">
        <v>376</v>
      </c>
      <c r="D46" t="s">
        <v>379</v>
      </c>
      <c r="E46" s="95">
        <v>0</v>
      </c>
      <c r="F46" s="95">
        <v>0</v>
      </c>
      <c r="I46" s="95">
        <v>10000</v>
      </c>
      <c r="J46"/>
    </row>
    <row r="47" spans="1:10" hidden="1" x14ac:dyDescent="0.25">
      <c r="A47">
        <v>55</v>
      </c>
      <c r="B47" s="94">
        <v>45021</v>
      </c>
      <c r="C47" t="s">
        <v>376</v>
      </c>
      <c r="D47" t="s">
        <v>379</v>
      </c>
      <c r="E47" s="95">
        <v>0</v>
      </c>
      <c r="F47" s="95">
        <v>0</v>
      </c>
      <c r="I47" s="95">
        <v>10000</v>
      </c>
      <c r="J47"/>
    </row>
    <row r="48" spans="1:10" hidden="1" x14ac:dyDescent="0.25">
      <c r="A48">
        <v>56</v>
      </c>
      <c r="B48" s="94">
        <v>45021</v>
      </c>
      <c r="C48" t="s">
        <v>376</v>
      </c>
      <c r="D48" t="s">
        <v>379</v>
      </c>
      <c r="E48" s="95">
        <v>0</v>
      </c>
      <c r="F48" s="95">
        <v>0</v>
      </c>
      <c r="I48" s="95">
        <v>10000</v>
      </c>
      <c r="J48"/>
    </row>
    <row r="49" spans="1:10" hidden="1" x14ac:dyDescent="0.25">
      <c r="A49">
        <v>60</v>
      </c>
      <c r="B49" s="94">
        <v>45020</v>
      </c>
      <c r="C49" t="s">
        <v>376</v>
      </c>
      <c r="D49" t="s">
        <v>379</v>
      </c>
      <c r="E49" s="95">
        <v>0</v>
      </c>
      <c r="F49" s="95">
        <v>0</v>
      </c>
      <c r="I49" s="95">
        <v>10000</v>
      </c>
      <c r="J49"/>
    </row>
    <row r="50" spans="1:10" hidden="1" x14ac:dyDescent="0.25">
      <c r="A50">
        <v>65</v>
      </c>
      <c r="B50" s="94">
        <v>45019</v>
      </c>
      <c r="C50" t="s">
        <v>229</v>
      </c>
      <c r="D50" t="s">
        <v>230</v>
      </c>
      <c r="E50" s="95">
        <v>0</v>
      </c>
      <c r="F50" s="95">
        <v>0</v>
      </c>
      <c r="I50" s="95">
        <v>10000</v>
      </c>
      <c r="J50"/>
    </row>
    <row r="51" spans="1:10" hidden="1" x14ac:dyDescent="0.25">
      <c r="A51">
        <v>66</v>
      </c>
      <c r="B51" s="94">
        <v>45019</v>
      </c>
      <c r="C51" t="s">
        <v>229</v>
      </c>
      <c r="D51" t="s">
        <v>230</v>
      </c>
      <c r="E51" s="95">
        <v>0</v>
      </c>
      <c r="F51" s="95">
        <v>0</v>
      </c>
      <c r="I51" s="95">
        <v>10000</v>
      </c>
      <c r="J51"/>
    </row>
    <row r="52" spans="1:10" hidden="1" x14ac:dyDescent="0.25">
      <c r="A52">
        <v>61</v>
      </c>
      <c r="B52" s="94">
        <v>45020</v>
      </c>
      <c r="C52" t="s">
        <v>376</v>
      </c>
      <c r="D52" t="s">
        <v>379</v>
      </c>
      <c r="E52" s="95">
        <v>0</v>
      </c>
      <c r="F52" s="95">
        <v>0</v>
      </c>
      <c r="I52" s="95">
        <v>20000</v>
      </c>
      <c r="J52"/>
    </row>
    <row r="53" spans="1:10" hidden="1" x14ac:dyDescent="0.25">
      <c r="A53">
        <v>25</v>
      </c>
      <c r="B53" s="94">
        <v>45036</v>
      </c>
      <c r="C53" t="s">
        <v>409</v>
      </c>
      <c r="E53" s="95">
        <v>0</v>
      </c>
      <c r="F53" s="95">
        <v>0</v>
      </c>
      <c r="I53" s="95">
        <v>900000</v>
      </c>
      <c r="J53"/>
    </row>
    <row r="54" spans="1:10" hidden="1" x14ac:dyDescent="0.25">
      <c r="A54" s="99">
        <v>900</v>
      </c>
      <c r="B54" s="98">
        <v>45046</v>
      </c>
      <c r="C54" s="99" t="s">
        <v>456</v>
      </c>
      <c r="D54" s="99" t="s">
        <v>457</v>
      </c>
      <c r="E54" s="95">
        <v>0</v>
      </c>
      <c r="F54" s="95">
        <v>-23029</v>
      </c>
      <c r="I54" s="95">
        <v>0</v>
      </c>
      <c r="J54"/>
    </row>
    <row r="55" spans="1:10" hidden="1" x14ac:dyDescent="0.25">
      <c r="A55">
        <v>10</v>
      </c>
      <c r="B55" s="94">
        <v>45075</v>
      </c>
      <c r="C55" t="s">
        <v>211</v>
      </c>
      <c r="D55" t="s">
        <v>273</v>
      </c>
      <c r="E55" s="95">
        <v>220</v>
      </c>
      <c r="F55" s="95">
        <v>0</v>
      </c>
      <c r="I55" s="95">
        <v>0</v>
      </c>
      <c r="J55"/>
    </row>
    <row r="56" spans="1:10" hidden="1" x14ac:dyDescent="0.25">
      <c r="A56">
        <v>70</v>
      </c>
      <c r="B56" s="94">
        <v>45048</v>
      </c>
      <c r="C56" t="s">
        <v>211</v>
      </c>
      <c r="D56" t="s">
        <v>328</v>
      </c>
      <c r="E56" s="95">
        <v>254.9</v>
      </c>
      <c r="F56" s="95">
        <v>0</v>
      </c>
      <c r="I56" s="95">
        <v>0</v>
      </c>
      <c r="J56"/>
    </row>
    <row r="57" spans="1:10" hidden="1" x14ac:dyDescent="0.25">
      <c r="A57">
        <v>45</v>
      </c>
      <c r="B57" s="94">
        <v>45054</v>
      </c>
      <c r="C57" t="s">
        <v>211</v>
      </c>
      <c r="D57" t="s">
        <v>269</v>
      </c>
      <c r="E57" s="95">
        <v>380</v>
      </c>
      <c r="F57" s="95">
        <v>0</v>
      </c>
      <c r="I57" s="95">
        <v>0</v>
      </c>
      <c r="J57"/>
    </row>
    <row r="58" spans="1:10" hidden="1" x14ac:dyDescent="0.25">
      <c r="A58">
        <v>1</v>
      </c>
      <c r="B58" s="94">
        <v>45077</v>
      </c>
      <c r="C58" t="s">
        <v>215</v>
      </c>
      <c r="E58" s="95">
        <v>494.42</v>
      </c>
      <c r="F58" s="95">
        <v>0</v>
      </c>
      <c r="I58" s="95">
        <v>0</v>
      </c>
      <c r="J58"/>
    </row>
    <row r="59" spans="1:10" hidden="1" x14ac:dyDescent="0.25">
      <c r="A59">
        <v>47</v>
      </c>
      <c r="B59" s="94">
        <v>45054</v>
      </c>
      <c r="C59" t="s">
        <v>211</v>
      </c>
      <c r="D59" t="s">
        <v>269</v>
      </c>
      <c r="E59" s="95">
        <v>550</v>
      </c>
      <c r="F59" s="95">
        <v>0</v>
      </c>
      <c r="I59" s="95">
        <v>0</v>
      </c>
      <c r="J59"/>
    </row>
    <row r="60" spans="1:10" hidden="1" x14ac:dyDescent="0.25">
      <c r="A60">
        <v>9</v>
      </c>
      <c r="B60" s="94">
        <v>45075</v>
      </c>
      <c r="C60" t="s">
        <v>211</v>
      </c>
      <c r="D60" t="s">
        <v>472</v>
      </c>
      <c r="E60" s="95">
        <v>600</v>
      </c>
      <c r="F60" s="95">
        <v>0</v>
      </c>
      <c r="I60" s="95">
        <v>0</v>
      </c>
      <c r="J60"/>
    </row>
    <row r="61" spans="1:10" hidden="1" x14ac:dyDescent="0.25">
      <c r="A61">
        <v>61</v>
      </c>
      <c r="B61" s="94">
        <v>45049</v>
      </c>
      <c r="C61" t="s">
        <v>218</v>
      </c>
      <c r="D61" t="s">
        <v>276</v>
      </c>
      <c r="E61" s="95">
        <v>691.86</v>
      </c>
      <c r="F61" s="95">
        <v>0</v>
      </c>
      <c r="I61" s="95">
        <v>0</v>
      </c>
      <c r="J61"/>
    </row>
    <row r="62" spans="1:10" hidden="1" x14ac:dyDescent="0.25">
      <c r="A62">
        <v>30</v>
      </c>
      <c r="B62" s="94">
        <v>45061</v>
      </c>
      <c r="C62" t="s">
        <v>211</v>
      </c>
      <c r="D62" t="s">
        <v>269</v>
      </c>
      <c r="E62" s="95">
        <v>780</v>
      </c>
      <c r="F62" s="95">
        <v>0</v>
      </c>
      <c r="I62" s="95">
        <v>0</v>
      </c>
      <c r="J62"/>
    </row>
    <row r="63" spans="1:10" hidden="1" x14ac:dyDescent="0.25">
      <c r="A63">
        <v>36</v>
      </c>
      <c r="B63" s="94">
        <v>45058</v>
      </c>
      <c r="C63" t="s">
        <v>211</v>
      </c>
      <c r="D63" t="s">
        <v>465</v>
      </c>
      <c r="E63" s="95">
        <v>850</v>
      </c>
      <c r="F63" s="95">
        <v>0</v>
      </c>
      <c r="I63" s="95">
        <v>0</v>
      </c>
      <c r="J63"/>
    </row>
    <row r="64" spans="1:10" hidden="1" x14ac:dyDescent="0.25">
      <c r="A64">
        <v>42</v>
      </c>
      <c r="B64" s="94">
        <v>45055</v>
      </c>
      <c r="C64" t="s">
        <v>211</v>
      </c>
      <c r="D64" t="s">
        <v>268</v>
      </c>
      <c r="E64" s="95">
        <v>900</v>
      </c>
      <c r="F64" s="95">
        <v>0</v>
      </c>
      <c r="I64" s="95">
        <v>0</v>
      </c>
      <c r="J64"/>
    </row>
    <row r="65" spans="1:10" hidden="1" x14ac:dyDescent="0.25">
      <c r="A65">
        <v>31</v>
      </c>
      <c r="B65" s="94">
        <v>45061</v>
      </c>
      <c r="C65" t="s">
        <v>211</v>
      </c>
      <c r="D65" t="s">
        <v>242</v>
      </c>
      <c r="E65" s="95">
        <v>1000</v>
      </c>
      <c r="F65" s="95">
        <v>0</v>
      </c>
      <c r="I65" s="95">
        <v>0</v>
      </c>
      <c r="J65"/>
    </row>
    <row r="66" spans="1:10" hidden="1" x14ac:dyDescent="0.25">
      <c r="A66">
        <v>6</v>
      </c>
      <c r="B66" s="94">
        <v>45075</v>
      </c>
      <c r="C66" t="s">
        <v>211</v>
      </c>
      <c r="D66" t="s">
        <v>471</v>
      </c>
      <c r="E66" s="95">
        <v>1240</v>
      </c>
      <c r="F66" s="95">
        <v>0</v>
      </c>
      <c r="I66" s="95">
        <v>0</v>
      </c>
      <c r="J66"/>
    </row>
    <row r="67" spans="1:10" hidden="1" x14ac:dyDescent="0.25">
      <c r="A67">
        <v>13</v>
      </c>
      <c r="B67" s="94">
        <v>45069</v>
      </c>
      <c r="C67" t="s">
        <v>211</v>
      </c>
      <c r="D67" t="s">
        <v>366</v>
      </c>
      <c r="E67" s="95">
        <v>1272</v>
      </c>
      <c r="F67" s="95">
        <v>0</v>
      </c>
      <c r="I67" s="95">
        <v>0</v>
      </c>
      <c r="J67"/>
    </row>
    <row r="68" spans="1:10" hidden="1" x14ac:dyDescent="0.25">
      <c r="A68">
        <v>46</v>
      </c>
      <c r="B68" s="94">
        <v>45054</v>
      </c>
      <c r="C68" t="s">
        <v>211</v>
      </c>
      <c r="D68" t="s">
        <v>354</v>
      </c>
      <c r="E68" s="95">
        <v>1360</v>
      </c>
      <c r="F68" s="95">
        <v>0</v>
      </c>
      <c r="I68" s="95">
        <v>0</v>
      </c>
      <c r="J68"/>
    </row>
    <row r="69" spans="1:10" hidden="1" x14ac:dyDescent="0.25">
      <c r="A69">
        <v>2</v>
      </c>
      <c r="B69" s="94">
        <v>45076</v>
      </c>
      <c r="C69" t="s">
        <v>211</v>
      </c>
      <c r="D69" t="s">
        <v>219</v>
      </c>
      <c r="E69" s="95">
        <v>1437.8</v>
      </c>
      <c r="F69" s="95">
        <v>0</v>
      </c>
      <c r="I69" s="95">
        <v>0</v>
      </c>
      <c r="J69"/>
    </row>
    <row r="70" spans="1:10" hidden="1" x14ac:dyDescent="0.25">
      <c r="A70">
        <v>29</v>
      </c>
      <c r="B70" s="94">
        <v>45062</v>
      </c>
      <c r="C70" t="s">
        <v>211</v>
      </c>
      <c r="D70" t="s">
        <v>328</v>
      </c>
      <c r="E70" s="95">
        <v>1454.99</v>
      </c>
      <c r="F70" s="95">
        <v>0</v>
      </c>
      <c r="I70" s="95">
        <v>0</v>
      </c>
      <c r="J70"/>
    </row>
    <row r="71" spans="1:10" hidden="1" x14ac:dyDescent="0.25">
      <c r="A71">
        <v>16</v>
      </c>
      <c r="B71" s="94">
        <v>45068</v>
      </c>
      <c r="C71" t="s">
        <v>211</v>
      </c>
      <c r="D71" t="s">
        <v>269</v>
      </c>
      <c r="E71" s="95">
        <v>1470</v>
      </c>
      <c r="F71" s="95">
        <v>0</v>
      </c>
      <c r="I71" s="95">
        <v>0</v>
      </c>
      <c r="J71"/>
    </row>
    <row r="72" spans="1:10" hidden="1" x14ac:dyDescent="0.25">
      <c r="A72">
        <v>8</v>
      </c>
      <c r="B72" s="94">
        <v>45075</v>
      </c>
      <c r="C72" t="s">
        <v>211</v>
      </c>
      <c r="D72" t="s">
        <v>472</v>
      </c>
      <c r="E72" s="95">
        <v>1560</v>
      </c>
      <c r="F72" s="95">
        <v>0</v>
      </c>
      <c r="I72" s="95">
        <v>0</v>
      </c>
      <c r="J72"/>
    </row>
    <row r="73" spans="1:10" hidden="1" x14ac:dyDescent="0.25">
      <c r="A73">
        <v>68</v>
      </c>
      <c r="B73" s="94">
        <v>45048</v>
      </c>
      <c r="C73" t="s">
        <v>211</v>
      </c>
      <c r="D73" t="s">
        <v>245</v>
      </c>
      <c r="E73" s="95">
        <v>1629.6</v>
      </c>
      <c r="F73" s="95">
        <v>0</v>
      </c>
      <c r="I73" s="95">
        <v>0</v>
      </c>
      <c r="J73"/>
    </row>
    <row r="74" spans="1:10" hidden="1" x14ac:dyDescent="0.25">
      <c r="A74">
        <v>5</v>
      </c>
      <c r="B74" s="94">
        <v>45075</v>
      </c>
      <c r="C74" t="s">
        <v>211</v>
      </c>
      <c r="D74" t="s">
        <v>242</v>
      </c>
      <c r="E74" s="95">
        <v>1640</v>
      </c>
      <c r="F74" s="95">
        <v>0</v>
      </c>
      <c r="I74" s="95">
        <v>0</v>
      </c>
      <c r="J74"/>
    </row>
    <row r="75" spans="1:10" hidden="1" x14ac:dyDescent="0.25">
      <c r="A75">
        <v>67</v>
      </c>
      <c r="B75" s="94">
        <v>45048</v>
      </c>
      <c r="C75" t="s">
        <v>211</v>
      </c>
      <c r="D75" t="s">
        <v>392</v>
      </c>
      <c r="E75" s="95">
        <v>1650</v>
      </c>
      <c r="F75" s="95">
        <v>0</v>
      </c>
      <c r="I75" s="95">
        <v>0</v>
      </c>
      <c r="J75"/>
    </row>
    <row r="76" spans="1:10" hidden="1" x14ac:dyDescent="0.25">
      <c r="A76">
        <v>56</v>
      </c>
      <c r="B76" s="94">
        <v>45050</v>
      </c>
      <c r="C76" t="s">
        <v>211</v>
      </c>
      <c r="D76" t="s">
        <v>297</v>
      </c>
      <c r="E76" s="95">
        <v>1700</v>
      </c>
      <c r="F76" s="95">
        <v>0</v>
      </c>
      <c r="I76" s="95">
        <v>0</v>
      </c>
      <c r="J76"/>
    </row>
    <row r="77" spans="1:10" hidden="1" x14ac:dyDescent="0.25">
      <c r="A77">
        <v>43</v>
      </c>
      <c r="B77" s="94">
        <v>45055</v>
      </c>
      <c r="C77" t="s">
        <v>211</v>
      </c>
      <c r="D77" t="s">
        <v>354</v>
      </c>
      <c r="E77" s="95">
        <v>1990</v>
      </c>
      <c r="F77" s="95">
        <v>0</v>
      </c>
      <c r="I77" s="95">
        <v>0</v>
      </c>
      <c r="J77"/>
    </row>
    <row r="78" spans="1:10" hidden="1" x14ac:dyDescent="0.25">
      <c r="A78">
        <v>58</v>
      </c>
      <c r="B78" s="94">
        <v>45050</v>
      </c>
      <c r="C78" t="s">
        <v>211</v>
      </c>
      <c r="D78" t="s">
        <v>468</v>
      </c>
      <c r="E78" s="95">
        <v>2040</v>
      </c>
      <c r="F78" s="95">
        <v>0</v>
      </c>
      <c r="I78" s="95">
        <v>0</v>
      </c>
      <c r="J78"/>
    </row>
    <row r="79" spans="1:10" hidden="1" x14ac:dyDescent="0.25">
      <c r="A79">
        <v>64</v>
      </c>
      <c r="B79" s="94">
        <v>45048</v>
      </c>
      <c r="C79" t="s">
        <v>211</v>
      </c>
      <c r="D79" t="s">
        <v>466</v>
      </c>
      <c r="E79" s="95">
        <v>2040</v>
      </c>
      <c r="F79" s="95">
        <v>0</v>
      </c>
      <c r="I79" s="95">
        <v>0</v>
      </c>
      <c r="J79"/>
    </row>
    <row r="80" spans="1:10" hidden="1" x14ac:dyDescent="0.25">
      <c r="A80">
        <v>20</v>
      </c>
      <c r="B80" s="94">
        <v>45065</v>
      </c>
      <c r="C80" t="s">
        <v>211</v>
      </c>
      <c r="D80" t="s">
        <v>475</v>
      </c>
      <c r="E80" s="95">
        <v>2060</v>
      </c>
      <c r="F80" s="95">
        <v>0</v>
      </c>
      <c r="I80" s="95">
        <v>0</v>
      </c>
      <c r="J80"/>
    </row>
    <row r="81" spans="1:10" hidden="1" x14ac:dyDescent="0.25">
      <c r="A81">
        <v>7</v>
      </c>
      <c r="B81" s="94">
        <v>45075</v>
      </c>
      <c r="C81" t="s">
        <v>211</v>
      </c>
      <c r="D81" t="s">
        <v>354</v>
      </c>
      <c r="E81" s="95">
        <v>2170</v>
      </c>
      <c r="F81" s="95">
        <v>0</v>
      </c>
      <c r="I81" s="95">
        <v>0</v>
      </c>
      <c r="J81"/>
    </row>
    <row r="82" spans="1:10" hidden="1" x14ac:dyDescent="0.25">
      <c r="A82">
        <v>66</v>
      </c>
      <c r="B82" s="94">
        <v>45048</v>
      </c>
      <c r="C82" t="s">
        <v>211</v>
      </c>
      <c r="D82" t="s">
        <v>329</v>
      </c>
      <c r="E82" s="95">
        <v>2250</v>
      </c>
      <c r="F82" s="95">
        <v>0</v>
      </c>
      <c r="I82" s="95">
        <v>0</v>
      </c>
      <c r="J82"/>
    </row>
    <row r="83" spans="1:10" hidden="1" x14ac:dyDescent="0.25">
      <c r="A83">
        <v>0</v>
      </c>
      <c r="B83" s="94">
        <v>45077</v>
      </c>
      <c r="C83" t="s">
        <v>214</v>
      </c>
      <c r="E83" s="95">
        <v>2354.39</v>
      </c>
      <c r="F83" s="95">
        <v>0</v>
      </c>
      <c r="I83" s="95">
        <v>0</v>
      </c>
      <c r="J83"/>
    </row>
    <row r="84" spans="1:10" hidden="1" x14ac:dyDescent="0.25">
      <c r="A84">
        <v>23</v>
      </c>
      <c r="B84" s="94">
        <v>45064</v>
      </c>
      <c r="C84" t="s">
        <v>211</v>
      </c>
      <c r="D84" t="s">
        <v>473</v>
      </c>
      <c r="E84" s="95">
        <v>2548.98</v>
      </c>
      <c r="F84" s="95">
        <v>0</v>
      </c>
      <c r="I84" s="95">
        <v>0</v>
      </c>
      <c r="J84"/>
    </row>
    <row r="85" spans="1:10" hidden="1" x14ac:dyDescent="0.25">
      <c r="A85">
        <v>28</v>
      </c>
      <c r="B85" s="94">
        <v>45063</v>
      </c>
      <c r="C85" t="s">
        <v>211</v>
      </c>
      <c r="D85" t="s">
        <v>268</v>
      </c>
      <c r="E85" s="95">
        <v>2550</v>
      </c>
      <c r="F85" s="95">
        <v>0</v>
      </c>
      <c r="I85" s="95">
        <v>0</v>
      </c>
      <c r="J85"/>
    </row>
    <row r="86" spans="1:10" hidden="1" x14ac:dyDescent="0.25">
      <c r="A86">
        <v>63</v>
      </c>
      <c r="B86" s="94">
        <v>45048</v>
      </c>
      <c r="C86" t="s">
        <v>211</v>
      </c>
      <c r="D86" t="s">
        <v>392</v>
      </c>
      <c r="E86" s="95">
        <v>2640</v>
      </c>
      <c r="F86" s="95">
        <v>0</v>
      </c>
      <c r="I86" s="95">
        <v>0</v>
      </c>
      <c r="J86"/>
    </row>
    <row r="87" spans="1:10" hidden="1" x14ac:dyDescent="0.25">
      <c r="A87">
        <v>3</v>
      </c>
      <c r="B87" s="94">
        <v>45076</v>
      </c>
      <c r="C87" t="s">
        <v>211</v>
      </c>
      <c r="D87" t="s">
        <v>474</v>
      </c>
      <c r="E87" s="95">
        <v>2790</v>
      </c>
      <c r="F87" s="95">
        <v>0</v>
      </c>
      <c r="I87" s="95">
        <v>0</v>
      </c>
      <c r="J87"/>
    </row>
    <row r="88" spans="1:10" hidden="1" x14ac:dyDescent="0.25">
      <c r="A88">
        <v>15</v>
      </c>
      <c r="B88" s="94">
        <v>45068</v>
      </c>
      <c r="C88" t="s">
        <v>211</v>
      </c>
      <c r="D88" t="s">
        <v>216</v>
      </c>
      <c r="E88" s="95">
        <v>2810.09</v>
      </c>
      <c r="F88" s="95">
        <v>0</v>
      </c>
      <c r="I88" s="95">
        <v>0</v>
      </c>
      <c r="J88"/>
    </row>
    <row r="89" spans="1:10" hidden="1" x14ac:dyDescent="0.25">
      <c r="A89">
        <v>48</v>
      </c>
      <c r="B89" s="94">
        <v>45054</v>
      </c>
      <c r="C89" t="s">
        <v>211</v>
      </c>
      <c r="D89" t="s">
        <v>216</v>
      </c>
      <c r="E89" s="95">
        <v>3166.1</v>
      </c>
      <c r="F89" s="95">
        <v>0</v>
      </c>
      <c r="I89" s="95">
        <v>0</v>
      </c>
      <c r="J89"/>
    </row>
    <row r="90" spans="1:10" hidden="1" x14ac:dyDescent="0.25">
      <c r="A90">
        <v>32</v>
      </c>
      <c r="B90" s="94">
        <v>45061</v>
      </c>
      <c r="C90" t="s">
        <v>211</v>
      </c>
      <c r="D90" t="s">
        <v>464</v>
      </c>
      <c r="E90" s="95">
        <v>3230</v>
      </c>
      <c r="F90" s="95">
        <v>0</v>
      </c>
      <c r="I90" s="95">
        <v>0</v>
      </c>
      <c r="J90"/>
    </row>
    <row r="91" spans="1:10" hidden="1" x14ac:dyDescent="0.25">
      <c r="A91">
        <v>34</v>
      </c>
      <c r="B91" s="94">
        <v>45061</v>
      </c>
      <c r="C91" t="s">
        <v>244</v>
      </c>
      <c r="D91" t="s">
        <v>476</v>
      </c>
      <c r="E91" s="95">
        <v>3550</v>
      </c>
      <c r="F91" s="95">
        <v>0</v>
      </c>
      <c r="I91" s="95">
        <v>0</v>
      </c>
      <c r="J91"/>
    </row>
    <row r="92" spans="1:10" hidden="1" x14ac:dyDescent="0.25">
      <c r="A92">
        <v>38</v>
      </c>
      <c r="B92" s="94">
        <v>45057</v>
      </c>
      <c r="C92" t="s">
        <v>211</v>
      </c>
      <c r="D92" t="s">
        <v>268</v>
      </c>
      <c r="E92" s="95">
        <v>4270</v>
      </c>
      <c r="F92" s="95">
        <v>0</v>
      </c>
      <c r="I92" s="95">
        <v>0</v>
      </c>
      <c r="J92"/>
    </row>
    <row r="93" spans="1:10" hidden="1" x14ac:dyDescent="0.25">
      <c r="A93">
        <v>4</v>
      </c>
      <c r="B93" s="94">
        <v>45076</v>
      </c>
      <c r="C93" t="s">
        <v>211</v>
      </c>
      <c r="D93" t="s">
        <v>278</v>
      </c>
      <c r="E93" s="95">
        <v>4401.1000000000004</v>
      </c>
      <c r="F93" s="95">
        <v>0</v>
      </c>
      <c r="I93" s="95">
        <v>0</v>
      </c>
      <c r="J93"/>
    </row>
    <row r="94" spans="1:10" hidden="1" x14ac:dyDescent="0.25">
      <c r="A94">
        <v>59</v>
      </c>
      <c r="B94" s="94">
        <v>45050</v>
      </c>
      <c r="C94" t="s">
        <v>211</v>
      </c>
      <c r="D94" t="s">
        <v>278</v>
      </c>
      <c r="E94" s="95">
        <v>4481.43</v>
      </c>
      <c r="F94" s="95">
        <v>0</v>
      </c>
      <c r="I94" s="95">
        <v>0</v>
      </c>
      <c r="J94"/>
    </row>
    <row r="95" spans="1:10" hidden="1" x14ac:dyDescent="0.25">
      <c r="A95">
        <v>12</v>
      </c>
      <c r="B95" s="94">
        <v>45075</v>
      </c>
      <c r="C95" t="s">
        <v>217</v>
      </c>
      <c r="D95" t="s">
        <v>305</v>
      </c>
      <c r="E95" s="95">
        <v>5000</v>
      </c>
      <c r="F95" s="95">
        <v>0</v>
      </c>
      <c r="I95" s="95">
        <v>0</v>
      </c>
      <c r="J95"/>
    </row>
    <row r="96" spans="1:10" hidden="1" x14ac:dyDescent="0.25">
      <c r="A96">
        <v>44</v>
      </c>
      <c r="B96" s="94">
        <v>45055</v>
      </c>
      <c r="C96" t="s">
        <v>217</v>
      </c>
      <c r="D96" t="s">
        <v>485</v>
      </c>
      <c r="E96" s="95">
        <v>5000</v>
      </c>
      <c r="F96" s="95">
        <v>0</v>
      </c>
      <c r="I96" s="95">
        <v>0</v>
      </c>
      <c r="J96"/>
    </row>
    <row r="97" spans="1:10" hidden="1" x14ac:dyDescent="0.25">
      <c r="A97">
        <v>21</v>
      </c>
      <c r="B97" s="94">
        <v>45065</v>
      </c>
      <c r="C97" t="s">
        <v>211</v>
      </c>
      <c r="D97" t="s">
        <v>278</v>
      </c>
      <c r="E97" s="95">
        <v>5785.16</v>
      </c>
      <c r="F97" s="95">
        <v>0</v>
      </c>
      <c r="I97" s="95">
        <v>0</v>
      </c>
      <c r="J97"/>
    </row>
    <row r="98" spans="1:10" hidden="1" x14ac:dyDescent="0.25">
      <c r="A98">
        <v>24</v>
      </c>
      <c r="B98" s="94">
        <v>45064</v>
      </c>
      <c r="C98" t="s">
        <v>217</v>
      </c>
      <c r="D98" t="s">
        <v>486</v>
      </c>
      <c r="E98" s="95">
        <v>6000</v>
      </c>
      <c r="F98" s="95">
        <v>0</v>
      </c>
      <c r="I98" s="95">
        <v>0</v>
      </c>
      <c r="J98"/>
    </row>
    <row r="99" spans="1:10" hidden="1" x14ac:dyDescent="0.25">
      <c r="A99">
        <v>14</v>
      </c>
      <c r="B99" s="94">
        <v>45068</v>
      </c>
      <c r="C99" t="s">
        <v>211</v>
      </c>
      <c r="D99" t="s">
        <v>245</v>
      </c>
      <c r="E99" s="95">
        <v>6456.95</v>
      </c>
      <c r="F99" s="95">
        <v>0</v>
      </c>
      <c r="I99" s="95">
        <v>0</v>
      </c>
      <c r="J99"/>
    </row>
    <row r="100" spans="1:10" hidden="1" x14ac:dyDescent="0.25">
      <c r="A100">
        <v>22</v>
      </c>
      <c r="B100" s="94">
        <v>45064</v>
      </c>
      <c r="C100" t="s">
        <v>211</v>
      </c>
      <c r="D100" t="s">
        <v>470</v>
      </c>
      <c r="E100" s="95">
        <v>6500</v>
      </c>
      <c r="F100" s="95">
        <v>0</v>
      </c>
      <c r="I100" s="95">
        <v>0</v>
      </c>
      <c r="J100"/>
    </row>
    <row r="101" spans="1:10" hidden="1" x14ac:dyDescent="0.25">
      <c r="A101">
        <v>57</v>
      </c>
      <c r="B101" s="94">
        <v>45050</v>
      </c>
      <c r="C101" t="s">
        <v>211</v>
      </c>
      <c r="D101" t="s">
        <v>469</v>
      </c>
      <c r="E101" s="95">
        <v>10000</v>
      </c>
      <c r="F101" s="95">
        <v>0</v>
      </c>
      <c r="I101" s="95">
        <v>0</v>
      </c>
      <c r="J101"/>
    </row>
    <row r="102" spans="1:10" hidden="1" x14ac:dyDescent="0.25">
      <c r="A102">
        <v>65</v>
      </c>
      <c r="B102" s="94">
        <v>45048</v>
      </c>
      <c r="C102" t="s">
        <v>211</v>
      </c>
      <c r="D102" t="s">
        <v>369</v>
      </c>
      <c r="E102" s="95">
        <v>10000</v>
      </c>
      <c r="F102" s="95">
        <v>0</v>
      </c>
      <c r="I102" s="95">
        <v>0</v>
      </c>
      <c r="J102"/>
    </row>
    <row r="103" spans="1:10" hidden="1" x14ac:dyDescent="0.25">
      <c r="A103">
        <v>60</v>
      </c>
      <c r="B103" s="94">
        <v>45050</v>
      </c>
      <c r="C103" t="s">
        <v>217</v>
      </c>
      <c r="D103" t="s">
        <v>484</v>
      </c>
      <c r="E103" s="95">
        <v>11000</v>
      </c>
      <c r="F103" s="95">
        <v>0</v>
      </c>
      <c r="I103" s="95">
        <v>0</v>
      </c>
      <c r="J103" t="s">
        <v>491</v>
      </c>
    </row>
    <row r="104" spans="1:10" hidden="1" x14ac:dyDescent="0.25">
      <c r="A104">
        <v>69</v>
      </c>
      <c r="B104" s="94">
        <v>45048</v>
      </c>
      <c r="C104" t="s">
        <v>211</v>
      </c>
      <c r="D104" t="s">
        <v>372</v>
      </c>
      <c r="E104" s="95">
        <v>11500</v>
      </c>
      <c r="F104" s="95">
        <v>0</v>
      </c>
      <c r="I104" s="95">
        <v>0</v>
      </c>
      <c r="J104"/>
    </row>
    <row r="105" spans="1:10" hidden="1" x14ac:dyDescent="0.25">
      <c r="A105">
        <v>55</v>
      </c>
      <c r="B105" s="94">
        <v>45051</v>
      </c>
      <c r="C105" t="s">
        <v>217</v>
      </c>
      <c r="D105" t="s">
        <v>413</v>
      </c>
      <c r="E105" s="95">
        <v>15000</v>
      </c>
      <c r="F105" s="95">
        <v>0</v>
      </c>
      <c r="I105" s="95">
        <v>0</v>
      </c>
      <c r="J105" t="s">
        <v>490</v>
      </c>
    </row>
    <row r="106" spans="1:10" hidden="1" x14ac:dyDescent="0.25">
      <c r="A106">
        <v>19</v>
      </c>
      <c r="B106" s="94">
        <v>45068</v>
      </c>
      <c r="C106" t="s">
        <v>217</v>
      </c>
      <c r="D106" t="s">
        <v>451</v>
      </c>
      <c r="E106" s="95">
        <v>16000</v>
      </c>
      <c r="F106" s="95">
        <v>0</v>
      </c>
      <c r="I106" s="95">
        <v>0</v>
      </c>
      <c r="J106" t="s">
        <v>489</v>
      </c>
    </row>
    <row r="107" spans="1:10" hidden="1" x14ac:dyDescent="0.25">
      <c r="A107">
        <v>11</v>
      </c>
      <c r="B107" s="94">
        <v>45075</v>
      </c>
      <c r="C107" t="s">
        <v>217</v>
      </c>
      <c r="D107" t="s">
        <v>487</v>
      </c>
      <c r="E107" s="95">
        <v>17600</v>
      </c>
      <c r="F107" s="95">
        <v>0</v>
      </c>
      <c r="I107" s="95">
        <v>0</v>
      </c>
      <c r="J107" t="s">
        <v>488</v>
      </c>
    </row>
    <row r="108" spans="1:10" hidden="1" x14ac:dyDescent="0.25">
      <c r="A108">
        <v>52</v>
      </c>
      <c r="B108" s="94">
        <v>45051</v>
      </c>
      <c r="C108" t="s">
        <v>211</v>
      </c>
      <c r="D108" t="s">
        <v>467</v>
      </c>
      <c r="E108" s="95">
        <v>24420</v>
      </c>
      <c r="F108" s="95">
        <v>0</v>
      </c>
      <c r="I108" s="95">
        <v>0</v>
      </c>
      <c r="J108" t="s">
        <v>492</v>
      </c>
    </row>
    <row r="109" spans="1:10" hidden="1" x14ac:dyDescent="0.25">
      <c r="A109">
        <v>37</v>
      </c>
      <c r="B109" s="94">
        <v>45058</v>
      </c>
      <c r="C109" t="s">
        <v>217</v>
      </c>
      <c r="D109" t="s">
        <v>413</v>
      </c>
      <c r="E109" s="95">
        <v>30000</v>
      </c>
      <c r="F109" s="95">
        <v>0</v>
      </c>
      <c r="I109" s="95">
        <v>0</v>
      </c>
      <c r="J109" t="s">
        <v>490</v>
      </c>
    </row>
    <row r="110" spans="1:10" hidden="1" x14ac:dyDescent="0.25">
      <c r="A110">
        <v>50</v>
      </c>
      <c r="B110" s="94">
        <v>45054</v>
      </c>
      <c r="C110" t="s">
        <v>435</v>
      </c>
      <c r="D110" t="s">
        <v>477</v>
      </c>
      <c r="E110" s="95">
        <v>0</v>
      </c>
      <c r="F110" s="95">
        <v>237166.39</v>
      </c>
      <c r="I110" s="95">
        <v>0</v>
      </c>
      <c r="J110"/>
    </row>
    <row r="111" spans="1:10" hidden="1" x14ac:dyDescent="0.25">
      <c r="A111">
        <v>62</v>
      </c>
      <c r="B111" s="94">
        <v>45048</v>
      </c>
      <c r="C111" t="s">
        <v>224</v>
      </c>
      <c r="D111" t="s">
        <v>225</v>
      </c>
      <c r="E111" s="95">
        <v>0</v>
      </c>
      <c r="F111" s="95">
        <v>97376.07</v>
      </c>
      <c r="I111" s="95">
        <v>0</v>
      </c>
      <c r="J111"/>
    </row>
    <row r="112" spans="1:10" hidden="1" x14ac:dyDescent="0.25">
      <c r="A112">
        <v>26</v>
      </c>
      <c r="B112" s="94">
        <v>45064</v>
      </c>
      <c r="C112" t="s">
        <v>479</v>
      </c>
      <c r="E112" s="95">
        <v>0</v>
      </c>
      <c r="F112" s="95">
        <v>0</v>
      </c>
      <c r="H112" s="95">
        <v>14550</v>
      </c>
      <c r="I112" s="95">
        <v>0</v>
      </c>
      <c r="J112"/>
    </row>
    <row r="113" spans="1:10" hidden="1" x14ac:dyDescent="0.25">
      <c r="A113">
        <v>27</v>
      </c>
      <c r="B113" s="94">
        <v>45064</v>
      </c>
      <c r="C113" t="s">
        <v>480</v>
      </c>
      <c r="E113" s="95">
        <v>0</v>
      </c>
      <c r="F113" s="95">
        <v>0</v>
      </c>
      <c r="H113" s="95">
        <v>16975</v>
      </c>
      <c r="I113" s="95">
        <v>0</v>
      </c>
      <c r="J113"/>
    </row>
    <row r="114" spans="1:10" hidden="1" x14ac:dyDescent="0.25">
      <c r="A114">
        <v>25</v>
      </c>
      <c r="B114" s="94">
        <v>45064</v>
      </c>
      <c r="C114" t="s">
        <v>478</v>
      </c>
      <c r="E114" s="95">
        <v>0</v>
      </c>
      <c r="F114" s="95">
        <v>0</v>
      </c>
      <c r="H114" s="95">
        <v>48500</v>
      </c>
      <c r="I114" s="95">
        <v>0</v>
      </c>
      <c r="J114" t="s">
        <v>493</v>
      </c>
    </row>
    <row r="115" spans="1:10" hidden="1" x14ac:dyDescent="0.25">
      <c r="A115">
        <v>40</v>
      </c>
      <c r="B115" s="94">
        <v>45056</v>
      </c>
      <c r="C115" t="s">
        <v>376</v>
      </c>
      <c r="D115" t="s">
        <v>379</v>
      </c>
      <c r="E115" s="95">
        <v>0</v>
      </c>
      <c r="F115" s="95">
        <v>0</v>
      </c>
      <c r="H115" s="95">
        <v>0</v>
      </c>
      <c r="I115" s="95">
        <v>1000</v>
      </c>
      <c r="J115"/>
    </row>
    <row r="116" spans="1:10" hidden="1" x14ac:dyDescent="0.25">
      <c r="A116">
        <v>33</v>
      </c>
      <c r="B116" s="94">
        <v>45061</v>
      </c>
      <c r="C116" t="s">
        <v>376</v>
      </c>
      <c r="D116" t="s">
        <v>379</v>
      </c>
      <c r="E116" s="95">
        <v>0</v>
      </c>
      <c r="F116" s="95">
        <v>0</v>
      </c>
      <c r="H116" s="95">
        <v>0</v>
      </c>
      <c r="I116" s="95">
        <v>4000</v>
      </c>
      <c r="J116"/>
    </row>
    <row r="117" spans="1:10" hidden="1" x14ac:dyDescent="0.25">
      <c r="A117">
        <v>17</v>
      </c>
      <c r="B117" s="94">
        <v>45068</v>
      </c>
      <c r="C117" t="s">
        <v>376</v>
      </c>
      <c r="D117" t="s">
        <v>379</v>
      </c>
      <c r="E117" s="95">
        <v>0</v>
      </c>
      <c r="F117" s="95">
        <v>0</v>
      </c>
      <c r="H117" s="95">
        <v>0</v>
      </c>
      <c r="I117" s="95">
        <v>5000</v>
      </c>
      <c r="J117"/>
    </row>
    <row r="118" spans="1:10" hidden="1" x14ac:dyDescent="0.25">
      <c r="A118">
        <v>18</v>
      </c>
      <c r="B118" s="94">
        <v>45068</v>
      </c>
      <c r="C118" t="s">
        <v>376</v>
      </c>
      <c r="D118" t="s">
        <v>379</v>
      </c>
      <c r="E118" s="95">
        <v>0</v>
      </c>
      <c r="F118" s="95">
        <v>0</v>
      </c>
      <c r="H118" s="95">
        <v>0</v>
      </c>
      <c r="I118" s="95">
        <v>10000</v>
      </c>
      <c r="J118"/>
    </row>
    <row r="119" spans="1:10" hidden="1" x14ac:dyDescent="0.25">
      <c r="A119">
        <v>39</v>
      </c>
      <c r="B119" s="94">
        <v>45057</v>
      </c>
      <c r="C119" t="s">
        <v>229</v>
      </c>
      <c r="D119" t="s">
        <v>230</v>
      </c>
      <c r="E119" s="95">
        <v>0</v>
      </c>
      <c r="F119" s="95">
        <v>0</v>
      </c>
      <c r="H119" s="95">
        <v>0</v>
      </c>
      <c r="I119" s="95">
        <v>10000</v>
      </c>
      <c r="J119"/>
    </row>
    <row r="120" spans="1:10" hidden="1" x14ac:dyDescent="0.25">
      <c r="A120">
        <v>41</v>
      </c>
      <c r="B120" s="94">
        <v>45056</v>
      </c>
      <c r="C120" t="s">
        <v>376</v>
      </c>
      <c r="D120" t="s">
        <v>379</v>
      </c>
      <c r="E120" s="95">
        <v>0</v>
      </c>
      <c r="F120" s="95">
        <v>0</v>
      </c>
      <c r="H120" s="95">
        <v>0</v>
      </c>
      <c r="I120" s="95">
        <v>10000</v>
      </c>
      <c r="J120"/>
    </row>
    <row r="121" spans="1:10" hidden="1" x14ac:dyDescent="0.25">
      <c r="A121">
        <v>53</v>
      </c>
      <c r="B121" s="94">
        <v>45051</v>
      </c>
      <c r="C121" t="s">
        <v>376</v>
      </c>
      <c r="D121" t="s">
        <v>379</v>
      </c>
      <c r="E121" s="95">
        <v>0</v>
      </c>
      <c r="F121" s="95">
        <v>0</v>
      </c>
      <c r="H121" s="95">
        <v>0</v>
      </c>
      <c r="I121" s="95">
        <v>10000</v>
      </c>
      <c r="J121"/>
    </row>
    <row r="122" spans="1:10" hidden="1" x14ac:dyDescent="0.25">
      <c r="A122" s="99">
        <v>900</v>
      </c>
      <c r="B122" s="98">
        <v>45077</v>
      </c>
      <c r="C122" s="99" t="s">
        <v>456</v>
      </c>
      <c r="D122" s="99" t="s">
        <v>457</v>
      </c>
      <c r="E122" s="95">
        <v>0</v>
      </c>
      <c r="F122" s="95">
        <v>-23299</v>
      </c>
      <c r="H122" s="95">
        <v>0</v>
      </c>
      <c r="I122" s="95">
        <v>0</v>
      </c>
      <c r="J122"/>
    </row>
    <row r="123" spans="1:10" hidden="1" x14ac:dyDescent="0.25">
      <c r="A123">
        <v>51</v>
      </c>
      <c r="B123" s="94">
        <v>44932</v>
      </c>
      <c r="C123" t="s">
        <v>211</v>
      </c>
      <c r="D123" t="s">
        <v>342</v>
      </c>
      <c r="E123" s="95">
        <v>198.9</v>
      </c>
      <c r="F123" s="95">
        <v>0</v>
      </c>
      <c r="H123" s="95">
        <v>0</v>
      </c>
      <c r="I123" s="95">
        <v>0</v>
      </c>
      <c r="J123"/>
    </row>
    <row r="124" spans="1:10" hidden="1" x14ac:dyDescent="0.25">
      <c r="A124">
        <v>37</v>
      </c>
      <c r="B124" s="94">
        <v>44937</v>
      </c>
      <c r="C124" t="s">
        <v>211</v>
      </c>
      <c r="D124" t="s">
        <v>335</v>
      </c>
      <c r="E124" s="95">
        <v>200</v>
      </c>
      <c r="F124" s="95">
        <v>0</v>
      </c>
      <c r="H124" s="95">
        <v>0</v>
      </c>
      <c r="I124" s="95">
        <v>0</v>
      </c>
      <c r="J124"/>
    </row>
    <row r="125" spans="1:10" hidden="1" x14ac:dyDescent="0.25">
      <c r="A125">
        <v>16</v>
      </c>
      <c r="B125" s="94">
        <v>44949</v>
      </c>
      <c r="C125" t="s">
        <v>211</v>
      </c>
      <c r="D125" t="s">
        <v>329</v>
      </c>
      <c r="E125" s="95">
        <v>270</v>
      </c>
      <c r="F125" s="95">
        <v>0</v>
      </c>
      <c r="H125" s="95">
        <v>0</v>
      </c>
      <c r="I125" s="95">
        <v>0</v>
      </c>
      <c r="J125"/>
    </row>
    <row r="126" spans="1:10" hidden="1" x14ac:dyDescent="0.25">
      <c r="A126">
        <v>36</v>
      </c>
      <c r="B126" s="94">
        <v>44937</v>
      </c>
      <c r="C126" t="s">
        <v>211</v>
      </c>
      <c r="D126" t="s">
        <v>334</v>
      </c>
      <c r="E126" s="95">
        <v>360</v>
      </c>
      <c r="F126" s="95">
        <v>0</v>
      </c>
      <c r="H126" s="95">
        <v>0</v>
      </c>
      <c r="I126" s="95">
        <v>0</v>
      </c>
      <c r="J126"/>
    </row>
    <row r="127" spans="1:10" hidden="1" x14ac:dyDescent="0.25">
      <c r="A127">
        <v>59</v>
      </c>
      <c r="B127" s="94">
        <v>44929</v>
      </c>
      <c r="C127" t="s">
        <v>211</v>
      </c>
      <c r="D127" t="s">
        <v>331</v>
      </c>
      <c r="E127" s="95">
        <v>371.77</v>
      </c>
      <c r="F127" s="95">
        <v>0</v>
      </c>
      <c r="H127" s="95">
        <v>0</v>
      </c>
      <c r="I127" s="95">
        <v>0</v>
      </c>
      <c r="J127"/>
    </row>
    <row r="128" spans="1:10" hidden="1" x14ac:dyDescent="0.25">
      <c r="A128">
        <v>8</v>
      </c>
      <c r="B128" s="94">
        <v>44952</v>
      </c>
      <c r="C128" t="s">
        <v>211</v>
      </c>
      <c r="D128" t="s">
        <v>336</v>
      </c>
      <c r="E128" s="95">
        <v>420</v>
      </c>
      <c r="F128" s="95">
        <v>0</v>
      </c>
      <c r="H128" s="95">
        <v>0</v>
      </c>
      <c r="I128" s="95">
        <v>0</v>
      </c>
      <c r="J128"/>
    </row>
    <row r="129" spans="1:10" hidden="1" x14ac:dyDescent="0.25">
      <c r="A129">
        <v>1</v>
      </c>
      <c r="B129" s="94">
        <v>44957</v>
      </c>
      <c r="C129" t="s">
        <v>215</v>
      </c>
      <c r="E129" s="95">
        <v>437.54</v>
      </c>
      <c r="F129" s="95">
        <v>0</v>
      </c>
      <c r="H129" s="95">
        <v>0</v>
      </c>
      <c r="I129" s="95">
        <v>0</v>
      </c>
      <c r="J129"/>
    </row>
    <row r="130" spans="1:10" hidden="1" x14ac:dyDescent="0.25">
      <c r="A130">
        <v>9</v>
      </c>
      <c r="B130" s="94">
        <v>44952</v>
      </c>
      <c r="C130" t="s">
        <v>211</v>
      </c>
      <c r="D130" t="s">
        <v>336</v>
      </c>
      <c r="E130" s="95">
        <v>440</v>
      </c>
      <c r="F130" s="95">
        <v>0</v>
      </c>
      <c r="H130" s="95">
        <v>0</v>
      </c>
      <c r="I130" s="95">
        <v>0</v>
      </c>
      <c r="J130"/>
    </row>
    <row r="131" spans="1:10" hidden="1" x14ac:dyDescent="0.25">
      <c r="A131">
        <v>21</v>
      </c>
      <c r="B131" s="94">
        <v>44944</v>
      </c>
      <c r="C131" t="s">
        <v>211</v>
      </c>
      <c r="D131" t="s">
        <v>268</v>
      </c>
      <c r="E131" s="95">
        <v>600</v>
      </c>
      <c r="F131" s="95">
        <v>0</v>
      </c>
      <c r="H131" s="95">
        <v>0</v>
      </c>
      <c r="I131" s="95">
        <v>0</v>
      </c>
      <c r="J131"/>
    </row>
    <row r="132" spans="1:10" hidden="1" x14ac:dyDescent="0.25">
      <c r="A132">
        <v>28</v>
      </c>
      <c r="B132" s="94">
        <v>44942</v>
      </c>
      <c r="C132" t="s">
        <v>211</v>
      </c>
      <c r="D132" t="s">
        <v>352</v>
      </c>
      <c r="E132" s="95">
        <v>600</v>
      </c>
      <c r="F132" s="95">
        <v>0</v>
      </c>
      <c r="H132" s="95">
        <v>0</v>
      </c>
      <c r="I132" s="95">
        <v>0</v>
      </c>
      <c r="J132"/>
    </row>
    <row r="133" spans="1:10" hidden="1" x14ac:dyDescent="0.25">
      <c r="A133">
        <v>20</v>
      </c>
      <c r="B133" s="94">
        <v>44945</v>
      </c>
      <c r="C133" t="s">
        <v>211</v>
      </c>
      <c r="D133" t="s">
        <v>219</v>
      </c>
      <c r="E133" s="95">
        <v>623.32000000000005</v>
      </c>
      <c r="F133" s="95">
        <v>0</v>
      </c>
      <c r="H133" s="95">
        <v>0</v>
      </c>
      <c r="I133" s="95">
        <v>0</v>
      </c>
      <c r="J133"/>
    </row>
    <row r="134" spans="1:10" hidden="1" x14ac:dyDescent="0.25">
      <c r="A134">
        <v>41</v>
      </c>
      <c r="B134" s="94">
        <v>44936</v>
      </c>
      <c r="C134" t="s">
        <v>211</v>
      </c>
      <c r="D134" t="s">
        <v>337</v>
      </c>
      <c r="E134" s="95">
        <v>670</v>
      </c>
      <c r="F134" s="95">
        <v>0</v>
      </c>
      <c r="H134" s="95">
        <v>0</v>
      </c>
      <c r="I134" s="95">
        <v>0</v>
      </c>
      <c r="J134"/>
    </row>
    <row r="135" spans="1:10" hidden="1" x14ac:dyDescent="0.25">
      <c r="A135">
        <v>50</v>
      </c>
      <c r="B135" s="94">
        <v>44932</v>
      </c>
      <c r="C135" t="s">
        <v>211</v>
      </c>
      <c r="D135" t="s">
        <v>341</v>
      </c>
      <c r="E135" s="95">
        <v>718.16</v>
      </c>
      <c r="F135" s="95">
        <v>0</v>
      </c>
      <c r="H135" s="95">
        <v>0</v>
      </c>
      <c r="I135" s="95">
        <v>0</v>
      </c>
      <c r="J135"/>
    </row>
    <row r="136" spans="1:10" hidden="1" x14ac:dyDescent="0.25">
      <c r="A136">
        <v>10</v>
      </c>
      <c r="B136" s="94">
        <v>44952</v>
      </c>
      <c r="C136" t="s">
        <v>211</v>
      </c>
      <c r="D136" t="s">
        <v>330</v>
      </c>
      <c r="E136" s="95">
        <v>750</v>
      </c>
      <c r="F136" s="95">
        <v>0</v>
      </c>
      <c r="H136" s="95">
        <v>0</v>
      </c>
      <c r="I136" s="95">
        <v>0</v>
      </c>
      <c r="J136"/>
    </row>
    <row r="137" spans="1:10" hidden="1" x14ac:dyDescent="0.25">
      <c r="A137">
        <v>47</v>
      </c>
      <c r="B137" s="94">
        <v>44935</v>
      </c>
      <c r="C137" t="s">
        <v>211</v>
      </c>
      <c r="D137" t="s">
        <v>340</v>
      </c>
      <c r="E137" s="95">
        <v>760</v>
      </c>
      <c r="F137" s="95">
        <v>0</v>
      </c>
      <c r="H137" s="95">
        <v>0</v>
      </c>
      <c r="I137" s="95">
        <v>0</v>
      </c>
      <c r="J137"/>
    </row>
    <row r="138" spans="1:10" hidden="1" x14ac:dyDescent="0.25">
      <c r="A138">
        <v>33</v>
      </c>
      <c r="B138" s="94">
        <v>44939</v>
      </c>
      <c r="C138" t="s">
        <v>211</v>
      </c>
      <c r="D138" t="s">
        <v>332</v>
      </c>
      <c r="E138" s="95">
        <v>890</v>
      </c>
      <c r="F138" s="95">
        <v>0</v>
      </c>
      <c r="H138" s="95">
        <v>0</v>
      </c>
      <c r="I138" s="95">
        <v>0</v>
      </c>
      <c r="J138"/>
    </row>
    <row r="139" spans="1:10" hidden="1" x14ac:dyDescent="0.25">
      <c r="A139">
        <v>2</v>
      </c>
      <c r="B139" s="94">
        <v>44956</v>
      </c>
      <c r="C139" t="s">
        <v>211</v>
      </c>
      <c r="D139" t="s">
        <v>330</v>
      </c>
      <c r="E139" s="95">
        <v>1000</v>
      </c>
      <c r="F139" s="95">
        <v>0</v>
      </c>
      <c r="H139" s="95">
        <v>0</v>
      </c>
      <c r="I139" s="95">
        <v>0</v>
      </c>
      <c r="J139"/>
    </row>
    <row r="140" spans="1:10" hidden="1" x14ac:dyDescent="0.25">
      <c r="A140">
        <v>14</v>
      </c>
      <c r="B140" s="94">
        <v>44950</v>
      </c>
      <c r="C140" t="s">
        <v>211</v>
      </c>
      <c r="D140" t="s">
        <v>351</v>
      </c>
      <c r="E140" s="95">
        <v>1000</v>
      </c>
      <c r="F140" s="95">
        <v>0</v>
      </c>
      <c r="H140" s="95">
        <v>0</v>
      </c>
      <c r="I140" s="95">
        <v>0</v>
      </c>
      <c r="J140"/>
    </row>
    <row r="141" spans="1:10" hidden="1" x14ac:dyDescent="0.25">
      <c r="A141">
        <v>18</v>
      </c>
      <c r="B141" s="94">
        <v>44949</v>
      </c>
      <c r="C141" t="s">
        <v>211</v>
      </c>
      <c r="D141" t="s">
        <v>329</v>
      </c>
      <c r="E141" s="95">
        <v>1029</v>
      </c>
      <c r="F141" s="95">
        <v>0</v>
      </c>
      <c r="H141" s="95">
        <v>0</v>
      </c>
      <c r="I141" s="95">
        <v>0</v>
      </c>
      <c r="J141"/>
    </row>
    <row r="142" spans="1:10" hidden="1" x14ac:dyDescent="0.25">
      <c r="A142">
        <v>6</v>
      </c>
      <c r="B142" s="94">
        <v>44953</v>
      </c>
      <c r="C142" t="s">
        <v>211</v>
      </c>
      <c r="D142" t="s">
        <v>330</v>
      </c>
      <c r="E142" s="95">
        <v>1040</v>
      </c>
      <c r="F142" s="95">
        <v>0</v>
      </c>
      <c r="H142" s="95">
        <v>0</v>
      </c>
      <c r="I142" s="95">
        <v>0</v>
      </c>
      <c r="J142"/>
    </row>
    <row r="143" spans="1:10" hidden="1" x14ac:dyDescent="0.25">
      <c r="A143">
        <v>27</v>
      </c>
      <c r="B143" s="94">
        <v>44942</v>
      </c>
      <c r="C143" t="s">
        <v>211</v>
      </c>
      <c r="D143" t="s">
        <v>330</v>
      </c>
      <c r="E143" s="95">
        <v>1120</v>
      </c>
      <c r="F143" s="95">
        <v>0</v>
      </c>
      <c r="H143" s="95">
        <v>0</v>
      </c>
      <c r="I143" s="95">
        <v>0</v>
      </c>
      <c r="J143"/>
    </row>
    <row r="144" spans="1:10" hidden="1" x14ac:dyDescent="0.25">
      <c r="A144">
        <v>13</v>
      </c>
      <c r="B144" s="94">
        <v>44951</v>
      </c>
      <c r="C144" t="s">
        <v>211</v>
      </c>
      <c r="D144" t="s">
        <v>347</v>
      </c>
      <c r="E144" s="95">
        <v>1150</v>
      </c>
      <c r="F144" s="95">
        <v>0</v>
      </c>
      <c r="H144" s="95">
        <v>0</v>
      </c>
      <c r="I144" s="95">
        <v>0</v>
      </c>
      <c r="J144"/>
    </row>
    <row r="145" spans="1:10" hidden="1" x14ac:dyDescent="0.25">
      <c r="A145">
        <v>19</v>
      </c>
      <c r="B145" s="94">
        <v>44945</v>
      </c>
      <c r="C145" t="s">
        <v>211</v>
      </c>
      <c r="D145" t="s">
        <v>354</v>
      </c>
      <c r="E145" s="95">
        <v>1180</v>
      </c>
      <c r="F145" s="95">
        <v>0</v>
      </c>
      <c r="H145" s="95">
        <v>0</v>
      </c>
      <c r="I145" s="95">
        <v>0</v>
      </c>
      <c r="J145"/>
    </row>
    <row r="146" spans="1:10" hidden="1" x14ac:dyDescent="0.25">
      <c r="A146">
        <v>39</v>
      </c>
      <c r="B146" s="94">
        <v>44936</v>
      </c>
      <c r="C146" t="s">
        <v>211</v>
      </c>
      <c r="D146" t="s">
        <v>329</v>
      </c>
      <c r="E146" s="95">
        <v>1332</v>
      </c>
      <c r="F146" s="95">
        <v>0</v>
      </c>
      <c r="H146" s="95">
        <v>0</v>
      </c>
      <c r="I146" s="95">
        <v>0</v>
      </c>
      <c r="J146"/>
    </row>
    <row r="147" spans="1:10" hidden="1" x14ac:dyDescent="0.25">
      <c r="A147">
        <v>32</v>
      </c>
      <c r="B147" s="94">
        <v>44939</v>
      </c>
      <c r="C147" t="s">
        <v>211</v>
      </c>
      <c r="D147" t="s">
        <v>329</v>
      </c>
      <c r="E147" s="95">
        <v>1333</v>
      </c>
      <c r="F147" s="95">
        <v>0</v>
      </c>
      <c r="H147" s="95">
        <v>0</v>
      </c>
      <c r="I147" s="95">
        <v>0</v>
      </c>
      <c r="J147"/>
    </row>
    <row r="148" spans="1:10" hidden="1" x14ac:dyDescent="0.25">
      <c r="A148">
        <v>63</v>
      </c>
      <c r="B148" s="94">
        <v>44928</v>
      </c>
      <c r="C148" t="s">
        <v>211</v>
      </c>
      <c r="D148" t="s">
        <v>350</v>
      </c>
      <c r="E148" s="95">
        <v>1360.92</v>
      </c>
      <c r="F148" s="95">
        <v>0</v>
      </c>
      <c r="H148" s="95">
        <v>0</v>
      </c>
      <c r="I148" s="95">
        <v>0</v>
      </c>
      <c r="J148"/>
    </row>
    <row r="149" spans="1:10" hidden="1" x14ac:dyDescent="0.25">
      <c r="A149">
        <v>48</v>
      </c>
      <c r="B149" s="94">
        <v>44935</v>
      </c>
      <c r="C149" t="s">
        <v>211</v>
      </c>
      <c r="D149" t="s">
        <v>329</v>
      </c>
      <c r="E149" s="95">
        <v>1380</v>
      </c>
      <c r="F149" s="95">
        <v>0</v>
      </c>
      <c r="H149" s="95">
        <v>0</v>
      </c>
      <c r="I149" s="95">
        <v>0</v>
      </c>
      <c r="J149"/>
    </row>
    <row r="150" spans="1:10" hidden="1" x14ac:dyDescent="0.25">
      <c r="A150">
        <v>35</v>
      </c>
      <c r="B150" s="94">
        <v>44937</v>
      </c>
      <c r="C150" t="s">
        <v>211</v>
      </c>
      <c r="D150" t="s">
        <v>330</v>
      </c>
      <c r="E150" s="95">
        <v>1440</v>
      </c>
      <c r="F150" s="95">
        <v>0</v>
      </c>
      <c r="H150" s="95">
        <v>0</v>
      </c>
      <c r="I150" s="95">
        <v>0</v>
      </c>
      <c r="J150"/>
    </row>
    <row r="151" spans="1:10" hidden="1" x14ac:dyDescent="0.25">
      <c r="A151">
        <v>44</v>
      </c>
      <c r="B151" s="94">
        <v>44935</v>
      </c>
      <c r="C151" t="s">
        <v>211</v>
      </c>
      <c r="D151" t="s">
        <v>338</v>
      </c>
      <c r="E151" s="95">
        <v>1700</v>
      </c>
      <c r="F151" s="95">
        <v>0</v>
      </c>
      <c r="H151" s="95">
        <v>0</v>
      </c>
      <c r="I151" s="95">
        <v>0</v>
      </c>
      <c r="J151"/>
    </row>
    <row r="152" spans="1:10" hidden="1" x14ac:dyDescent="0.25">
      <c r="A152">
        <v>11</v>
      </c>
      <c r="B152" s="94">
        <v>44952</v>
      </c>
      <c r="C152" t="s">
        <v>211</v>
      </c>
      <c r="D152" t="s">
        <v>329</v>
      </c>
      <c r="E152" s="95">
        <v>1720</v>
      </c>
      <c r="F152" s="95">
        <v>0</v>
      </c>
      <c r="H152" s="95">
        <v>0</v>
      </c>
      <c r="I152" s="95">
        <v>0</v>
      </c>
      <c r="J152"/>
    </row>
    <row r="153" spans="1:10" hidden="1" x14ac:dyDescent="0.25">
      <c r="A153">
        <v>31</v>
      </c>
      <c r="B153" s="94">
        <v>44939</v>
      </c>
      <c r="C153" t="s">
        <v>211</v>
      </c>
      <c r="D153" t="s">
        <v>330</v>
      </c>
      <c r="E153" s="95">
        <v>1780</v>
      </c>
      <c r="F153" s="95">
        <v>0</v>
      </c>
      <c r="H153" s="95">
        <v>0</v>
      </c>
      <c r="I153" s="95">
        <v>0</v>
      </c>
      <c r="J153"/>
    </row>
    <row r="154" spans="1:10" hidden="1" x14ac:dyDescent="0.25">
      <c r="A154">
        <v>29</v>
      </c>
      <c r="B154" s="94">
        <v>44942</v>
      </c>
      <c r="C154" t="s">
        <v>211</v>
      </c>
      <c r="D154" t="s">
        <v>346</v>
      </c>
      <c r="E154" s="95">
        <v>1790</v>
      </c>
      <c r="F154" s="95">
        <v>0</v>
      </c>
      <c r="H154" s="95">
        <v>0</v>
      </c>
      <c r="I154" s="95">
        <v>0</v>
      </c>
      <c r="J154"/>
    </row>
    <row r="155" spans="1:10" hidden="1" x14ac:dyDescent="0.25">
      <c r="A155">
        <v>22</v>
      </c>
      <c r="B155" s="94">
        <v>44944</v>
      </c>
      <c r="C155" t="s">
        <v>211</v>
      </c>
      <c r="D155" t="s">
        <v>278</v>
      </c>
      <c r="E155" s="95">
        <v>1828.25</v>
      </c>
      <c r="F155" s="95">
        <v>0</v>
      </c>
      <c r="H155" s="95">
        <v>0</v>
      </c>
      <c r="I155" s="95">
        <v>0</v>
      </c>
      <c r="J155"/>
    </row>
    <row r="156" spans="1:10" hidden="1" x14ac:dyDescent="0.25">
      <c r="A156">
        <v>54</v>
      </c>
      <c r="B156" s="94">
        <v>44930</v>
      </c>
      <c r="C156" t="s">
        <v>211</v>
      </c>
      <c r="D156" t="s">
        <v>344</v>
      </c>
      <c r="E156" s="95">
        <v>1850</v>
      </c>
      <c r="F156" s="95">
        <v>0</v>
      </c>
      <c r="H156" s="95">
        <v>0</v>
      </c>
      <c r="I156" s="95">
        <v>0</v>
      </c>
      <c r="J156"/>
    </row>
    <row r="157" spans="1:10" hidden="1" x14ac:dyDescent="0.25">
      <c r="A157">
        <v>34</v>
      </c>
      <c r="B157" s="94">
        <v>44938</v>
      </c>
      <c r="C157" t="s">
        <v>211</v>
      </c>
      <c r="D157" t="s">
        <v>333</v>
      </c>
      <c r="E157" s="95">
        <v>1930</v>
      </c>
      <c r="F157" s="95">
        <v>0</v>
      </c>
      <c r="H157" s="95">
        <v>0</v>
      </c>
      <c r="I157" s="95">
        <v>0</v>
      </c>
      <c r="J157"/>
    </row>
    <row r="158" spans="1:10" hidden="1" x14ac:dyDescent="0.25">
      <c r="A158">
        <v>52</v>
      </c>
      <c r="B158" s="94">
        <v>44931</v>
      </c>
      <c r="C158" t="s">
        <v>211</v>
      </c>
      <c r="D158" t="s">
        <v>343</v>
      </c>
      <c r="E158" s="95">
        <v>2000</v>
      </c>
      <c r="F158" s="95">
        <v>0</v>
      </c>
      <c r="H158" s="95">
        <v>0</v>
      </c>
      <c r="I158" s="95">
        <v>0</v>
      </c>
      <c r="J158"/>
    </row>
    <row r="159" spans="1:10" hidden="1" x14ac:dyDescent="0.25">
      <c r="A159">
        <v>0</v>
      </c>
      <c r="B159" s="94">
        <v>44957</v>
      </c>
      <c r="C159" t="s">
        <v>214</v>
      </c>
      <c r="E159" s="95">
        <v>2083.5300000000002</v>
      </c>
      <c r="F159" s="95">
        <v>0</v>
      </c>
      <c r="H159" s="95">
        <v>0</v>
      </c>
      <c r="I159" s="95">
        <v>0</v>
      </c>
      <c r="J159"/>
    </row>
    <row r="160" spans="1:10" hidden="1" x14ac:dyDescent="0.25">
      <c r="A160">
        <v>17</v>
      </c>
      <c r="B160" s="94">
        <v>44949</v>
      </c>
      <c r="C160" t="s">
        <v>211</v>
      </c>
      <c r="D160" t="s">
        <v>353</v>
      </c>
      <c r="E160" s="95">
        <v>2200</v>
      </c>
      <c r="F160" s="95">
        <v>0</v>
      </c>
      <c r="H160" s="95">
        <v>0</v>
      </c>
      <c r="I160" s="95">
        <v>0</v>
      </c>
      <c r="J160"/>
    </row>
    <row r="161" spans="1:10" hidden="1" x14ac:dyDescent="0.25">
      <c r="A161">
        <v>40</v>
      </c>
      <c r="B161" s="94">
        <v>44936</v>
      </c>
      <c r="C161" t="s">
        <v>211</v>
      </c>
      <c r="D161" t="s">
        <v>336</v>
      </c>
      <c r="E161" s="95">
        <v>2580</v>
      </c>
      <c r="F161" s="95">
        <v>0</v>
      </c>
      <c r="H161" s="95">
        <v>0</v>
      </c>
      <c r="I161" s="95">
        <v>0</v>
      </c>
      <c r="J161"/>
    </row>
    <row r="162" spans="1:10" hidden="1" x14ac:dyDescent="0.25">
      <c r="A162">
        <v>12</v>
      </c>
      <c r="B162" s="94">
        <v>44952</v>
      </c>
      <c r="C162" t="s">
        <v>217</v>
      </c>
      <c r="D162" t="s">
        <v>362</v>
      </c>
      <c r="E162" s="95">
        <v>3000</v>
      </c>
      <c r="F162" s="95">
        <v>0</v>
      </c>
      <c r="H162" s="95">
        <v>0</v>
      </c>
      <c r="I162" s="95">
        <v>0</v>
      </c>
      <c r="J162"/>
    </row>
    <row r="163" spans="1:10" hidden="1" x14ac:dyDescent="0.25">
      <c r="A163">
        <v>3</v>
      </c>
      <c r="B163" s="94">
        <v>44956</v>
      </c>
      <c r="C163" t="s">
        <v>211</v>
      </c>
      <c r="D163" t="s">
        <v>348</v>
      </c>
      <c r="E163" s="95">
        <v>3110</v>
      </c>
      <c r="F163" s="95">
        <v>0</v>
      </c>
      <c r="H163" s="95">
        <v>0</v>
      </c>
      <c r="I163" s="95">
        <v>0</v>
      </c>
      <c r="J163"/>
    </row>
    <row r="164" spans="1:10" hidden="1" x14ac:dyDescent="0.25">
      <c r="A164">
        <v>5</v>
      </c>
      <c r="B164" s="94">
        <v>44953</v>
      </c>
      <c r="C164" t="s">
        <v>211</v>
      </c>
      <c r="D164" t="s">
        <v>349</v>
      </c>
      <c r="E164" s="95">
        <v>3160</v>
      </c>
      <c r="F164" s="95">
        <v>0</v>
      </c>
      <c r="H164" s="95">
        <v>0</v>
      </c>
      <c r="I164" s="95">
        <v>0</v>
      </c>
      <c r="J164"/>
    </row>
    <row r="165" spans="1:10" hidden="1" x14ac:dyDescent="0.25">
      <c r="A165">
        <v>45</v>
      </c>
      <c r="B165" s="94">
        <v>44935</v>
      </c>
      <c r="C165" t="s">
        <v>211</v>
      </c>
      <c r="D165" t="s">
        <v>339</v>
      </c>
      <c r="E165" s="95">
        <v>3990</v>
      </c>
      <c r="F165" s="95">
        <v>0</v>
      </c>
      <c r="H165" s="95">
        <v>0</v>
      </c>
      <c r="I165" s="95">
        <v>0</v>
      </c>
      <c r="J165"/>
    </row>
    <row r="166" spans="1:10" hidden="1" x14ac:dyDescent="0.25">
      <c r="A166">
        <v>24</v>
      </c>
      <c r="B166" s="94">
        <v>44943</v>
      </c>
      <c r="C166" t="s">
        <v>211</v>
      </c>
      <c r="D166" t="s">
        <v>355</v>
      </c>
      <c r="E166" s="95">
        <v>4200</v>
      </c>
      <c r="F166" s="95">
        <v>0</v>
      </c>
      <c r="H166" s="95">
        <v>0</v>
      </c>
      <c r="I166" s="95">
        <v>0</v>
      </c>
      <c r="J166"/>
    </row>
    <row r="167" spans="1:10" hidden="1" x14ac:dyDescent="0.25">
      <c r="A167">
        <v>55</v>
      </c>
      <c r="B167" s="94">
        <v>44930</v>
      </c>
      <c r="C167" t="s">
        <v>211</v>
      </c>
      <c r="D167" t="s">
        <v>345</v>
      </c>
      <c r="E167" s="95">
        <v>5738.14</v>
      </c>
      <c r="F167" s="95">
        <v>0</v>
      </c>
      <c r="H167" s="95">
        <v>0</v>
      </c>
      <c r="I167" s="95">
        <v>0</v>
      </c>
      <c r="J167"/>
    </row>
    <row r="168" spans="1:10" hidden="1" x14ac:dyDescent="0.25">
      <c r="A168">
        <v>30</v>
      </c>
      <c r="B168" s="94">
        <v>44942</v>
      </c>
      <c r="C168" t="s">
        <v>211</v>
      </c>
      <c r="D168" t="s">
        <v>329</v>
      </c>
      <c r="E168" s="95">
        <v>5839</v>
      </c>
      <c r="F168" s="95">
        <v>0</v>
      </c>
      <c r="H168" s="95">
        <v>0</v>
      </c>
      <c r="I168" s="95">
        <v>0</v>
      </c>
      <c r="J168"/>
    </row>
    <row r="169" spans="1:10" hidden="1" x14ac:dyDescent="0.25">
      <c r="A169">
        <v>7</v>
      </c>
      <c r="B169" s="94">
        <v>44953</v>
      </c>
      <c r="C169" t="s">
        <v>217</v>
      </c>
      <c r="D169" t="s">
        <v>363</v>
      </c>
      <c r="E169" s="95">
        <v>6000</v>
      </c>
      <c r="F169" s="95">
        <v>0</v>
      </c>
      <c r="H169" s="95">
        <v>0</v>
      </c>
      <c r="I169" s="95">
        <v>0</v>
      </c>
      <c r="J169"/>
    </row>
    <row r="170" spans="1:10" hidden="1" x14ac:dyDescent="0.25">
      <c r="A170">
        <v>42</v>
      </c>
      <c r="B170" s="94">
        <v>44936</v>
      </c>
      <c r="C170" t="s">
        <v>217</v>
      </c>
      <c r="D170" t="s">
        <v>363</v>
      </c>
      <c r="E170" s="95">
        <v>6000</v>
      </c>
      <c r="F170" s="95">
        <v>0</v>
      </c>
      <c r="H170" s="95">
        <v>0</v>
      </c>
      <c r="I170" s="95">
        <v>0</v>
      </c>
      <c r="J170"/>
    </row>
    <row r="171" spans="1:10" hidden="1" x14ac:dyDescent="0.25">
      <c r="A171">
        <v>60</v>
      </c>
      <c r="B171" s="94">
        <v>44929</v>
      </c>
      <c r="C171" t="s">
        <v>211</v>
      </c>
      <c r="D171" t="s">
        <v>345</v>
      </c>
      <c r="E171" s="95">
        <v>6267.17</v>
      </c>
      <c r="F171" s="95">
        <v>0</v>
      </c>
      <c r="H171" s="95">
        <v>0</v>
      </c>
      <c r="I171" s="95">
        <v>0</v>
      </c>
      <c r="J171"/>
    </row>
    <row r="172" spans="1:10" hidden="1" x14ac:dyDescent="0.25">
      <c r="A172">
        <v>57</v>
      </c>
      <c r="B172" s="94">
        <v>44929</v>
      </c>
      <c r="C172" t="s">
        <v>327</v>
      </c>
      <c r="D172" t="s">
        <v>328</v>
      </c>
      <c r="E172" s="95">
        <v>15007</v>
      </c>
      <c r="F172" s="95">
        <v>0</v>
      </c>
      <c r="H172" s="95">
        <v>0</v>
      </c>
      <c r="I172" s="95">
        <v>0</v>
      </c>
      <c r="J172"/>
    </row>
    <row r="173" spans="1:10" hidden="1" x14ac:dyDescent="0.25">
      <c r="A173">
        <v>58</v>
      </c>
      <c r="B173" s="94">
        <v>44929</v>
      </c>
      <c r="C173" t="s">
        <v>211</v>
      </c>
      <c r="D173" t="s">
        <v>219</v>
      </c>
      <c r="E173" s="95">
        <v>15428.1</v>
      </c>
      <c r="F173" s="95">
        <v>0</v>
      </c>
      <c r="H173" s="95">
        <v>0</v>
      </c>
      <c r="I173" s="95">
        <v>0</v>
      </c>
      <c r="J173"/>
    </row>
    <row r="174" spans="1:10" hidden="1" x14ac:dyDescent="0.25">
      <c r="A174">
        <v>46</v>
      </c>
      <c r="B174" s="94">
        <v>44935</v>
      </c>
      <c r="C174" t="s">
        <v>211</v>
      </c>
      <c r="D174" t="s">
        <v>339</v>
      </c>
      <c r="E174" s="95">
        <v>20500</v>
      </c>
      <c r="F174" s="95">
        <v>0</v>
      </c>
      <c r="H174" s="95">
        <v>0</v>
      </c>
      <c r="I174" s="95">
        <v>0</v>
      </c>
      <c r="J174"/>
    </row>
    <row r="175" spans="1:10" hidden="1" x14ac:dyDescent="0.25">
      <c r="A175">
        <v>25</v>
      </c>
      <c r="B175" s="94">
        <v>44943</v>
      </c>
      <c r="C175" t="s">
        <v>211</v>
      </c>
      <c r="D175" t="s">
        <v>286</v>
      </c>
      <c r="E175" s="95">
        <v>42877.3</v>
      </c>
      <c r="F175" s="95">
        <v>0</v>
      </c>
      <c r="H175" s="95">
        <v>0</v>
      </c>
      <c r="I175" s="95">
        <v>0</v>
      </c>
      <c r="J175"/>
    </row>
    <row r="176" spans="1:10" hidden="1" x14ac:dyDescent="0.25">
      <c r="A176">
        <v>62</v>
      </c>
      <c r="B176" s="94">
        <v>44928</v>
      </c>
      <c r="C176" t="s">
        <v>224</v>
      </c>
      <c r="D176" t="s">
        <v>225</v>
      </c>
      <c r="E176" s="95">
        <v>0</v>
      </c>
      <c r="F176" s="95">
        <v>70193.279999999999</v>
      </c>
      <c r="H176" s="95">
        <v>0</v>
      </c>
      <c r="I176" s="95">
        <v>0</v>
      </c>
      <c r="J176"/>
    </row>
    <row r="177" spans="1:10" hidden="1" x14ac:dyDescent="0.25">
      <c r="A177">
        <v>56</v>
      </c>
      <c r="B177" s="94">
        <v>44930</v>
      </c>
      <c r="C177" t="s">
        <v>222</v>
      </c>
      <c r="D177" t="s">
        <v>223</v>
      </c>
      <c r="E177" s="95">
        <v>0</v>
      </c>
      <c r="F177" s="95">
        <v>119932.09</v>
      </c>
      <c r="H177" s="95">
        <v>0</v>
      </c>
      <c r="I177" s="95">
        <v>0</v>
      </c>
      <c r="J177"/>
    </row>
    <row r="178" spans="1:10" hidden="1" x14ac:dyDescent="0.25">
      <c r="A178">
        <v>23</v>
      </c>
      <c r="B178" s="94">
        <v>44944</v>
      </c>
      <c r="C178" t="s">
        <v>229</v>
      </c>
      <c r="D178" t="s">
        <v>230</v>
      </c>
      <c r="E178" s="95">
        <v>0</v>
      </c>
      <c r="F178" s="95">
        <v>0</v>
      </c>
      <c r="H178" s="95">
        <v>0</v>
      </c>
      <c r="I178" s="95">
        <v>10000</v>
      </c>
      <c r="J178"/>
    </row>
    <row r="179" spans="1:10" hidden="1" x14ac:dyDescent="0.25">
      <c r="A179" s="99"/>
      <c r="B179" s="98">
        <v>44930</v>
      </c>
      <c r="C179" s="99" t="s">
        <v>280</v>
      </c>
      <c r="D179" s="99"/>
      <c r="E179" s="95">
        <v>0</v>
      </c>
      <c r="F179" s="95">
        <v>0</v>
      </c>
      <c r="G179" s="96">
        <v>14022</v>
      </c>
      <c r="H179" s="95">
        <v>0</v>
      </c>
      <c r="I179" s="95">
        <v>0</v>
      </c>
      <c r="J179"/>
    </row>
    <row r="180" spans="1:10" hidden="1" x14ac:dyDescent="0.25">
      <c r="A180" s="99"/>
      <c r="B180" s="98">
        <v>44930</v>
      </c>
      <c r="C180" s="99" t="s">
        <v>253</v>
      </c>
      <c r="D180" s="99"/>
      <c r="E180" s="95">
        <v>0</v>
      </c>
      <c r="F180" s="95">
        <v>-14022</v>
      </c>
      <c r="H180" s="95">
        <v>0</v>
      </c>
      <c r="I180" s="95">
        <v>0</v>
      </c>
      <c r="J180"/>
    </row>
    <row r="181" spans="1:10" hidden="1" x14ac:dyDescent="0.25">
      <c r="A181">
        <v>44</v>
      </c>
      <c r="B181" s="94">
        <v>44967</v>
      </c>
      <c r="C181" t="s">
        <v>211</v>
      </c>
      <c r="D181" t="s">
        <v>213</v>
      </c>
      <c r="E181" s="95">
        <v>14.7</v>
      </c>
      <c r="F181" s="95">
        <v>0</v>
      </c>
      <c r="H181" s="95">
        <v>0</v>
      </c>
      <c r="I181" s="95">
        <v>0</v>
      </c>
      <c r="J181"/>
    </row>
    <row r="182" spans="1:10" hidden="1" x14ac:dyDescent="0.25">
      <c r="A182">
        <v>27</v>
      </c>
      <c r="B182" s="94">
        <v>44972</v>
      </c>
      <c r="C182" t="s">
        <v>211</v>
      </c>
      <c r="D182" t="s">
        <v>328</v>
      </c>
      <c r="E182" s="95">
        <v>217.99</v>
      </c>
      <c r="F182" s="95">
        <v>0</v>
      </c>
      <c r="H182" s="95">
        <v>0</v>
      </c>
      <c r="I182" s="95">
        <v>0</v>
      </c>
      <c r="J182"/>
    </row>
    <row r="183" spans="1:10" hidden="1" x14ac:dyDescent="0.25">
      <c r="A183">
        <v>28</v>
      </c>
      <c r="B183" s="94">
        <v>44972</v>
      </c>
      <c r="C183" t="s">
        <v>211</v>
      </c>
      <c r="D183" t="s">
        <v>328</v>
      </c>
      <c r="E183" s="95">
        <v>217.99</v>
      </c>
      <c r="F183" s="95">
        <v>0</v>
      </c>
      <c r="H183" s="95">
        <v>0</v>
      </c>
      <c r="I183" s="95">
        <v>0</v>
      </c>
      <c r="J183"/>
    </row>
    <row r="184" spans="1:10" hidden="1" x14ac:dyDescent="0.25">
      <c r="A184">
        <v>38</v>
      </c>
      <c r="B184" s="94">
        <v>44970</v>
      </c>
      <c r="C184" t="s">
        <v>211</v>
      </c>
      <c r="D184" t="s">
        <v>368</v>
      </c>
      <c r="E184" s="95">
        <v>250</v>
      </c>
      <c r="F184" s="95">
        <v>0</v>
      </c>
      <c r="H184" s="95">
        <v>0</v>
      </c>
      <c r="I184" s="95">
        <v>0</v>
      </c>
      <c r="J184"/>
    </row>
    <row r="185" spans="1:10" hidden="1" x14ac:dyDescent="0.25">
      <c r="A185">
        <v>46</v>
      </c>
      <c r="B185" s="94">
        <v>44967</v>
      </c>
      <c r="C185" t="s">
        <v>211</v>
      </c>
      <c r="D185" t="s">
        <v>242</v>
      </c>
      <c r="E185" s="95">
        <v>250</v>
      </c>
      <c r="F185" s="95">
        <v>0</v>
      </c>
      <c r="H185" s="95">
        <v>0</v>
      </c>
      <c r="I185" s="95">
        <v>0</v>
      </c>
      <c r="J185"/>
    </row>
    <row r="186" spans="1:10" hidden="1" x14ac:dyDescent="0.25">
      <c r="A186">
        <v>20</v>
      </c>
      <c r="B186" s="94">
        <v>44979</v>
      </c>
      <c r="C186" t="s">
        <v>211</v>
      </c>
      <c r="D186" t="s">
        <v>269</v>
      </c>
      <c r="E186" s="95">
        <v>420</v>
      </c>
      <c r="F186" s="95">
        <v>0</v>
      </c>
      <c r="H186" s="95">
        <v>0</v>
      </c>
      <c r="I186" s="95">
        <v>0</v>
      </c>
      <c r="J186"/>
    </row>
    <row r="187" spans="1:10" hidden="1" x14ac:dyDescent="0.25">
      <c r="A187">
        <v>1</v>
      </c>
      <c r="B187" s="94">
        <v>44985</v>
      </c>
      <c r="C187" t="s">
        <v>215</v>
      </c>
      <c r="E187" s="95">
        <v>437.54</v>
      </c>
      <c r="F187" s="95">
        <v>0</v>
      </c>
      <c r="H187" s="95">
        <v>0</v>
      </c>
      <c r="I187" s="95">
        <v>0</v>
      </c>
      <c r="J187"/>
    </row>
    <row r="188" spans="1:10" hidden="1" x14ac:dyDescent="0.25">
      <c r="A188">
        <v>3</v>
      </c>
      <c r="B188" s="94">
        <v>44984</v>
      </c>
      <c r="C188" t="s">
        <v>211</v>
      </c>
      <c r="D188" t="s">
        <v>371</v>
      </c>
      <c r="E188" s="95">
        <v>461.55</v>
      </c>
      <c r="F188" s="95">
        <v>0</v>
      </c>
      <c r="H188" s="95">
        <v>0</v>
      </c>
      <c r="I188" s="95">
        <v>0</v>
      </c>
      <c r="J188"/>
    </row>
    <row r="189" spans="1:10" hidden="1" x14ac:dyDescent="0.25">
      <c r="A189">
        <v>55</v>
      </c>
      <c r="B189" s="94">
        <v>44963</v>
      </c>
      <c r="C189" t="s">
        <v>211</v>
      </c>
      <c r="D189" t="s">
        <v>246</v>
      </c>
      <c r="E189" s="95">
        <v>462.1</v>
      </c>
      <c r="F189" s="95">
        <v>0</v>
      </c>
      <c r="H189" s="95">
        <v>0</v>
      </c>
      <c r="I189" s="95">
        <v>0</v>
      </c>
      <c r="J189"/>
    </row>
    <row r="190" spans="1:10" hidden="1" x14ac:dyDescent="0.25">
      <c r="A190">
        <v>37</v>
      </c>
      <c r="B190" s="94">
        <v>44970</v>
      </c>
      <c r="C190" t="s">
        <v>211</v>
      </c>
      <c r="D190" t="s">
        <v>328</v>
      </c>
      <c r="E190" s="95">
        <v>536.30999999999995</v>
      </c>
      <c r="F190" s="95">
        <v>0</v>
      </c>
      <c r="H190" s="95">
        <v>0</v>
      </c>
      <c r="I190" s="95">
        <v>0</v>
      </c>
      <c r="J190"/>
    </row>
    <row r="191" spans="1:10" hidden="1" x14ac:dyDescent="0.25">
      <c r="A191">
        <v>32</v>
      </c>
      <c r="B191" s="94">
        <v>44971</v>
      </c>
      <c r="C191" t="s">
        <v>211</v>
      </c>
      <c r="D191" t="s">
        <v>328</v>
      </c>
      <c r="E191" s="95">
        <v>747.74</v>
      </c>
      <c r="F191" s="95">
        <v>0</v>
      </c>
      <c r="H191" s="95">
        <v>0</v>
      </c>
      <c r="I191" s="95">
        <v>0</v>
      </c>
      <c r="J191"/>
    </row>
    <row r="192" spans="1:10" hidden="1" x14ac:dyDescent="0.25">
      <c r="A192">
        <v>22</v>
      </c>
      <c r="B192" s="94">
        <v>44979</v>
      </c>
      <c r="C192" t="s">
        <v>211</v>
      </c>
      <c r="D192" t="s">
        <v>370</v>
      </c>
      <c r="E192" s="95">
        <v>800</v>
      </c>
      <c r="F192" s="95">
        <v>0</v>
      </c>
      <c r="H192" s="95">
        <v>0</v>
      </c>
      <c r="I192" s="95">
        <v>0</v>
      </c>
      <c r="J192"/>
    </row>
    <row r="193" spans="1:10" hidden="1" x14ac:dyDescent="0.25">
      <c r="A193">
        <v>69</v>
      </c>
      <c r="B193" s="94">
        <v>44958</v>
      </c>
      <c r="C193" t="s">
        <v>211</v>
      </c>
      <c r="D193" t="s">
        <v>278</v>
      </c>
      <c r="E193" s="95">
        <v>837.9</v>
      </c>
      <c r="F193" s="95">
        <v>0</v>
      </c>
      <c r="H193" s="95">
        <v>0</v>
      </c>
      <c r="I193" s="95">
        <v>0</v>
      </c>
      <c r="J193"/>
    </row>
    <row r="194" spans="1:10" hidden="1" x14ac:dyDescent="0.25">
      <c r="A194">
        <v>18</v>
      </c>
      <c r="B194" s="94">
        <v>44979</v>
      </c>
      <c r="C194" t="s">
        <v>211</v>
      </c>
      <c r="D194" t="s">
        <v>373</v>
      </c>
      <c r="E194" s="95">
        <v>883.7</v>
      </c>
      <c r="F194" s="95">
        <v>0</v>
      </c>
      <c r="H194" s="95">
        <v>0</v>
      </c>
      <c r="I194" s="95">
        <v>0</v>
      </c>
      <c r="J194"/>
    </row>
    <row r="195" spans="1:10" hidden="1" x14ac:dyDescent="0.25">
      <c r="A195">
        <v>12</v>
      </c>
      <c r="B195" s="94">
        <v>44981</v>
      </c>
      <c r="C195" t="s">
        <v>211</v>
      </c>
      <c r="D195" t="s">
        <v>281</v>
      </c>
      <c r="E195" s="95">
        <v>900</v>
      </c>
      <c r="F195" s="95">
        <v>0</v>
      </c>
      <c r="H195" s="95">
        <v>0</v>
      </c>
      <c r="I195" s="95">
        <v>0</v>
      </c>
      <c r="J195"/>
    </row>
    <row r="196" spans="1:10" hidden="1" x14ac:dyDescent="0.25">
      <c r="A196">
        <v>71</v>
      </c>
      <c r="B196" s="94">
        <v>44958</v>
      </c>
      <c r="C196" t="s">
        <v>211</v>
      </c>
      <c r="D196" t="s">
        <v>212</v>
      </c>
      <c r="E196" s="95">
        <v>1100</v>
      </c>
      <c r="F196" s="95">
        <v>0</v>
      </c>
      <c r="H196" s="95">
        <v>0</v>
      </c>
      <c r="I196" s="95">
        <v>0</v>
      </c>
      <c r="J196"/>
    </row>
    <row r="197" spans="1:10" hidden="1" x14ac:dyDescent="0.25">
      <c r="A197">
        <v>56</v>
      </c>
      <c r="B197" s="94">
        <v>44963</v>
      </c>
      <c r="C197" t="s">
        <v>211</v>
      </c>
      <c r="D197" t="s">
        <v>366</v>
      </c>
      <c r="E197" s="95">
        <v>1118</v>
      </c>
      <c r="F197" s="95">
        <v>0</v>
      </c>
      <c r="H197" s="95">
        <v>0</v>
      </c>
      <c r="I197" s="95">
        <v>0</v>
      </c>
      <c r="J197"/>
    </row>
    <row r="198" spans="1:10" hidden="1" x14ac:dyDescent="0.25">
      <c r="A198">
        <v>54</v>
      </c>
      <c r="B198" s="94">
        <v>44964</v>
      </c>
      <c r="C198" t="s">
        <v>211</v>
      </c>
      <c r="D198" t="s">
        <v>337</v>
      </c>
      <c r="E198" s="95">
        <v>1120</v>
      </c>
      <c r="F198" s="95">
        <v>0</v>
      </c>
      <c r="H198" s="95">
        <v>0</v>
      </c>
      <c r="I198" s="95">
        <v>0</v>
      </c>
      <c r="J198"/>
    </row>
    <row r="199" spans="1:10" hidden="1" x14ac:dyDescent="0.25">
      <c r="A199">
        <v>21</v>
      </c>
      <c r="B199" s="94">
        <v>44979</v>
      </c>
      <c r="C199" t="s">
        <v>211</v>
      </c>
      <c r="D199" t="s">
        <v>245</v>
      </c>
      <c r="E199" s="95">
        <v>1152</v>
      </c>
      <c r="F199" s="95">
        <v>0</v>
      </c>
      <c r="H199" s="95">
        <v>0</v>
      </c>
      <c r="I199" s="95">
        <v>0</v>
      </c>
      <c r="J199"/>
    </row>
    <row r="200" spans="1:10" hidden="1" x14ac:dyDescent="0.25">
      <c r="A200">
        <v>36</v>
      </c>
      <c r="B200" s="94">
        <v>44970</v>
      </c>
      <c r="C200" t="s">
        <v>211</v>
      </c>
      <c r="D200" t="s">
        <v>370</v>
      </c>
      <c r="E200" s="95">
        <v>1350</v>
      </c>
      <c r="F200" s="95">
        <v>0</v>
      </c>
      <c r="H200" s="95">
        <v>0</v>
      </c>
      <c r="I200" s="95">
        <v>0</v>
      </c>
      <c r="J200"/>
    </row>
    <row r="201" spans="1:10" hidden="1" x14ac:dyDescent="0.25">
      <c r="A201">
        <v>43</v>
      </c>
      <c r="B201" s="94">
        <v>44967</v>
      </c>
      <c r="C201" t="s">
        <v>211</v>
      </c>
      <c r="D201" t="s">
        <v>213</v>
      </c>
      <c r="E201" s="95">
        <v>1455</v>
      </c>
      <c r="F201" s="95">
        <v>0</v>
      </c>
      <c r="H201" s="95">
        <v>0</v>
      </c>
      <c r="I201" s="95">
        <v>0</v>
      </c>
      <c r="J201"/>
    </row>
    <row r="202" spans="1:10" hidden="1" x14ac:dyDescent="0.25">
      <c r="A202">
        <v>29</v>
      </c>
      <c r="B202" s="94">
        <v>44972</v>
      </c>
      <c r="C202" t="s">
        <v>211</v>
      </c>
      <c r="D202" t="s">
        <v>367</v>
      </c>
      <c r="E202" s="95">
        <v>1500</v>
      </c>
      <c r="F202" s="95">
        <v>0</v>
      </c>
      <c r="H202" s="95">
        <v>0</v>
      </c>
      <c r="I202" s="95">
        <v>0</v>
      </c>
      <c r="J202"/>
    </row>
    <row r="203" spans="1:10" hidden="1" x14ac:dyDescent="0.25">
      <c r="A203">
        <v>19</v>
      </c>
      <c r="B203" s="94">
        <v>44979</v>
      </c>
      <c r="C203" t="s">
        <v>211</v>
      </c>
      <c r="D203" t="s">
        <v>374</v>
      </c>
      <c r="E203" s="95">
        <v>1550</v>
      </c>
      <c r="F203" s="95">
        <v>0</v>
      </c>
      <c r="H203" s="95">
        <v>0</v>
      </c>
      <c r="I203" s="95">
        <v>0</v>
      </c>
      <c r="J203"/>
    </row>
    <row r="204" spans="1:10" hidden="1" x14ac:dyDescent="0.25">
      <c r="A204">
        <v>10</v>
      </c>
      <c r="B204" s="94">
        <v>44981</v>
      </c>
      <c r="C204" t="s">
        <v>211</v>
      </c>
      <c r="D204" t="s">
        <v>268</v>
      </c>
      <c r="E204" s="95">
        <v>1570</v>
      </c>
      <c r="F204" s="95">
        <v>0</v>
      </c>
      <c r="H204" s="95">
        <v>0</v>
      </c>
      <c r="I204" s="95">
        <v>0</v>
      </c>
      <c r="J204"/>
    </row>
    <row r="205" spans="1:10" hidden="1" x14ac:dyDescent="0.25">
      <c r="A205">
        <v>68</v>
      </c>
      <c r="B205" s="94">
        <v>44958</v>
      </c>
      <c r="C205" t="s">
        <v>211</v>
      </c>
      <c r="D205" t="s">
        <v>344</v>
      </c>
      <c r="E205" s="95">
        <v>1930</v>
      </c>
      <c r="F205" s="95">
        <v>0</v>
      </c>
      <c r="H205" s="95">
        <v>0</v>
      </c>
      <c r="I205" s="95">
        <v>0</v>
      </c>
      <c r="J205"/>
    </row>
    <row r="206" spans="1:10" hidden="1" x14ac:dyDescent="0.25">
      <c r="A206">
        <v>50</v>
      </c>
      <c r="B206" s="94">
        <v>44965</v>
      </c>
      <c r="C206" t="s">
        <v>211</v>
      </c>
      <c r="D206" t="s">
        <v>286</v>
      </c>
      <c r="E206" s="95">
        <v>1976.94</v>
      </c>
      <c r="F206" s="95">
        <v>0</v>
      </c>
      <c r="H206" s="95">
        <v>0</v>
      </c>
      <c r="I206" s="95">
        <v>0</v>
      </c>
      <c r="J206"/>
    </row>
    <row r="207" spans="1:10" hidden="1" x14ac:dyDescent="0.25">
      <c r="A207">
        <v>9</v>
      </c>
      <c r="B207" s="94">
        <v>44984</v>
      </c>
      <c r="C207" t="s">
        <v>217</v>
      </c>
      <c r="D207" t="s">
        <v>383</v>
      </c>
      <c r="E207" s="95">
        <v>2000</v>
      </c>
      <c r="F207" s="95">
        <v>0</v>
      </c>
      <c r="H207" s="95">
        <v>0</v>
      </c>
      <c r="I207" s="95">
        <v>0</v>
      </c>
      <c r="J207"/>
    </row>
    <row r="208" spans="1:10" hidden="1" x14ac:dyDescent="0.25">
      <c r="A208">
        <v>11</v>
      </c>
      <c r="B208" s="94">
        <v>44981</v>
      </c>
      <c r="C208" t="s">
        <v>211</v>
      </c>
      <c r="D208" t="s">
        <v>268</v>
      </c>
      <c r="E208" s="95">
        <v>2000</v>
      </c>
      <c r="F208" s="95">
        <v>0</v>
      </c>
      <c r="H208" s="95">
        <v>0</v>
      </c>
      <c r="I208" s="95">
        <v>0</v>
      </c>
      <c r="J208"/>
    </row>
    <row r="209" spans="1:10" hidden="1" x14ac:dyDescent="0.25">
      <c r="A209">
        <v>53</v>
      </c>
      <c r="B209" s="94">
        <v>44964</v>
      </c>
      <c r="C209" t="s">
        <v>211</v>
      </c>
      <c r="D209" t="s">
        <v>369</v>
      </c>
      <c r="E209" s="95">
        <v>2000</v>
      </c>
      <c r="F209" s="95">
        <v>0</v>
      </c>
      <c r="H209" s="95">
        <v>0</v>
      </c>
      <c r="I209" s="95">
        <v>0</v>
      </c>
      <c r="J209"/>
    </row>
    <row r="210" spans="1:10" hidden="1" x14ac:dyDescent="0.25">
      <c r="A210">
        <v>52</v>
      </c>
      <c r="B210" s="94">
        <v>44965</v>
      </c>
      <c r="C210" t="s">
        <v>217</v>
      </c>
      <c r="D210" t="s">
        <v>380</v>
      </c>
      <c r="E210" s="95">
        <v>2040</v>
      </c>
      <c r="F210" s="95">
        <v>0</v>
      </c>
      <c r="H210" s="95">
        <v>0</v>
      </c>
      <c r="I210" s="95">
        <v>0</v>
      </c>
      <c r="J210"/>
    </row>
    <row r="211" spans="1:10" hidden="1" x14ac:dyDescent="0.25">
      <c r="A211">
        <v>0</v>
      </c>
      <c r="B211" s="94">
        <v>44985</v>
      </c>
      <c r="C211" t="s">
        <v>214</v>
      </c>
      <c r="E211" s="95">
        <v>2083.5300000000002</v>
      </c>
      <c r="F211" s="95">
        <v>0</v>
      </c>
      <c r="H211" s="95">
        <v>0</v>
      </c>
      <c r="I211" s="95">
        <v>0</v>
      </c>
      <c r="J211"/>
    </row>
    <row r="212" spans="1:10" hidden="1" x14ac:dyDescent="0.25">
      <c r="A212">
        <v>5</v>
      </c>
      <c r="B212" s="94">
        <v>44984</v>
      </c>
      <c r="C212" t="s">
        <v>211</v>
      </c>
      <c r="D212" t="s">
        <v>246</v>
      </c>
      <c r="E212" s="95">
        <v>2140.9699999999998</v>
      </c>
      <c r="F212" s="95">
        <v>0</v>
      </c>
      <c r="H212" s="95">
        <v>0</v>
      </c>
      <c r="I212" s="95">
        <v>0</v>
      </c>
      <c r="J212"/>
    </row>
    <row r="213" spans="1:10" hidden="1" x14ac:dyDescent="0.25">
      <c r="A213">
        <v>49</v>
      </c>
      <c r="B213" s="94">
        <v>44966</v>
      </c>
      <c r="C213" t="s">
        <v>211</v>
      </c>
      <c r="D213" t="s">
        <v>345</v>
      </c>
      <c r="E213" s="95">
        <v>2192.8000000000002</v>
      </c>
      <c r="F213" s="95">
        <v>0</v>
      </c>
      <c r="H213" s="95">
        <v>0</v>
      </c>
      <c r="I213" s="95">
        <v>0</v>
      </c>
      <c r="J213"/>
    </row>
    <row r="214" spans="1:10" hidden="1" x14ac:dyDescent="0.25">
      <c r="A214">
        <v>16</v>
      </c>
      <c r="B214" s="94">
        <v>44980</v>
      </c>
      <c r="C214" t="s">
        <v>211</v>
      </c>
      <c r="D214" t="s">
        <v>328</v>
      </c>
      <c r="E214" s="95">
        <v>2588</v>
      </c>
      <c r="F214" s="95">
        <v>0</v>
      </c>
      <c r="H214" s="95">
        <v>0</v>
      </c>
      <c r="I214" s="95">
        <v>0</v>
      </c>
      <c r="J214"/>
    </row>
    <row r="215" spans="1:10" hidden="1" x14ac:dyDescent="0.25">
      <c r="A215">
        <v>67</v>
      </c>
      <c r="B215" s="94">
        <v>44958</v>
      </c>
      <c r="C215" t="s">
        <v>211</v>
      </c>
      <c r="D215" t="s">
        <v>216</v>
      </c>
      <c r="E215" s="95">
        <v>2873.61</v>
      </c>
      <c r="F215" s="95">
        <v>0</v>
      </c>
      <c r="H215" s="95">
        <v>0</v>
      </c>
      <c r="I215" s="95">
        <v>0</v>
      </c>
      <c r="J215"/>
    </row>
    <row r="216" spans="1:10" hidden="1" x14ac:dyDescent="0.25">
      <c r="A216">
        <v>47</v>
      </c>
      <c r="B216" s="94">
        <v>44967</v>
      </c>
      <c r="C216" t="s">
        <v>211</v>
      </c>
      <c r="D216" t="s">
        <v>268</v>
      </c>
      <c r="E216" s="95">
        <v>3330</v>
      </c>
      <c r="F216" s="95">
        <v>0</v>
      </c>
      <c r="H216" s="95">
        <v>0</v>
      </c>
      <c r="I216" s="95">
        <v>0</v>
      </c>
      <c r="J216"/>
    </row>
    <row r="217" spans="1:10" hidden="1" x14ac:dyDescent="0.25">
      <c r="A217">
        <v>66</v>
      </c>
      <c r="B217" s="94">
        <v>44958</v>
      </c>
      <c r="C217" t="s">
        <v>211</v>
      </c>
      <c r="D217" t="s">
        <v>228</v>
      </c>
      <c r="E217" s="95">
        <v>3500</v>
      </c>
      <c r="F217" s="95">
        <v>0</v>
      </c>
      <c r="H217" s="95">
        <v>0</v>
      </c>
      <c r="I217" s="95">
        <v>0</v>
      </c>
      <c r="J217"/>
    </row>
    <row r="218" spans="1:10" hidden="1" x14ac:dyDescent="0.25">
      <c r="A218">
        <v>26</v>
      </c>
      <c r="B218" s="94">
        <v>44973</v>
      </c>
      <c r="C218" t="s">
        <v>211</v>
      </c>
      <c r="D218" t="s">
        <v>330</v>
      </c>
      <c r="E218" s="95">
        <v>3675</v>
      </c>
      <c r="F218" s="95">
        <v>0</v>
      </c>
      <c r="H218" s="95">
        <v>0</v>
      </c>
      <c r="I218" s="95">
        <v>0</v>
      </c>
      <c r="J218"/>
    </row>
    <row r="219" spans="1:10" hidden="1" x14ac:dyDescent="0.25">
      <c r="A219">
        <v>4</v>
      </c>
      <c r="B219" s="94">
        <v>44984</v>
      </c>
      <c r="C219" t="s">
        <v>211</v>
      </c>
      <c r="D219" t="s">
        <v>345</v>
      </c>
      <c r="E219" s="95">
        <v>3876.79</v>
      </c>
      <c r="F219" s="95">
        <v>0</v>
      </c>
      <c r="H219" s="95">
        <v>0</v>
      </c>
      <c r="I219" s="95">
        <v>0</v>
      </c>
      <c r="J219"/>
    </row>
    <row r="220" spans="1:10" hidden="1" x14ac:dyDescent="0.25">
      <c r="A220">
        <v>24</v>
      </c>
      <c r="B220" s="94">
        <v>44979</v>
      </c>
      <c r="C220" t="s">
        <v>217</v>
      </c>
      <c r="D220" t="s">
        <v>270</v>
      </c>
      <c r="E220" s="95">
        <v>4000</v>
      </c>
      <c r="F220" s="95">
        <v>0</v>
      </c>
      <c r="H220" s="95">
        <v>0</v>
      </c>
      <c r="I220" s="95">
        <v>0</v>
      </c>
      <c r="J220"/>
    </row>
    <row r="221" spans="1:10" hidden="1" x14ac:dyDescent="0.25">
      <c r="A221">
        <v>17</v>
      </c>
      <c r="B221" s="94">
        <v>44980</v>
      </c>
      <c r="C221" t="s">
        <v>211</v>
      </c>
      <c r="D221" t="s">
        <v>216</v>
      </c>
      <c r="E221" s="95">
        <v>4174.29</v>
      </c>
      <c r="F221" s="95">
        <v>0</v>
      </c>
      <c r="H221" s="95">
        <v>0</v>
      </c>
      <c r="I221" s="95">
        <v>0</v>
      </c>
      <c r="J221"/>
    </row>
    <row r="222" spans="1:10" hidden="1" x14ac:dyDescent="0.25">
      <c r="A222">
        <v>45</v>
      </c>
      <c r="B222" s="94">
        <v>44967</v>
      </c>
      <c r="C222" t="s">
        <v>211</v>
      </c>
      <c r="D222" t="s">
        <v>278</v>
      </c>
      <c r="E222" s="95">
        <v>4328.25</v>
      </c>
      <c r="F222" s="95">
        <v>0</v>
      </c>
      <c r="H222" s="95">
        <v>0</v>
      </c>
      <c r="I222" s="95">
        <v>0</v>
      </c>
      <c r="J222"/>
    </row>
    <row r="223" spans="1:10" hidden="1" x14ac:dyDescent="0.25">
      <c r="A223">
        <v>70</v>
      </c>
      <c r="B223" s="94">
        <v>44958</v>
      </c>
      <c r="C223" t="s">
        <v>211</v>
      </c>
      <c r="D223" t="s">
        <v>242</v>
      </c>
      <c r="E223" s="95">
        <v>4610</v>
      </c>
      <c r="F223" s="95">
        <v>0</v>
      </c>
      <c r="H223" s="95">
        <v>0</v>
      </c>
      <c r="I223" s="95">
        <v>0</v>
      </c>
      <c r="J223"/>
    </row>
    <row r="224" spans="1:10" hidden="1" x14ac:dyDescent="0.25">
      <c r="A224">
        <v>35</v>
      </c>
      <c r="B224" s="94">
        <v>44970</v>
      </c>
      <c r="C224" t="s">
        <v>211</v>
      </c>
      <c r="D224" t="s">
        <v>345</v>
      </c>
      <c r="E224" s="95">
        <v>6074.19</v>
      </c>
      <c r="F224" s="95">
        <v>0</v>
      </c>
      <c r="H224" s="95">
        <v>0</v>
      </c>
      <c r="I224" s="95">
        <v>0</v>
      </c>
      <c r="J224"/>
    </row>
    <row r="225" spans="1:10" hidden="1" x14ac:dyDescent="0.25">
      <c r="A225">
        <v>13</v>
      </c>
      <c r="B225" s="94">
        <v>44981</v>
      </c>
      <c r="C225" t="s">
        <v>211</v>
      </c>
      <c r="D225" t="s">
        <v>281</v>
      </c>
      <c r="E225" s="95">
        <v>6390</v>
      </c>
      <c r="F225" s="95">
        <v>0</v>
      </c>
      <c r="H225" s="95">
        <v>0</v>
      </c>
      <c r="I225" s="95">
        <v>0</v>
      </c>
      <c r="J225"/>
    </row>
    <row r="226" spans="1:10" hidden="1" x14ac:dyDescent="0.25">
      <c r="A226">
        <v>31</v>
      </c>
      <c r="B226" s="94">
        <v>44972</v>
      </c>
      <c r="C226" t="s">
        <v>217</v>
      </c>
      <c r="D226" t="s">
        <v>382</v>
      </c>
      <c r="E226" s="95">
        <v>8500</v>
      </c>
      <c r="F226" s="95">
        <v>0</v>
      </c>
      <c r="H226" s="95">
        <v>0</v>
      </c>
      <c r="I226" s="95">
        <v>0</v>
      </c>
      <c r="J226"/>
    </row>
    <row r="227" spans="1:10" hidden="1" x14ac:dyDescent="0.25">
      <c r="A227">
        <v>7</v>
      </c>
      <c r="B227" s="94">
        <v>44984</v>
      </c>
      <c r="C227" t="s">
        <v>211</v>
      </c>
      <c r="D227" t="s">
        <v>286</v>
      </c>
      <c r="E227" s="95">
        <v>9107.7999999999993</v>
      </c>
      <c r="F227" s="95">
        <v>0</v>
      </c>
      <c r="H227" s="95">
        <v>0</v>
      </c>
      <c r="I227" s="95">
        <v>0</v>
      </c>
      <c r="J227"/>
    </row>
    <row r="228" spans="1:10" hidden="1" x14ac:dyDescent="0.25">
      <c r="A228">
        <v>6</v>
      </c>
      <c r="B228" s="94">
        <v>44984</v>
      </c>
      <c r="C228" t="s">
        <v>211</v>
      </c>
      <c r="D228" t="s">
        <v>372</v>
      </c>
      <c r="E228" s="95">
        <v>11050</v>
      </c>
      <c r="F228" s="95">
        <v>0</v>
      </c>
      <c r="H228" s="95">
        <v>0</v>
      </c>
      <c r="I228" s="95">
        <v>0</v>
      </c>
      <c r="J228"/>
    </row>
    <row r="229" spans="1:10" hidden="1" x14ac:dyDescent="0.25">
      <c r="A229">
        <v>63</v>
      </c>
      <c r="B229" s="94">
        <v>44960</v>
      </c>
      <c r="C229" t="s">
        <v>217</v>
      </c>
      <c r="D229" t="s">
        <v>380</v>
      </c>
      <c r="E229" s="95">
        <v>11500</v>
      </c>
      <c r="F229" s="95">
        <v>0</v>
      </c>
      <c r="H229" s="95">
        <v>0</v>
      </c>
      <c r="I229" s="95">
        <v>0</v>
      </c>
      <c r="J229"/>
    </row>
    <row r="230" spans="1:10" hidden="1" x14ac:dyDescent="0.25">
      <c r="A230">
        <v>64</v>
      </c>
      <c r="B230" s="94">
        <v>44960</v>
      </c>
      <c r="C230" t="s">
        <v>218</v>
      </c>
      <c r="D230" t="s">
        <v>276</v>
      </c>
      <c r="E230" s="95">
        <v>14661.46</v>
      </c>
      <c r="F230" s="95">
        <v>0</v>
      </c>
      <c r="H230" s="95">
        <v>0</v>
      </c>
      <c r="I230" s="95">
        <v>0</v>
      </c>
      <c r="J230"/>
    </row>
    <row r="231" spans="1:10" hidden="1" x14ac:dyDescent="0.25">
      <c r="A231">
        <v>23</v>
      </c>
      <c r="B231" s="94">
        <v>44979</v>
      </c>
      <c r="C231" t="s">
        <v>217</v>
      </c>
      <c r="D231" t="s">
        <v>252</v>
      </c>
      <c r="E231" s="95">
        <v>20000</v>
      </c>
      <c r="F231" s="95">
        <v>0</v>
      </c>
      <c r="H231" s="95">
        <v>0</v>
      </c>
      <c r="I231" s="95">
        <v>0</v>
      </c>
      <c r="J231"/>
    </row>
    <row r="232" spans="1:10" hidden="1" x14ac:dyDescent="0.25">
      <c r="A232">
        <v>51</v>
      </c>
      <c r="B232" s="94">
        <v>44965</v>
      </c>
      <c r="C232" t="s">
        <v>211</v>
      </c>
      <c r="D232" t="s">
        <v>345</v>
      </c>
      <c r="E232" s="95">
        <v>26068.560000000001</v>
      </c>
      <c r="F232" s="95">
        <v>0</v>
      </c>
      <c r="H232" s="95">
        <v>0</v>
      </c>
      <c r="I232" s="95">
        <v>0</v>
      </c>
      <c r="J232"/>
    </row>
    <row r="233" spans="1:10" hidden="1" x14ac:dyDescent="0.25">
      <c r="A233">
        <v>42</v>
      </c>
      <c r="B233" s="94">
        <v>44970</v>
      </c>
      <c r="C233" t="s">
        <v>217</v>
      </c>
      <c r="D233" t="s">
        <v>381</v>
      </c>
      <c r="E233" s="95">
        <v>36800</v>
      </c>
      <c r="F233" s="95">
        <v>0</v>
      </c>
      <c r="H233" s="95">
        <v>0</v>
      </c>
      <c r="I233" s="95">
        <v>0</v>
      </c>
      <c r="J233"/>
    </row>
    <row r="234" spans="1:10" hidden="1" x14ac:dyDescent="0.25">
      <c r="A234">
        <v>65</v>
      </c>
      <c r="B234" s="94">
        <v>44959</v>
      </c>
      <c r="C234" t="s">
        <v>224</v>
      </c>
      <c r="D234" t="s">
        <v>225</v>
      </c>
      <c r="E234" s="95">
        <v>0</v>
      </c>
      <c r="F234" s="95">
        <v>45893.18</v>
      </c>
      <c r="H234" s="95">
        <v>0</v>
      </c>
      <c r="I234" s="95">
        <v>0</v>
      </c>
      <c r="J234"/>
    </row>
    <row r="235" spans="1:10" hidden="1" x14ac:dyDescent="0.25">
      <c r="A235">
        <v>59</v>
      </c>
      <c r="B235" s="94">
        <v>44963</v>
      </c>
      <c r="C235" t="s">
        <v>222</v>
      </c>
      <c r="D235" t="s">
        <v>223</v>
      </c>
      <c r="E235" s="95">
        <v>0</v>
      </c>
      <c r="F235" s="95">
        <v>281087.05</v>
      </c>
      <c r="H235" s="95">
        <v>0</v>
      </c>
      <c r="I235" s="95">
        <v>0</v>
      </c>
      <c r="J235"/>
    </row>
    <row r="236" spans="1:10" hidden="1" x14ac:dyDescent="0.25">
      <c r="A236">
        <v>60</v>
      </c>
      <c r="B236" s="94">
        <v>44963</v>
      </c>
      <c r="C236" t="s">
        <v>258</v>
      </c>
      <c r="E236" s="95">
        <v>0</v>
      </c>
      <c r="F236" s="95">
        <v>0</v>
      </c>
      <c r="H236" s="95">
        <v>500000</v>
      </c>
      <c r="I236" s="95">
        <v>0</v>
      </c>
      <c r="J236"/>
    </row>
    <row r="237" spans="1:10" hidden="1" x14ac:dyDescent="0.25">
      <c r="A237">
        <v>30</v>
      </c>
      <c r="B237" s="94">
        <v>44972</v>
      </c>
      <c r="C237" t="s">
        <v>376</v>
      </c>
      <c r="D237" t="s">
        <v>379</v>
      </c>
      <c r="E237" s="95">
        <v>0</v>
      </c>
      <c r="F237" s="95">
        <v>0</v>
      </c>
      <c r="H237" s="95">
        <v>0</v>
      </c>
      <c r="I237" s="95">
        <v>10000</v>
      </c>
      <c r="J237"/>
    </row>
    <row r="238" spans="1:10" hidden="1" x14ac:dyDescent="0.25">
      <c r="A238">
        <v>39</v>
      </c>
      <c r="B238" s="94">
        <v>44970</v>
      </c>
      <c r="C238" t="s">
        <v>376</v>
      </c>
      <c r="D238" t="s">
        <v>377</v>
      </c>
      <c r="E238" s="95">
        <v>0</v>
      </c>
      <c r="F238" s="95">
        <v>0</v>
      </c>
      <c r="H238" s="95">
        <v>0</v>
      </c>
      <c r="I238" s="95">
        <v>10000</v>
      </c>
      <c r="J238"/>
    </row>
    <row r="239" spans="1:10" hidden="1" x14ac:dyDescent="0.25">
      <c r="A239">
        <v>40</v>
      </c>
      <c r="B239" s="94">
        <v>44970</v>
      </c>
      <c r="C239" t="s">
        <v>376</v>
      </c>
      <c r="D239" t="s">
        <v>377</v>
      </c>
      <c r="E239" s="95">
        <v>0</v>
      </c>
      <c r="F239" s="95">
        <v>0</v>
      </c>
      <c r="H239" s="95">
        <v>0</v>
      </c>
      <c r="I239" s="95">
        <v>10000</v>
      </c>
      <c r="J239"/>
    </row>
    <row r="240" spans="1:10" hidden="1" x14ac:dyDescent="0.25">
      <c r="A240">
        <v>41</v>
      </c>
      <c r="B240" s="94">
        <v>44970</v>
      </c>
      <c r="C240" t="s">
        <v>376</v>
      </c>
      <c r="D240" t="s">
        <v>377</v>
      </c>
      <c r="E240" s="95">
        <v>0</v>
      </c>
      <c r="F240" s="95">
        <v>0</v>
      </c>
      <c r="H240" s="95">
        <v>0</v>
      </c>
      <c r="I240" s="95">
        <v>10000</v>
      </c>
      <c r="J240"/>
    </row>
    <row r="241" spans="1:10" hidden="1" x14ac:dyDescent="0.25">
      <c r="A241">
        <v>14</v>
      </c>
      <c r="B241" s="94">
        <v>44981</v>
      </c>
      <c r="C241" t="s">
        <v>229</v>
      </c>
      <c r="D241" t="s">
        <v>230</v>
      </c>
      <c r="E241" s="95">
        <v>0</v>
      </c>
      <c r="F241" s="95">
        <v>0</v>
      </c>
      <c r="H241" s="95">
        <v>0</v>
      </c>
      <c r="I241" s="95">
        <v>13000</v>
      </c>
      <c r="J241"/>
    </row>
    <row r="242" spans="1:10" hidden="1" x14ac:dyDescent="0.25">
      <c r="A242">
        <v>48</v>
      </c>
      <c r="B242" s="94">
        <v>44967</v>
      </c>
      <c r="C242" t="s">
        <v>229</v>
      </c>
      <c r="D242" t="s">
        <v>230</v>
      </c>
      <c r="E242" s="95">
        <v>0</v>
      </c>
      <c r="F242" s="95">
        <v>0</v>
      </c>
      <c r="H242" s="95">
        <v>0</v>
      </c>
      <c r="I242" s="95">
        <v>14000</v>
      </c>
      <c r="J242"/>
    </row>
    <row r="243" spans="1:10" hidden="1" x14ac:dyDescent="0.25">
      <c r="A243">
        <v>72</v>
      </c>
      <c r="B243" s="94">
        <v>44958</v>
      </c>
      <c r="C243" t="s">
        <v>229</v>
      </c>
      <c r="D243" t="s">
        <v>230</v>
      </c>
      <c r="E243" s="95">
        <v>0</v>
      </c>
      <c r="F243" s="95">
        <v>0</v>
      </c>
      <c r="H243" s="95">
        <v>0</v>
      </c>
      <c r="I243" s="95">
        <v>14000</v>
      </c>
      <c r="J243"/>
    </row>
    <row r="244" spans="1:10" hidden="1" x14ac:dyDescent="0.25">
      <c r="A244">
        <v>34</v>
      </c>
      <c r="B244" s="94">
        <v>44971</v>
      </c>
      <c r="C244" t="s">
        <v>376</v>
      </c>
      <c r="D244" t="s">
        <v>378</v>
      </c>
      <c r="E244" s="95">
        <v>0</v>
      </c>
      <c r="F244" s="95">
        <v>0</v>
      </c>
      <c r="H244" s="95">
        <v>0</v>
      </c>
      <c r="I244" s="95">
        <v>15000</v>
      </c>
      <c r="J244"/>
    </row>
    <row r="245" spans="1:10" hidden="1" x14ac:dyDescent="0.25">
      <c r="A245" s="99"/>
      <c r="B245" s="98">
        <v>44963</v>
      </c>
      <c r="C245" s="99" t="s">
        <v>280</v>
      </c>
      <c r="D245" s="99"/>
      <c r="E245" s="95">
        <v>0</v>
      </c>
      <c r="F245" s="95">
        <v>0</v>
      </c>
      <c r="G245" s="96">
        <v>10269</v>
      </c>
      <c r="H245" s="95">
        <v>0</v>
      </c>
      <c r="I245" s="95">
        <v>0</v>
      </c>
      <c r="J245"/>
    </row>
    <row r="246" spans="1:10" hidden="1" x14ac:dyDescent="0.25">
      <c r="A246" s="99"/>
      <c r="B246" s="98">
        <v>44963</v>
      </c>
      <c r="C246" s="99" t="s">
        <v>253</v>
      </c>
      <c r="D246" s="99"/>
      <c r="E246" s="95">
        <v>0</v>
      </c>
      <c r="F246" s="95">
        <v>-10269</v>
      </c>
      <c r="H246" s="95">
        <v>0</v>
      </c>
      <c r="I246" s="95">
        <v>0</v>
      </c>
      <c r="J246"/>
    </row>
    <row r="247" spans="1:10" hidden="1" x14ac:dyDescent="0.25">
      <c r="A247">
        <v>21</v>
      </c>
      <c r="B247" s="94">
        <v>45005</v>
      </c>
      <c r="C247" t="s">
        <v>211</v>
      </c>
      <c r="D247" t="s">
        <v>400</v>
      </c>
      <c r="E247" s="95">
        <v>350</v>
      </c>
      <c r="F247" s="95">
        <v>0</v>
      </c>
      <c r="H247" s="95">
        <v>0</v>
      </c>
      <c r="I247" s="95">
        <v>0</v>
      </c>
      <c r="J247"/>
    </row>
    <row r="248" spans="1:10" hidden="1" x14ac:dyDescent="0.25">
      <c r="A248">
        <v>73</v>
      </c>
      <c r="B248" s="94">
        <v>44988</v>
      </c>
      <c r="C248" t="s">
        <v>211</v>
      </c>
      <c r="D248" t="s">
        <v>397</v>
      </c>
      <c r="E248" s="95">
        <v>480</v>
      </c>
      <c r="F248" s="95">
        <v>0</v>
      </c>
      <c r="H248" s="95">
        <v>0</v>
      </c>
      <c r="I248" s="95">
        <v>0</v>
      </c>
      <c r="J248"/>
    </row>
    <row r="249" spans="1:10" hidden="1" x14ac:dyDescent="0.25">
      <c r="A249">
        <v>3</v>
      </c>
      <c r="B249" s="94">
        <v>45016</v>
      </c>
      <c r="C249" t="s">
        <v>215</v>
      </c>
      <c r="E249" s="95">
        <v>494.42</v>
      </c>
      <c r="F249" s="95">
        <v>0</v>
      </c>
      <c r="H249" s="95">
        <v>0</v>
      </c>
      <c r="I249" s="95">
        <v>0</v>
      </c>
      <c r="J249"/>
    </row>
    <row r="250" spans="1:10" hidden="1" x14ac:dyDescent="0.25">
      <c r="A250">
        <v>28</v>
      </c>
      <c r="B250" s="94">
        <v>45005</v>
      </c>
      <c r="C250" t="s">
        <v>211</v>
      </c>
      <c r="D250" t="s">
        <v>269</v>
      </c>
      <c r="E250" s="95">
        <v>560</v>
      </c>
      <c r="F250" s="95">
        <v>0</v>
      </c>
      <c r="H250" s="95">
        <v>0</v>
      </c>
      <c r="I250" s="95">
        <v>0</v>
      </c>
      <c r="J250"/>
    </row>
    <row r="251" spans="1:10" hidden="1" x14ac:dyDescent="0.25">
      <c r="A251">
        <v>10</v>
      </c>
      <c r="B251" s="94">
        <v>45012</v>
      </c>
      <c r="C251" t="s">
        <v>211</v>
      </c>
      <c r="D251" t="s">
        <v>242</v>
      </c>
      <c r="E251" s="95">
        <v>630</v>
      </c>
      <c r="F251" s="95">
        <v>0</v>
      </c>
      <c r="H251" s="95">
        <v>0</v>
      </c>
      <c r="I251" s="95">
        <v>0</v>
      </c>
      <c r="J251"/>
    </row>
    <row r="252" spans="1:10" hidden="1" x14ac:dyDescent="0.25">
      <c r="A252">
        <v>8</v>
      </c>
      <c r="B252" s="94">
        <v>45012</v>
      </c>
      <c r="C252" t="s">
        <v>211</v>
      </c>
      <c r="D252" t="s">
        <v>350</v>
      </c>
      <c r="E252" s="95">
        <v>700</v>
      </c>
      <c r="F252" s="95">
        <v>0</v>
      </c>
      <c r="H252" s="95">
        <v>0</v>
      </c>
      <c r="I252" s="95">
        <v>0</v>
      </c>
      <c r="J252"/>
    </row>
    <row r="253" spans="1:10" hidden="1" x14ac:dyDescent="0.25">
      <c r="A253">
        <v>22</v>
      </c>
      <c r="B253" s="94">
        <v>45005</v>
      </c>
      <c r="C253" t="s">
        <v>211</v>
      </c>
      <c r="D253" t="s">
        <v>350</v>
      </c>
      <c r="E253" s="95">
        <v>700</v>
      </c>
      <c r="F253" s="95">
        <v>0</v>
      </c>
      <c r="H253" s="95">
        <v>0</v>
      </c>
      <c r="I253" s="95">
        <v>0</v>
      </c>
      <c r="J253"/>
    </row>
    <row r="254" spans="1:10" hidden="1" x14ac:dyDescent="0.25">
      <c r="A254">
        <v>72</v>
      </c>
      <c r="B254" s="94">
        <v>44988</v>
      </c>
      <c r="C254" t="s">
        <v>211</v>
      </c>
      <c r="D254" t="s">
        <v>329</v>
      </c>
      <c r="E254" s="95">
        <v>700</v>
      </c>
      <c r="F254" s="95">
        <v>0</v>
      </c>
      <c r="H254" s="95">
        <v>0</v>
      </c>
      <c r="I254" s="95">
        <v>0</v>
      </c>
      <c r="J254"/>
    </row>
    <row r="255" spans="1:10" hidden="1" x14ac:dyDescent="0.25">
      <c r="A255">
        <v>0</v>
      </c>
      <c r="B255" s="94">
        <v>45016</v>
      </c>
      <c r="C255" t="s">
        <v>211</v>
      </c>
      <c r="D255" t="s">
        <v>269</v>
      </c>
      <c r="E255" s="95">
        <v>770</v>
      </c>
      <c r="F255" s="95">
        <v>0</v>
      </c>
      <c r="H255" s="95">
        <v>0</v>
      </c>
      <c r="I255" s="95">
        <v>0</v>
      </c>
      <c r="J255"/>
    </row>
    <row r="256" spans="1:10" hidden="1" x14ac:dyDescent="0.25">
      <c r="A256">
        <v>50</v>
      </c>
      <c r="B256" s="94">
        <v>44994</v>
      </c>
      <c r="C256" t="s">
        <v>211</v>
      </c>
      <c r="D256" t="s">
        <v>242</v>
      </c>
      <c r="E256" s="95">
        <v>850</v>
      </c>
      <c r="F256" s="95">
        <v>0</v>
      </c>
      <c r="H256" s="95">
        <v>0</v>
      </c>
      <c r="I256" s="95">
        <v>0</v>
      </c>
      <c r="J256"/>
    </row>
    <row r="257" spans="1:10" hidden="1" x14ac:dyDescent="0.25">
      <c r="A257">
        <v>24</v>
      </c>
      <c r="B257" s="94">
        <v>45005</v>
      </c>
      <c r="C257" t="s">
        <v>211</v>
      </c>
      <c r="D257" t="s">
        <v>242</v>
      </c>
      <c r="E257" s="95">
        <v>860</v>
      </c>
      <c r="F257" s="95">
        <v>0</v>
      </c>
      <c r="H257" s="95">
        <v>0</v>
      </c>
      <c r="I257" s="95">
        <v>0</v>
      </c>
      <c r="J257"/>
    </row>
    <row r="258" spans="1:10" hidden="1" x14ac:dyDescent="0.25">
      <c r="A258">
        <v>14</v>
      </c>
      <c r="B258" s="94">
        <v>45007</v>
      </c>
      <c r="C258" t="s">
        <v>211</v>
      </c>
      <c r="D258" t="s">
        <v>400</v>
      </c>
      <c r="E258" s="95">
        <v>900</v>
      </c>
      <c r="F258" s="95">
        <v>0</v>
      </c>
      <c r="H258" s="95">
        <v>0</v>
      </c>
      <c r="I258" s="95">
        <v>0</v>
      </c>
      <c r="J258"/>
    </row>
    <row r="259" spans="1:10" hidden="1" x14ac:dyDescent="0.25">
      <c r="A259">
        <v>23</v>
      </c>
      <c r="B259" s="94">
        <v>45005</v>
      </c>
      <c r="C259" t="s">
        <v>211</v>
      </c>
      <c r="D259" t="s">
        <v>268</v>
      </c>
      <c r="E259" s="95">
        <v>940</v>
      </c>
      <c r="F259" s="95">
        <v>0</v>
      </c>
      <c r="H259" s="95">
        <v>0</v>
      </c>
      <c r="I259" s="95">
        <v>0</v>
      </c>
      <c r="J259"/>
    </row>
    <row r="260" spans="1:10" hidden="1" x14ac:dyDescent="0.25">
      <c r="A260">
        <v>63</v>
      </c>
      <c r="B260" s="94">
        <v>44991</v>
      </c>
      <c r="C260" t="s">
        <v>211</v>
      </c>
      <c r="D260" t="s">
        <v>268</v>
      </c>
      <c r="E260" s="95">
        <v>950</v>
      </c>
      <c r="F260" s="95">
        <v>0</v>
      </c>
      <c r="H260" s="95">
        <v>0</v>
      </c>
      <c r="I260" s="95">
        <v>0</v>
      </c>
      <c r="J260"/>
    </row>
    <row r="261" spans="1:10" hidden="1" x14ac:dyDescent="0.25">
      <c r="A261">
        <v>4</v>
      </c>
      <c r="B261" s="94">
        <v>45015</v>
      </c>
      <c r="C261" t="s">
        <v>211</v>
      </c>
      <c r="D261" t="s">
        <v>350</v>
      </c>
      <c r="E261" s="95">
        <v>951.25</v>
      </c>
      <c r="F261" s="95">
        <v>0</v>
      </c>
      <c r="H261" s="95">
        <v>0</v>
      </c>
      <c r="I261" s="95">
        <v>0</v>
      </c>
      <c r="J261"/>
    </row>
    <row r="262" spans="1:10" hidden="1" x14ac:dyDescent="0.25">
      <c r="A262">
        <v>20</v>
      </c>
      <c r="B262" s="94">
        <v>45006</v>
      </c>
      <c r="C262" t="s">
        <v>211</v>
      </c>
      <c r="D262" t="s">
        <v>404</v>
      </c>
      <c r="E262" s="95">
        <v>960</v>
      </c>
      <c r="F262" s="95">
        <v>0</v>
      </c>
      <c r="H262" s="95">
        <v>0</v>
      </c>
      <c r="I262" s="95">
        <v>0</v>
      </c>
      <c r="J262"/>
    </row>
    <row r="263" spans="1:10" hidden="1" x14ac:dyDescent="0.25">
      <c r="A263">
        <v>26</v>
      </c>
      <c r="B263" s="94">
        <v>45005</v>
      </c>
      <c r="C263" t="s">
        <v>211</v>
      </c>
      <c r="D263" t="s">
        <v>242</v>
      </c>
      <c r="E263" s="95">
        <v>970</v>
      </c>
      <c r="F263" s="95">
        <v>0</v>
      </c>
      <c r="H263" s="95">
        <v>0</v>
      </c>
      <c r="I263" s="95">
        <v>0</v>
      </c>
      <c r="J263"/>
    </row>
    <row r="264" spans="1:10" hidden="1" x14ac:dyDescent="0.25">
      <c r="A264">
        <v>56</v>
      </c>
      <c r="B264" s="94">
        <v>44993</v>
      </c>
      <c r="C264" t="s">
        <v>211</v>
      </c>
      <c r="D264" t="s">
        <v>398</v>
      </c>
      <c r="E264" s="95">
        <v>1000</v>
      </c>
      <c r="F264" s="95">
        <v>0</v>
      </c>
      <c r="H264" s="95">
        <v>0</v>
      </c>
      <c r="I264" s="95">
        <v>0</v>
      </c>
      <c r="J264"/>
    </row>
    <row r="265" spans="1:10" hidden="1" x14ac:dyDescent="0.25">
      <c r="A265">
        <v>71</v>
      </c>
      <c r="B265" s="94">
        <v>44988</v>
      </c>
      <c r="C265" t="s">
        <v>211</v>
      </c>
      <c r="D265" t="s">
        <v>396</v>
      </c>
      <c r="E265" s="95">
        <v>1000</v>
      </c>
      <c r="F265" s="95">
        <v>0</v>
      </c>
      <c r="H265" s="95">
        <v>0</v>
      </c>
      <c r="I265" s="95">
        <v>0</v>
      </c>
      <c r="J265"/>
    </row>
    <row r="266" spans="1:10" hidden="1" x14ac:dyDescent="0.25">
      <c r="A266">
        <v>70</v>
      </c>
      <c r="B266" s="94">
        <v>44988</v>
      </c>
      <c r="C266" t="s">
        <v>211</v>
      </c>
      <c r="D266" t="s">
        <v>396</v>
      </c>
      <c r="E266" s="95">
        <v>1100</v>
      </c>
      <c r="F266" s="95">
        <v>0</v>
      </c>
      <c r="H266" s="95">
        <v>0</v>
      </c>
      <c r="I266" s="95">
        <v>0</v>
      </c>
      <c r="J266"/>
    </row>
    <row r="267" spans="1:10" hidden="1" x14ac:dyDescent="0.25">
      <c r="A267">
        <v>43</v>
      </c>
      <c r="B267" s="94">
        <v>44998</v>
      </c>
      <c r="C267" t="s">
        <v>211</v>
      </c>
      <c r="D267" t="s">
        <v>392</v>
      </c>
      <c r="E267" s="95">
        <v>1310</v>
      </c>
      <c r="F267" s="95">
        <v>0</v>
      </c>
      <c r="H267" s="95">
        <v>0</v>
      </c>
      <c r="I267" s="95">
        <v>0</v>
      </c>
      <c r="J267"/>
    </row>
    <row r="268" spans="1:10" hidden="1" x14ac:dyDescent="0.25">
      <c r="A268">
        <v>15</v>
      </c>
      <c r="B268" s="94">
        <v>45007</v>
      </c>
      <c r="C268" t="s">
        <v>211</v>
      </c>
      <c r="D268" t="s">
        <v>401</v>
      </c>
      <c r="E268" s="95">
        <v>1560</v>
      </c>
      <c r="F268" s="95">
        <v>0</v>
      </c>
      <c r="H268" s="95">
        <v>0</v>
      </c>
      <c r="I268" s="95">
        <v>0</v>
      </c>
      <c r="J268"/>
    </row>
    <row r="269" spans="1:10" hidden="1" x14ac:dyDescent="0.25">
      <c r="A269">
        <v>17</v>
      </c>
      <c r="B269" s="94">
        <v>45007</v>
      </c>
      <c r="C269" t="s">
        <v>211</v>
      </c>
      <c r="D269" t="s">
        <v>401</v>
      </c>
      <c r="E269" s="95">
        <v>1560</v>
      </c>
      <c r="F269" s="95">
        <v>0</v>
      </c>
      <c r="H269" s="95">
        <v>0</v>
      </c>
      <c r="I269" s="95">
        <v>0</v>
      </c>
      <c r="J269"/>
    </row>
    <row r="270" spans="1:10" hidden="1" x14ac:dyDescent="0.25">
      <c r="A270">
        <v>59</v>
      </c>
      <c r="B270" s="94">
        <v>44992</v>
      </c>
      <c r="C270" t="s">
        <v>211</v>
      </c>
      <c r="D270" t="s">
        <v>393</v>
      </c>
      <c r="E270" s="95">
        <v>1610</v>
      </c>
      <c r="F270" s="95">
        <v>0</v>
      </c>
      <c r="H270" s="95">
        <v>0</v>
      </c>
      <c r="I270" s="95">
        <v>0</v>
      </c>
      <c r="J270"/>
    </row>
    <row r="271" spans="1:10" hidden="1" x14ac:dyDescent="0.25">
      <c r="A271">
        <v>60</v>
      </c>
      <c r="B271" s="94">
        <v>44992</v>
      </c>
      <c r="C271" t="s">
        <v>211</v>
      </c>
      <c r="D271" t="s">
        <v>395</v>
      </c>
      <c r="E271" s="95">
        <v>1670</v>
      </c>
      <c r="F271" s="95">
        <v>0</v>
      </c>
      <c r="H271" s="95">
        <v>0</v>
      </c>
      <c r="I271" s="95">
        <v>0</v>
      </c>
      <c r="J271"/>
    </row>
    <row r="272" spans="1:10" hidden="1" x14ac:dyDescent="0.25">
      <c r="A272">
        <v>25</v>
      </c>
      <c r="B272" s="94">
        <v>45005</v>
      </c>
      <c r="C272" t="s">
        <v>211</v>
      </c>
      <c r="D272" t="s">
        <v>297</v>
      </c>
      <c r="E272" s="95">
        <v>1700</v>
      </c>
      <c r="F272" s="95">
        <v>0</v>
      </c>
      <c r="H272" s="95">
        <v>0</v>
      </c>
      <c r="I272" s="95">
        <v>0</v>
      </c>
      <c r="J272"/>
    </row>
    <row r="273" spans="1:10" hidden="1" x14ac:dyDescent="0.25">
      <c r="A273">
        <v>75</v>
      </c>
      <c r="B273" s="94">
        <v>44987</v>
      </c>
      <c r="C273" t="s">
        <v>211</v>
      </c>
      <c r="D273" t="s">
        <v>268</v>
      </c>
      <c r="E273" s="95">
        <v>1850</v>
      </c>
      <c r="F273" s="95">
        <v>0</v>
      </c>
      <c r="H273" s="95">
        <v>0</v>
      </c>
      <c r="I273" s="95">
        <v>0</v>
      </c>
      <c r="J273"/>
    </row>
    <row r="274" spans="1:10" hidden="1" x14ac:dyDescent="0.25">
      <c r="A274">
        <v>6</v>
      </c>
      <c r="B274" s="94">
        <v>45012</v>
      </c>
      <c r="C274" t="s">
        <v>211</v>
      </c>
      <c r="D274" t="s">
        <v>268</v>
      </c>
      <c r="E274" s="95">
        <v>2040</v>
      </c>
      <c r="F274" s="95">
        <v>0</v>
      </c>
      <c r="H274" s="95">
        <v>0</v>
      </c>
      <c r="I274" s="95">
        <v>0</v>
      </c>
      <c r="J274"/>
    </row>
    <row r="275" spans="1:10" hidden="1" x14ac:dyDescent="0.25">
      <c r="A275">
        <v>7</v>
      </c>
      <c r="B275" s="94">
        <v>45012</v>
      </c>
      <c r="C275" t="s">
        <v>211</v>
      </c>
      <c r="D275" t="s">
        <v>354</v>
      </c>
      <c r="E275" s="95">
        <v>2200</v>
      </c>
      <c r="F275" s="95">
        <v>0</v>
      </c>
      <c r="H275" s="95">
        <v>0</v>
      </c>
      <c r="I275" s="95">
        <v>0</v>
      </c>
      <c r="J275"/>
    </row>
    <row r="276" spans="1:10" hidden="1" x14ac:dyDescent="0.25">
      <c r="A276">
        <v>45</v>
      </c>
      <c r="B276" s="94">
        <v>44995</v>
      </c>
      <c r="C276" t="s">
        <v>211</v>
      </c>
      <c r="D276" t="s">
        <v>393</v>
      </c>
      <c r="E276" s="95">
        <v>2290</v>
      </c>
      <c r="F276" s="95">
        <v>0</v>
      </c>
      <c r="H276" s="95">
        <v>0</v>
      </c>
      <c r="I276" s="95">
        <v>0</v>
      </c>
      <c r="J276"/>
    </row>
    <row r="277" spans="1:10" hidden="1" x14ac:dyDescent="0.25">
      <c r="A277">
        <v>2</v>
      </c>
      <c r="B277" s="94">
        <v>45016</v>
      </c>
      <c r="C277" t="s">
        <v>214</v>
      </c>
      <c r="E277" s="95">
        <v>2354.39</v>
      </c>
      <c r="F277" s="95">
        <v>0</v>
      </c>
      <c r="H277" s="95">
        <v>0</v>
      </c>
      <c r="I277" s="95">
        <v>0</v>
      </c>
      <c r="J277"/>
    </row>
    <row r="278" spans="1:10" hidden="1" x14ac:dyDescent="0.25">
      <c r="A278">
        <v>34</v>
      </c>
      <c r="B278" s="94">
        <v>45002</v>
      </c>
      <c r="C278" t="s">
        <v>211</v>
      </c>
      <c r="D278" t="s">
        <v>389</v>
      </c>
      <c r="E278" s="95">
        <v>2500</v>
      </c>
      <c r="F278" s="95">
        <v>0</v>
      </c>
      <c r="H278" s="95">
        <v>0</v>
      </c>
      <c r="I278" s="95">
        <v>0</v>
      </c>
      <c r="J278"/>
    </row>
    <row r="279" spans="1:10" hidden="1" x14ac:dyDescent="0.25">
      <c r="A279">
        <v>9</v>
      </c>
      <c r="B279" s="94">
        <v>45012</v>
      </c>
      <c r="C279" t="s">
        <v>211</v>
      </c>
      <c r="D279" t="s">
        <v>245</v>
      </c>
      <c r="E279" s="95">
        <v>2630</v>
      </c>
      <c r="F279" s="95">
        <v>0</v>
      </c>
      <c r="H279" s="95">
        <v>0</v>
      </c>
      <c r="I279" s="95">
        <v>0</v>
      </c>
      <c r="J279"/>
    </row>
    <row r="280" spans="1:10" hidden="1" x14ac:dyDescent="0.25">
      <c r="A280">
        <v>16</v>
      </c>
      <c r="B280" s="94">
        <v>45007</v>
      </c>
      <c r="C280" t="s">
        <v>211</v>
      </c>
      <c r="D280" t="s">
        <v>402</v>
      </c>
      <c r="E280" s="95">
        <v>2800</v>
      </c>
      <c r="F280" s="95">
        <v>0</v>
      </c>
      <c r="H280" s="95">
        <v>0</v>
      </c>
      <c r="I280" s="95">
        <v>0</v>
      </c>
      <c r="J280"/>
    </row>
    <row r="281" spans="1:10" hidden="1" x14ac:dyDescent="0.25">
      <c r="A281">
        <v>42</v>
      </c>
      <c r="B281" s="94">
        <v>45000</v>
      </c>
      <c r="C281" t="s">
        <v>211</v>
      </c>
      <c r="D281" t="s">
        <v>278</v>
      </c>
      <c r="E281" s="95">
        <v>2926</v>
      </c>
      <c r="F281" s="95">
        <v>0</v>
      </c>
      <c r="H281" s="95">
        <v>0</v>
      </c>
      <c r="I281" s="95">
        <v>0</v>
      </c>
      <c r="J281"/>
    </row>
    <row r="282" spans="1:10" hidden="1" x14ac:dyDescent="0.25">
      <c r="A282">
        <v>62</v>
      </c>
      <c r="B282" s="94">
        <v>44991</v>
      </c>
      <c r="C282" t="s">
        <v>211</v>
      </c>
      <c r="D282" t="s">
        <v>245</v>
      </c>
      <c r="E282" s="95">
        <v>3044.25</v>
      </c>
      <c r="F282" s="95">
        <v>0</v>
      </c>
      <c r="H282" s="95">
        <v>0</v>
      </c>
      <c r="I282" s="95">
        <v>0</v>
      </c>
      <c r="J282"/>
    </row>
    <row r="283" spans="1:10" hidden="1" x14ac:dyDescent="0.25">
      <c r="A283">
        <v>13</v>
      </c>
      <c r="B283" s="94">
        <v>45008</v>
      </c>
      <c r="C283" t="s">
        <v>211</v>
      </c>
      <c r="D283" t="s">
        <v>393</v>
      </c>
      <c r="E283" s="95">
        <v>3130</v>
      </c>
      <c r="F283" s="95">
        <v>0</v>
      </c>
      <c r="H283" s="95">
        <v>0</v>
      </c>
      <c r="I283" s="95">
        <v>0</v>
      </c>
      <c r="J283"/>
    </row>
    <row r="284" spans="1:10" hidden="1" x14ac:dyDescent="0.25">
      <c r="A284">
        <v>27</v>
      </c>
      <c r="B284" s="94">
        <v>45005</v>
      </c>
      <c r="C284" t="s">
        <v>211</v>
      </c>
      <c r="D284" t="s">
        <v>216</v>
      </c>
      <c r="E284" s="95">
        <v>3263.9</v>
      </c>
      <c r="F284" s="95">
        <v>0</v>
      </c>
      <c r="H284" s="95">
        <v>0</v>
      </c>
      <c r="I284" s="95">
        <v>0</v>
      </c>
      <c r="J284"/>
    </row>
    <row r="285" spans="1:10" hidden="1" x14ac:dyDescent="0.25">
      <c r="A285">
        <v>40</v>
      </c>
      <c r="B285" s="94">
        <v>45000</v>
      </c>
      <c r="C285" t="s">
        <v>211</v>
      </c>
      <c r="D285" t="s">
        <v>399</v>
      </c>
      <c r="E285" s="95">
        <v>3394.07</v>
      </c>
      <c r="F285" s="95">
        <v>0</v>
      </c>
      <c r="H285" s="95">
        <v>0</v>
      </c>
      <c r="I285" s="95">
        <v>0</v>
      </c>
      <c r="J285"/>
    </row>
    <row r="286" spans="1:10" hidden="1" x14ac:dyDescent="0.25">
      <c r="A286">
        <v>79</v>
      </c>
      <c r="B286" s="94">
        <v>44986</v>
      </c>
      <c r="C286" t="s">
        <v>211</v>
      </c>
      <c r="D286" t="s">
        <v>278</v>
      </c>
      <c r="E286" s="95">
        <v>3539</v>
      </c>
      <c r="F286" s="95">
        <v>0</v>
      </c>
      <c r="H286" s="95">
        <v>0</v>
      </c>
      <c r="I286" s="95">
        <v>0</v>
      </c>
      <c r="J286"/>
    </row>
    <row r="287" spans="1:10" hidden="1" x14ac:dyDescent="0.25">
      <c r="A287">
        <v>18</v>
      </c>
      <c r="B287" s="94">
        <v>45006</v>
      </c>
      <c r="C287" t="s">
        <v>211</v>
      </c>
      <c r="D287" t="s">
        <v>402</v>
      </c>
      <c r="E287" s="95">
        <v>4200</v>
      </c>
      <c r="F287" s="95">
        <v>0</v>
      </c>
      <c r="H287" s="95">
        <v>0</v>
      </c>
      <c r="I287" s="95">
        <v>0</v>
      </c>
      <c r="J287"/>
    </row>
    <row r="288" spans="1:10" hidden="1" x14ac:dyDescent="0.25">
      <c r="A288">
        <v>37</v>
      </c>
      <c r="B288" s="94">
        <v>45001</v>
      </c>
      <c r="C288" t="s">
        <v>211</v>
      </c>
      <c r="D288" t="s">
        <v>390</v>
      </c>
      <c r="E288" s="95">
        <v>4500</v>
      </c>
      <c r="F288" s="95">
        <v>0</v>
      </c>
      <c r="H288" s="95">
        <v>0</v>
      </c>
      <c r="I288" s="95">
        <v>0</v>
      </c>
      <c r="J288"/>
    </row>
    <row r="289" spans="1:10" hidden="1" x14ac:dyDescent="0.25">
      <c r="A289">
        <v>31</v>
      </c>
      <c r="B289" s="94">
        <v>45005</v>
      </c>
      <c r="C289" t="s">
        <v>217</v>
      </c>
      <c r="D289" t="s">
        <v>362</v>
      </c>
      <c r="E289" s="95">
        <v>5000</v>
      </c>
      <c r="F289" s="95">
        <v>0</v>
      </c>
      <c r="H289" s="95">
        <v>0</v>
      </c>
      <c r="I289" s="95">
        <v>0</v>
      </c>
      <c r="J289"/>
    </row>
    <row r="290" spans="1:10" hidden="1" x14ac:dyDescent="0.25">
      <c r="A290">
        <v>38</v>
      </c>
      <c r="B290" s="94">
        <v>45001</v>
      </c>
      <c r="C290" t="s">
        <v>211</v>
      </c>
      <c r="D290" t="s">
        <v>268</v>
      </c>
      <c r="E290" s="95">
        <v>5320</v>
      </c>
      <c r="F290" s="95">
        <v>0</v>
      </c>
      <c r="H290" s="95">
        <v>0</v>
      </c>
      <c r="I290" s="95">
        <v>0</v>
      </c>
      <c r="J290"/>
    </row>
    <row r="291" spans="1:10" hidden="1" x14ac:dyDescent="0.25">
      <c r="A291">
        <v>51</v>
      </c>
      <c r="B291" s="94">
        <v>44994</v>
      </c>
      <c r="C291" t="s">
        <v>211</v>
      </c>
      <c r="D291" t="s">
        <v>394</v>
      </c>
      <c r="E291" s="95">
        <v>5500</v>
      </c>
      <c r="F291" s="95">
        <v>0</v>
      </c>
      <c r="H291" s="95">
        <v>0</v>
      </c>
      <c r="I291" s="95">
        <v>0</v>
      </c>
      <c r="J291"/>
    </row>
    <row r="292" spans="1:10" hidden="1" x14ac:dyDescent="0.25">
      <c r="A292">
        <v>19</v>
      </c>
      <c r="B292" s="94">
        <v>45006</v>
      </c>
      <c r="C292" t="s">
        <v>211</v>
      </c>
      <c r="D292" t="s">
        <v>403</v>
      </c>
      <c r="E292" s="95">
        <v>6800</v>
      </c>
      <c r="F292" s="95">
        <v>0</v>
      </c>
      <c r="H292" s="95">
        <v>0</v>
      </c>
      <c r="I292" s="95">
        <v>0</v>
      </c>
      <c r="J292"/>
    </row>
    <row r="293" spans="1:10" hidden="1" x14ac:dyDescent="0.25">
      <c r="A293">
        <v>80</v>
      </c>
      <c r="B293" s="94">
        <v>44986</v>
      </c>
      <c r="C293" t="s">
        <v>217</v>
      </c>
      <c r="D293" t="s">
        <v>411</v>
      </c>
      <c r="E293" s="95">
        <v>7000</v>
      </c>
      <c r="F293" s="95">
        <v>0</v>
      </c>
      <c r="H293" s="95">
        <v>0</v>
      </c>
      <c r="I293" s="95">
        <v>0</v>
      </c>
      <c r="J293"/>
    </row>
    <row r="294" spans="1:10" hidden="1" x14ac:dyDescent="0.25">
      <c r="A294">
        <v>41</v>
      </c>
      <c r="B294" s="94">
        <v>45000</v>
      </c>
      <c r="C294" t="s">
        <v>211</v>
      </c>
      <c r="D294" t="s">
        <v>391</v>
      </c>
      <c r="E294" s="95">
        <v>11800</v>
      </c>
      <c r="F294" s="95">
        <v>0</v>
      </c>
      <c r="H294" s="95">
        <v>0</v>
      </c>
      <c r="I294" s="95">
        <v>0</v>
      </c>
      <c r="J294"/>
    </row>
    <row r="295" spans="1:10" hidden="1" x14ac:dyDescent="0.25">
      <c r="A295">
        <v>30</v>
      </c>
      <c r="B295" s="94">
        <v>45005</v>
      </c>
      <c r="C295" t="s">
        <v>217</v>
      </c>
      <c r="D295" t="s">
        <v>362</v>
      </c>
      <c r="E295" s="95">
        <v>15000</v>
      </c>
      <c r="F295" s="95">
        <v>0</v>
      </c>
      <c r="H295" s="95">
        <v>0</v>
      </c>
      <c r="I295" s="95">
        <v>0</v>
      </c>
      <c r="J295"/>
    </row>
    <row r="296" spans="1:10" hidden="1" x14ac:dyDescent="0.25">
      <c r="A296">
        <v>32</v>
      </c>
      <c r="B296" s="94">
        <v>45005</v>
      </c>
      <c r="C296" t="s">
        <v>217</v>
      </c>
      <c r="D296" t="s">
        <v>413</v>
      </c>
      <c r="E296" s="95">
        <v>15000</v>
      </c>
      <c r="F296" s="95">
        <v>0</v>
      </c>
      <c r="H296" s="95">
        <v>0</v>
      </c>
      <c r="I296" s="95">
        <v>0</v>
      </c>
      <c r="J296"/>
    </row>
    <row r="297" spans="1:10" hidden="1" x14ac:dyDescent="0.25">
      <c r="A297">
        <v>44</v>
      </c>
      <c r="B297" s="94">
        <v>44998</v>
      </c>
      <c r="C297" t="s">
        <v>244</v>
      </c>
      <c r="D297" t="s">
        <v>406</v>
      </c>
      <c r="E297" s="95">
        <v>15000</v>
      </c>
      <c r="F297" s="95">
        <v>0</v>
      </c>
      <c r="H297" s="95">
        <v>0</v>
      </c>
      <c r="I297" s="95">
        <v>0</v>
      </c>
      <c r="J297"/>
    </row>
    <row r="298" spans="1:10" hidden="1" x14ac:dyDescent="0.25">
      <c r="A298">
        <v>69</v>
      </c>
      <c r="B298" s="94">
        <v>44991</v>
      </c>
      <c r="C298" t="s">
        <v>217</v>
      </c>
      <c r="D298" t="s">
        <v>410</v>
      </c>
      <c r="E298" s="95">
        <v>20000</v>
      </c>
      <c r="F298" s="95">
        <v>0</v>
      </c>
      <c r="H298" s="95">
        <v>0</v>
      </c>
      <c r="I298" s="95">
        <v>0</v>
      </c>
      <c r="J298"/>
    </row>
    <row r="299" spans="1:10" hidden="1" x14ac:dyDescent="0.25">
      <c r="A299">
        <v>68</v>
      </c>
      <c r="B299" s="94">
        <v>44991</v>
      </c>
      <c r="C299" t="s">
        <v>217</v>
      </c>
      <c r="D299" t="s">
        <v>241</v>
      </c>
      <c r="E299" s="95">
        <v>38000</v>
      </c>
      <c r="F299" s="95">
        <v>0</v>
      </c>
      <c r="H299" s="95">
        <v>0</v>
      </c>
      <c r="I299" s="95">
        <v>0</v>
      </c>
      <c r="J299"/>
    </row>
    <row r="300" spans="1:10" hidden="1" x14ac:dyDescent="0.25">
      <c r="A300">
        <v>12</v>
      </c>
      <c r="B300" s="94">
        <v>45012</v>
      </c>
      <c r="C300" t="s">
        <v>217</v>
      </c>
      <c r="D300" t="s">
        <v>362</v>
      </c>
      <c r="E300" s="95">
        <v>39000</v>
      </c>
      <c r="F300" s="95">
        <v>0</v>
      </c>
      <c r="H300" s="95">
        <v>0</v>
      </c>
      <c r="I300" s="95">
        <v>0</v>
      </c>
      <c r="J300"/>
    </row>
    <row r="301" spans="1:10" hidden="1" x14ac:dyDescent="0.25">
      <c r="A301">
        <v>78</v>
      </c>
      <c r="B301" s="94">
        <v>44987</v>
      </c>
      <c r="C301" t="s">
        <v>217</v>
      </c>
      <c r="D301" t="s">
        <v>410</v>
      </c>
      <c r="E301" s="95">
        <v>60000</v>
      </c>
      <c r="F301" s="95">
        <v>0</v>
      </c>
      <c r="H301" s="95">
        <v>0</v>
      </c>
      <c r="I301" s="95">
        <v>0</v>
      </c>
      <c r="J301"/>
    </row>
    <row r="302" spans="1:10" hidden="1" x14ac:dyDescent="0.25">
      <c r="A302">
        <v>5</v>
      </c>
      <c r="B302" s="94">
        <v>45014</v>
      </c>
      <c r="C302" t="s">
        <v>217</v>
      </c>
      <c r="D302" t="s">
        <v>412</v>
      </c>
      <c r="E302" s="95">
        <v>110000</v>
      </c>
      <c r="F302" s="95">
        <v>0</v>
      </c>
      <c r="H302" s="95">
        <v>0</v>
      </c>
      <c r="I302" s="95">
        <v>0</v>
      </c>
      <c r="J302"/>
    </row>
    <row r="303" spans="1:10" hidden="1" x14ac:dyDescent="0.25">
      <c r="A303">
        <v>55</v>
      </c>
      <c r="B303" s="94">
        <v>44993</v>
      </c>
      <c r="C303" t="s">
        <v>224</v>
      </c>
      <c r="D303" t="s">
        <v>225</v>
      </c>
      <c r="E303" s="95">
        <v>0</v>
      </c>
      <c r="F303" s="95">
        <v>63386.65</v>
      </c>
      <c r="H303" s="95">
        <v>0</v>
      </c>
      <c r="I303" s="95">
        <v>0</v>
      </c>
      <c r="J303"/>
    </row>
    <row r="304" spans="1:10" hidden="1" x14ac:dyDescent="0.25">
      <c r="A304">
        <v>49</v>
      </c>
      <c r="B304" s="94">
        <v>44995</v>
      </c>
      <c r="C304" t="s">
        <v>222</v>
      </c>
      <c r="D304" t="s">
        <v>223</v>
      </c>
      <c r="E304" s="95">
        <v>0</v>
      </c>
      <c r="F304" s="95">
        <v>210264.08</v>
      </c>
      <c r="H304" s="95">
        <v>0</v>
      </c>
      <c r="I304" s="95">
        <v>0</v>
      </c>
      <c r="J304"/>
    </row>
    <row r="305" spans="1:10" hidden="1" x14ac:dyDescent="0.25">
      <c r="A305">
        <v>33</v>
      </c>
      <c r="B305" s="94">
        <v>45005</v>
      </c>
      <c r="C305" t="s">
        <v>258</v>
      </c>
      <c r="E305" s="95">
        <v>0</v>
      </c>
      <c r="F305" s="95">
        <v>0</v>
      </c>
      <c r="H305" s="95">
        <v>1000000</v>
      </c>
      <c r="I305" s="95">
        <v>0</v>
      </c>
      <c r="J305"/>
    </row>
    <row r="306" spans="1:10" hidden="1" x14ac:dyDescent="0.25">
      <c r="A306">
        <v>53</v>
      </c>
      <c r="B306" s="94">
        <v>44994</v>
      </c>
      <c r="C306" t="s">
        <v>376</v>
      </c>
      <c r="D306" t="s">
        <v>407</v>
      </c>
      <c r="E306" s="95">
        <v>0</v>
      </c>
      <c r="F306" s="95">
        <v>0</v>
      </c>
      <c r="H306" s="95">
        <v>0</v>
      </c>
      <c r="I306" s="95">
        <v>100</v>
      </c>
      <c r="J306"/>
    </row>
    <row r="307" spans="1:10" hidden="1" x14ac:dyDescent="0.25">
      <c r="A307">
        <v>57</v>
      </c>
      <c r="B307" s="94">
        <v>44993</v>
      </c>
      <c r="C307" t="s">
        <v>376</v>
      </c>
      <c r="D307" t="s">
        <v>379</v>
      </c>
      <c r="E307" s="95">
        <v>0</v>
      </c>
      <c r="F307" s="95">
        <v>0</v>
      </c>
      <c r="H307" s="95">
        <v>0</v>
      </c>
      <c r="I307" s="95">
        <v>1000</v>
      </c>
      <c r="J307"/>
    </row>
    <row r="308" spans="1:10" hidden="1" x14ac:dyDescent="0.25">
      <c r="A308">
        <v>76</v>
      </c>
      <c r="B308" s="94">
        <v>44987</v>
      </c>
      <c r="C308" t="s">
        <v>229</v>
      </c>
      <c r="D308" t="s">
        <v>230</v>
      </c>
      <c r="E308" s="95">
        <v>0</v>
      </c>
      <c r="F308" s="95">
        <v>0</v>
      </c>
      <c r="H308" s="95">
        <v>0</v>
      </c>
      <c r="I308" s="95">
        <v>5000</v>
      </c>
      <c r="J308"/>
    </row>
    <row r="309" spans="1:10" hidden="1" x14ac:dyDescent="0.25">
      <c r="A309">
        <v>1</v>
      </c>
      <c r="B309" s="94">
        <v>45016</v>
      </c>
      <c r="C309" t="s">
        <v>229</v>
      </c>
      <c r="D309" t="s">
        <v>230</v>
      </c>
      <c r="E309" s="95">
        <v>0</v>
      </c>
      <c r="F309" s="95">
        <v>0</v>
      </c>
      <c r="H309" s="95">
        <v>0</v>
      </c>
      <c r="I309" s="95">
        <v>10000</v>
      </c>
      <c r="J309"/>
    </row>
    <row r="310" spans="1:10" hidden="1" x14ac:dyDescent="0.25">
      <c r="A310">
        <v>64</v>
      </c>
      <c r="B310" s="94">
        <v>44991</v>
      </c>
      <c r="C310" t="s">
        <v>376</v>
      </c>
      <c r="D310" t="s">
        <v>408</v>
      </c>
      <c r="E310" s="95">
        <v>0</v>
      </c>
      <c r="F310" s="95">
        <v>0</v>
      </c>
      <c r="H310" s="95">
        <v>0</v>
      </c>
      <c r="I310" s="95">
        <v>10000</v>
      </c>
      <c r="J310"/>
    </row>
    <row r="311" spans="1:10" hidden="1" x14ac:dyDescent="0.25">
      <c r="A311">
        <v>65</v>
      </c>
      <c r="B311" s="94">
        <v>44991</v>
      </c>
      <c r="C311" t="s">
        <v>376</v>
      </c>
      <c r="D311" t="s">
        <v>408</v>
      </c>
      <c r="E311" s="95">
        <v>0</v>
      </c>
      <c r="F311" s="95">
        <v>0</v>
      </c>
      <c r="H311" s="95">
        <v>0</v>
      </c>
      <c r="I311" s="95">
        <v>10000</v>
      </c>
      <c r="J311"/>
    </row>
    <row r="312" spans="1:10" hidden="1" x14ac:dyDescent="0.25">
      <c r="A312">
        <v>39</v>
      </c>
      <c r="B312" s="94">
        <v>45001</v>
      </c>
      <c r="C312" t="s">
        <v>376</v>
      </c>
      <c r="D312" t="s">
        <v>379</v>
      </c>
      <c r="E312" s="95">
        <v>0</v>
      </c>
      <c r="F312" s="95">
        <v>0</v>
      </c>
      <c r="H312" s="95">
        <v>0</v>
      </c>
      <c r="I312" s="95">
        <v>20000</v>
      </c>
      <c r="J312"/>
    </row>
    <row r="313" spans="1:10" hidden="1" x14ac:dyDescent="0.25">
      <c r="A313">
        <v>47</v>
      </c>
      <c r="B313" s="94">
        <v>44995</v>
      </c>
      <c r="C313" t="s">
        <v>376</v>
      </c>
      <c r="D313" t="s">
        <v>379</v>
      </c>
      <c r="E313" s="95">
        <v>0</v>
      </c>
      <c r="F313" s="95">
        <v>0</v>
      </c>
      <c r="H313" s="95">
        <v>0</v>
      </c>
      <c r="I313" s="95">
        <v>20000</v>
      </c>
      <c r="J313"/>
    </row>
    <row r="314" spans="1:10" hidden="1" x14ac:dyDescent="0.25">
      <c r="A314">
        <v>52</v>
      </c>
      <c r="B314" s="94">
        <v>44994</v>
      </c>
      <c r="C314" t="s">
        <v>229</v>
      </c>
      <c r="D314" t="s">
        <v>230</v>
      </c>
      <c r="E314" s="95">
        <v>0</v>
      </c>
      <c r="F314" s="95">
        <v>0</v>
      </c>
      <c r="H314" s="95">
        <v>0</v>
      </c>
      <c r="I314" s="95">
        <v>20000</v>
      </c>
      <c r="J314"/>
    </row>
    <row r="315" spans="1:10" hidden="1" x14ac:dyDescent="0.25">
      <c r="A315">
        <v>48</v>
      </c>
      <c r="B315" s="94">
        <v>44995</v>
      </c>
      <c r="C315" t="s">
        <v>376</v>
      </c>
      <c r="D315" t="s">
        <v>379</v>
      </c>
      <c r="E315" s="95">
        <v>0</v>
      </c>
      <c r="F315" s="95">
        <v>0</v>
      </c>
      <c r="H315" s="95">
        <v>0</v>
      </c>
      <c r="I315" s="95">
        <v>30000</v>
      </c>
      <c r="J315"/>
    </row>
    <row r="316" spans="1:10" hidden="1" x14ac:dyDescent="0.25">
      <c r="A316">
        <v>54</v>
      </c>
      <c r="B316" s="94">
        <v>44994</v>
      </c>
      <c r="C316" t="s">
        <v>409</v>
      </c>
      <c r="E316" s="95">
        <v>0</v>
      </c>
      <c r="F316" s="95">
        <v>0</v>
      </c>
      <c r="H316" s="95">
        <v>0</v>
      </c>
      <c r="I316" s="95">
        <v>30000</v>
      </c>
      <c r="J316"/>
    </row>
    <row r="317" spans="1:10" hidden="1" x14ac:dyDescent="0.25">
      <c r="A317" s="99"/>
      <c r="B317" s="98">
        <v>44995</v>
      </c>
      <c r="C317" s="99" t="s">
        <v>280</v>
      </c>
      <c r="D317" s="99"/>
      <c r="E317" s="95">
        <v>0</v>
      </c>
      <c r="F317" s="95">
        <v>0</v>
      </c>
      <c r="G317" s="96">
        <v>20559</v>
      </c>
      <c r="H317" s="95">
        <v>0</v>
      </c>
      <c r="I317" s="95">
        <v>0</v>
      </c>
      <c r="J317"/>
    </row>
    <row r="318" spans="1:10" hidden="1" x14ac:dyDescent="0.25">
      <c r="A318" s="99"/>
      <c r="B318" s="98">
        <v>44995</v>
      </c>
      <c r="C318" s="99" t="s">
        <v>253</v>
      </c>
      <c r="D318" s="99"/>
      <c r="E318" s="95">
        <v>0</v>
      </c>
      <c r="F318" s="95">
        <v>-20559</v>
      </c>
      <c r="H318" s="95">
        <v>0</v>
      </c>
      <c r="I318" s="95">
        <v>0</v>
      </c>
      <c r="J318"/>
    </row>
    <row r="319" spans="1:10" hidden="1" x14ac:dyDescent="0.25">
      <c r="A319">
        <v>2</v>
      </c>
      <c r="B319" s="94">
        <v>45107</v>
      </c>
      <c r="C319" t="s">
        <v>215</v>
      </c>
      <c r="E319" s="95">
        <v>494.42</v>
      </c>
      <c r="F319" s="95">
        <v>0</v>
      </c>
      <c r="H319" s="95">
        <v>0</v>
      </c>
      <c r="I319" s="95">
        <v>0</v>
      </c>
      <c r="J319"/>
    </row>
    <row r="320" spans="1:10" hidden="1" x14ac:dyDescent="0.25">
      <c r="A320">
        <v>12</v>
      </c>
      <c r="B320" s="94">
        <v>45099</v>
      </c>
      <c r="C320" t="s">
        <v>211</v>
      </c>
      <c r="D320" t="s">
        <v>242</v>
      </c>
      <c r="E320" s="95">
        <v>500</v>
      </c>
      <c r="F320" s="95">
        <v>0</v>
      </c>
      <c r="H320" s="95">
        <v>0</v>
      </c>
      <c r="I320" s="95">
        <v>0</v>
      </c>
      <c r="J320"/>
    </row>
    <row r="321" spans="1:10" hidden="1" x14ac:dyDescent="0.25">
      <c r="A321">
        <v>57</v>
      </c>
      <c r="B321" s="94">
        <v>45083</v>
      </c>
      <c r="C321" t="s">
        <v>211</v>
      </c>
      <c r="D321" t="s">
        <v>553</v>
      </c>
      <c r="E321" s="95">
        <v>500</v>
      </c>
      <c r="F321" s="95">
        <v>0</v>
      </c>
      <c r="H321" s="95">
        <v>0</v>
      </c>
      <c r="I321" s="95">
        <v>0</v>
      </c>
      <c r="J321"/>
    </row>
    <row r="322" spans="1:10" hidden="1" x14ac:dyDescent="0.25">
      <c r="A322">
        <v>67</v>
      </c>
      <c r="B322" s="94">
        <v>45082</v>
      </c>
      <c r="C322" t="s">
        <v>211</v>
      </c>
      <c r="D322" t="s">
        <v>350</v>
      </c>
      <c r="E322" s="95">
        <v>530</v>
      </c>
      <c r="F322" s="95">
        <v>0</v>
      </c>
      <c r="H322" s="95">
        <v>0</v>
      </c>
      <c r="I322" s="95">
        <v>0</v>
      </c>
      <c r="J322"/>
    </row>
    <row r="323" spans="1:10" hidden="1" x14ac:dyDescent="0.25">
      <c r="A323">
        <v>0</v>
      </c>
      <c r="B323" s="94">
        <v>45107</v>
      </c>
      <c r="C323" t="s">
        <v>211</v>
      </c>
      <c r="E323" s="95">
        <v>600</v>
      </c>
      <c r="F323" s="95">
        <v>0</v>
      </c>
      <c r="H323" s="95">
        <v>0</v>
      </c>
      <c r="I323" s="95">
        <v>0</v>
      </c>
      <c r="J323"/>
    </row>
    <row r="324" spans="1:10" hidden="1" x14ac:dyDescent="0.25">
      <c r="A324">
        <v>34</v>
      </c>
      <c r="B324" s="94">
        <v>45089</v>
      </c>
      <c r="C324" t="s">
        <v>211</v>
      </c>
      <c r="D324" t="s">
        <v>242</v>
      </c>
      <c r="E324" s="95">
        <v>830</v>
      </c>
      <c r="F324" s="95">
        <v>0</v>
      </c>
      <c r="H324" s="95">
        <v>0</v>
      </c>
      <c r="I324" s="95">
        <v>0</v>
      </c>
      <c r="J324"/>
    </row>
    <row r="325" spans="1:10" hidden="1" x14ac:dyDescent="0.25">
      <c r="A325">
        <v>29</v>
      </c>
      <c r="B325" s="94">
        <v>45090</v>
      </c>
      <c r="C325" t="s">
        <v>211</v>
      </c>
      <c r="D325" t="s">
        <v>242</v>
      </c>
      <c r="E325" s="95">
        <v>900</v>
      </c>
      <c r="F325" s="95">
        <v>0</v>
      </c>
      <c r="H325" s="95">
        <v>0</v>
      </c>
      <c r="I325" s="95">
        <v>0</v>
      </c>
      <c r="J325"/>
    </row>
    <row r="326" spans="1:10" hidden="1" x14ac:dyDescent="0.25">
      <c r="A326">
        <v>15</v>
      </c>
      <c r="B326" s="94">
        <v>45098</v>
      </c>
      <c r="C326" t="s">
        <v>211</v>
      </c>
      <c r="D326" t="s">
        <v>268</v>
      </c>
      <c r="E326" s="95">
        <v>1000</v>
      </c>
      <c r="F326" s="95">
        <v>0</v>
      </c>
      <c r="H326" s="95">
        <v>0</v>
      </c>
      <c r="I326" s="95">
        <v>0</v>
      </c>
      <c r="J326"/>
    </row>
    <row r="327" spans="1:10" hidden="1" x14ac:dyDescent="0.25">
      <c r="A327">
        <v>43</v>
      </c>
      <c r="B327" s="94">
        <v>45084</v>
      </c>
      <c r="C327" t="s">
        <v>211</v>
      </c>
      <c r="D327" t="s">
        <v>212</v>
      </c>
      <c r="E327" s="95">
        <v>1010</v>
      </c>
      <c r="F327" s="95">
        <v>0</v>
      </c>
      <c r="H327" s="95">
        <v>0</v>
      </c>
      <c r="I327" s="95">
        <v>0</v>
      </c>
      <c r="J327"/>
    </row>
    <row r="328" spans="1:10" hidden="1" x14ac:dyDescent="0.25">
      <c r="A328">
        <v>19</v>
      </c>
      <c r="B328" s="94">
        <v>45093</v>
      </c>
      <c r="C328" t="s">
        <v>211</v>
      </c>
      <c r="D328" t="s">
        <v>242</v>
      </c>
      <c r="E328" s="95">
        <v>1050</v>
      </c>
      <c r="F328" s="95">
        <v>0</v>
      </c>
      <c r="H328" s="95">
        <v>0</v>
      </c>
      <c r="I328" s="95">
        <v>0</v>
      </c>
      <c r="J328"/>
    </row>
    <row r="329" spans="1:10" hidden="1" x14ac:dyDescent="0.25">
      <c r="A329">
        <v>25</v>
      </c>
      <c r="B329" s="94">
        <v>45090</v>
      </c>
      <c r="C329" t="s">
        <v>211</v>
      </c>
      <c r="D329" t="s">
        <v>398</v>
      </c>
      <c r="E329" s="95">
        <v>1190</v>
      </c>
      <c r="F329" s="95">
        <v>0</v>
      </c>
      <c r="H329" s="95">
        <v>0</v>
      </c>
      <c r="I329" s="95">
        <v>0</v>
      </c>
      <c r="J329"/>
    </row>
    <row r="330" spans="1:10" hidden="1" x14ac:dyDescent="0.25">
      <c r="A330">
        <v>7</v>
      </c>
      <c r="B330" s="94">
        <v>45103</v>
      </c>
      <c r="C330" t="s">
        <v>211</v>
      </c>
      <c r="D330" t="s">
        <v>242</v>
      </c>
      <c r="E330" s="95">
        <v>1345</v>
      </c>
      <c r="F330" s="95">
        <v>0</v>
      </c>
      <c r="H330" s="95">
        <v>0</v>
      </c>
      <c r="I330" s="95">
        <v>0</v>
      </c>
      <c r="J330"/>
    </row>
    <row r="331" spans="1:10" hidden="1" x14ac:dyDescent="0.25">
      <c r="A331">
        <v>37</v>
      </c>
      <c r="B331" s="94">
        <v>45089</v>
      </c>
      <c r="C331" t="s">
        <v>211</v>
      </c>
      <c r="D331" t="s">
        <v>269</v>
      </c>
      <c r="E331" s="95">
        <v>1480</v>
      </c>
      <c r="F331" s="95">
        <v>0</v>
      </c>
      <c r="H331" s="95">
        <v>0</v>
      </c>
      <c r="I331" s="95">
        <v>0</v>
      </c>
      <c r="J331"/>
    </row>
    <row r="332" spans="1:10" hidden="1" x14ac:dyDescent="0.25">
      <c r="A332">
        <v>68</v>
      </c>
      <c r="B332" s="94">
        <v>45082</v>
      </c>
      <c r="C332" t="s">
        <v>211</v>
      </c>
      <c r="D332" t="s">
        <v>269</v>
      </c>
      <c r="E332" s="95">
        <v>1480</v>
      </c>
      <c r="F332" s="95">
        <v>0</v>
      </c>
      <c r="H332" s="95">
        <v>0</v>
      </c>
      <c r="I332" s="95">
        <v>0</v>
      </c>
      <c r="J332"/>
    </row>
    <row r="333" spans="1:10" hidden="1" x14ac:dyDescent="0.25">
      <c r="A333">
        <v>33</v>
      </c>
      <c r="B333" s="94">
        <v>45089</v>
      </c>
      <c r="C333" t="s">
        <v>211</v>
      </c>
      <c r="D333" t="s">
        <v>549</v>
      </c>
      <c r="E333" s="95">
        <v>1500</v>
      </c>
      <c r="F333" s="95">
        <v>0</v>
      </c>
      <c r="H333" s="95">
        <v>0</v>
      </c>
      <c r="I333" s="95">
        <v>0</v>
      </c>
      <c r="J333"/>
    </row>
    <row r="334" spans="1:10" hidden="1" x14ac:dyDescent="0.25">
      <c r="A334">
        <v>17</v>
      </c>
      <c r="B334" s="94">
        <v>45098</v>
      </c>
      <c r="C334" t="s">
        <v>211</v>
      </c>
      <c r="D334" t="s">
        <v>242</v>
      </c>
      <c r="E334" s="95">
        <v>1530</v>
      </c>
      <c r="F334" s="95">
        <v>0</v>
      </c>
      <c r="H334" s="95">
        <v>0</v>
      </c>
      <c r="I334" s="95">
        <v>0</v>
      </c>
      <c r="J334"/>
    </row>
    <row r="335" spans="1:10" hidden="1" x14ac:dyDescent="0.25">
      <c r="A335">
        <v>32</v>
      </c>
      <c r="B335" s="94">
        <v>45089</v>
      </c>
      <c r="C335" t="s">
        <v>211</v>
      </c>
      <c r="D335" t="s">
        <v>548</v>
      </c>
      <c r="E335" s="95">
        <v>1590</v>
      </c>
      <c r="F335" s="95">
        <v>0</v>
      </c>
      <c r="H335" s="95">
        <v>0</v>
      </c>
      <c r="I335" s="95">
        <v>0</v>
      </c>
      <c r="J335"/>
    </row>
    <row r="336" spans="1:10" hidden="1" x14ac:dyDescent="0.25">
      <c r="A336">
        <v>6</v>
      </c>
      <c r="B336" s="94">
        <v>45103</v>
      </c>
      <c r="C336" t="s">
        <v>211</v>
      </c>
      <c r="D336" t="s">
        <v>298</v>
      </c>
      <c r="E336" s="95">
        <v>1612</v>
      </c>
      <c r="F336" s="95">
        <v>0</v>
      </c>
      <c r="H336" s="95">
        <v>0</v>
      </c>
      <c r="I336" s="95">
        <v>0</v>
      </c>
      <c r="J336"/>
    </row>
    <row r="337" spans="1:10" hidden="1" x14ac:dyDescent="0.25">
      <c r="A337">
        <v>26</v>
      </c>
      <c r="B337" s="94">
        <v>45090</v>
      </c>
      <c r="C337" t="s">
        <v>211</v>
      </c>
      <c r="D337" t="s">
        <v>297</v>
      </c>
      <c r="E337" s="95">
        <v>1700</v>
      </c>
      <c r="F337" s="95">
        <v>0</v>
      </c>
      <c r="H337" s="95">
        <v>0</v>
      </c>
      <c r="I337" s="95">
        <v>0</v>
      </c>
      <c r="J337"/>
    </row>
    <row r="338" spans="1:10" hidden="1" x14ac:dyDescent="0.25">
      <c r="A338">
        <v>42</v>
      </c>
      <c r="B338" s="94">
        <v>45084</v>
      </c>
      <c r="C338" t="s">
        <v>211</v>
      </c>
      <c r="D338" t="s">
        <v>552</v>
      </c>
      <c r="E338" s="95">
        <v>1800</v>
      </c>
      <c r="F338" s="95">
        <v>0</v>
      </c>
      <c r="H338" s="95">
        <v>0</v>
      </c>
      <c r="I338" s="95">
        <v>0</v>
      </c>
      <c r="J338"/>
    </row>
    <row r="339" spans="1:10" hidden="1" x14ac:dyDescent="0.25">
      <c r="A339">
        <v>22</v>
      </c>
      <c r="B339" s="94">
        <v>45091</v>
      </c>
      <c r="C339" t="s">
        <v>211</v>
      </c>
      <c r="D339" t="s">
        <v>464</v>
      </c>
      <c r="E339" s="95">
        <v>1850</v>
      </c>
      <c r="F339" s="95">
        <v>0</v>
      </c>
      <c r="H339" s="95">
        <v>0</v>
      </c>
      <c r="I339" s="95">
        <v>0</v>
      </c>
      <c r="J339"/>
    </row>
    <row r="340" spans="1:10" hidden="1" x14ac:dyDescent="0.25">
      <c r="A340">
        <v>44</v>
      </c>
      <c r="B340" s="94">
        <v>45084</v>
      </c>
      <c r="C340" t="s">
        <v>211</v>
      </c>
      <c r="D340" t="s">
        <v>216</v>
      </c>
      <c r="E340" s="95">
        <v>2339.17</v>
      </c>
      <c r="F340" s="95">
        <v>0</v>
      </c>
      <c r="H340" s="95">
        <v>0</v>
      </c>
      <c r="I340" s="95">
        <v>0</v>
      </c>
      <c r="J340"/>
    </row>
    <row r="341" spans="1:10" hidden="1" x14ac:dyDescent="0.25">
      <c r="A341">
        <v>1</v>
      </c>
      <c r="B341" s="94">
        <v>45107</v>
      </c>
      <c r="C341" t="s">
        <v>214</v>
      </c>
      <c r="E341" s="95">
        <v>2354.39</v>
      </c>
      <c r="F341" s="95">
        <v>0</v>
      </c>
      <c r="H341" s="95">
        <v>0</v>
      </c>
      <c r="I341" s="95">
        <v>0</v>
      </c>
      <c r="J341"/>
    </row>
    <row r="342" spans="1:10" hidden="1" x14ac:dyDescent="0.25">
      <c r="A342">
        <v>39</v>
      </c>
      <c r="B342" s="94">
        <v>45086</v>
      </c>
      <c r="C342" t="s">
        <v>211</v>
      </c>
      <c r="D342" t="s">
        <v>551</v>
      </c>
      <c r="E342" s="95">
        <v>2450</v>
      </c>
      <c r="F342" s="95">
        <v>0</v>
      </c>
      <c r="H342" s="95">
        <v>0</v>
      </c>
      <c r="I342" s="95">
        <v>0</v>
      </c>
      <c r="J342"/>
    </row>
    <row r="343" spans="1:10" hidden="1" x14ac:dyDescent="0.25">
      <c r="A343">
        <v>27</v>
      </c>
      <c r="B343" s="94">
        <v>45090</v>
      </c>
      <c r="C343" t="s">
        <v>211</v>
      </c>
      <c r="D343" t="s">
        <v>547</v>
      </c>
      <c r="E343" s="95">
        <v>2780</v>
      </c>
      <c r="F343" s="95">
        <v>0</v>
      </c>
      <c r="H343" s="95">
        <v>0</v>
      </c>
      <c r="I343" s="95">
        <v>0</v>
      </c>
      <c r="J343"/>
    </row>
    <row r="344" spans="1:10" hidden="1" x14ac:dyDescent="0.25">
      <c r="A344">
        <v>71</v>
      </c>
      <c r="B344" s="94">
        <v>45078</v>
      </c>
      <c r="C344" t="s">
        <v>217</v>
      </c>
      <c r="D344" t="s">
        <v>485</v>
      </c>
      <c r="E344" s="95">
        <v>3000</v>
      </c>
      <c r="F344" s="95">
        <v>0</v>
      </c>
      <c r="H344" s="95">
        <v>0</v>
      </c>
      <c r="I344" s="95">
        <v>0</v>
      </c>
      <c r="J344"/>
    </row>
    <row r="345" spans="1:10" hidden="1" x14ac:dyDescent="0.25">
      <c r="A345">
        <v>14</v>
      </c>
      <c r="B345" s="94">
        <v>45099</v>
      </c>
      <c r="C345" t="s">
        <v>211</v>
      </c>
      <c r="D345" t="s">
        <v>474</v>
      </c>
      <c r="E345" s="95">
        <v>3260</v>
      </c>
      <c r="F345" s="95">
        <v>0</v>
      </c>
      <c r="H345" s="95">
        <v>0</v>
      </c>
      <c r="I345" s="95">
        <v>0</v>
      </c>
      <c r="J345"/>
    </row>
    <row r="346" spans="1:10" hidden="1" x14ac:dyDescent="0.25">
      <c r="A346">
        <v>36</v>
      </c>
      <c r="B346" s="94">
        <v>45089</v>
      </c>
      <c r="C346" t="s">
        <v>211</v>
      </c>
      <c r="D346" t="s">
        <v>268</v>
      </c>
      <c r="E346" s="95">
        <v>3780</v>
      </c>
      <c r="F346" s="95">
        <v>0</v>
      </c>
      <c r="H346" s="95">
        <v>0</v>
      </c>
      <c r="I346" s="95">
        <v>0</v>
      </c>
      <c r="J346"/>
    </row>
    <row r="347" spans="1:10" hidden="1" x14ac:dyDescent="0.25">
      <c r="A347">
        <v>18</v>
      </c>
      <c r="B347" s="94">
        <v>45093</v>
      </c>
      <c r="C347" t="s">
        <v>211</v>
      </c>
      <c r="D347" t="s">
        <v>554</v>
      </c>
      <c r="E347" s="95">
        <v>3800</v>
      </c>
      <c r="F347" s="95">
        <v>0</v>
      </c>
      <c r="H347" s="95">
        <v>0</v>
      </c>
      <c r="I347" s="95">
        <v>0</v>
      </c>
      <c r="J347"/>
    </row>
    <row r="348" spans="1:10" hidden="1" x14ac:dyDescent="0.25">
      <c r="A348">
        <v>3</v>
      </c>
      <c r="B348" s="94">
        <v>45106</v>
      </c>
      <c r="C348" t="s">
        <v>211</v>
      </c>
      <c r="D348" t="s">
        <v>216</v>
      </c>
      <c r="E348" s="95">
        <v>4309.5</v>
      </c>
      <c r="F348" s="95">
        <v>0</v>
      </c>
      <c r="H348" s="95">
        <v>0</v>
      </c>
      <c r="I348" s="95">
        <v>0</v>
      </c>
      <c r="J348"/>
    </row>
    <row r="349" spans="1:10" hidden="1" x14ac:dyDescent="0.25">
      <c r="A349">
        <v>35</v>
      </c>
      <c r="B349" s="94">
        <v>45089</v>
      </c>
      <c r="C349" t="s">
        <v>211</v>
      </c>
      <c r="D349" t="s">
        <v>550</v>
      </c>
      <c r="E349" s="95">
        <v>4734</v>
      </c>
      <c r="F349" s="95">
        <v>0</v>
      </c>
      <c r="H349" s="95">
        <v>0</v>
      </c>
      <c r="I349" s="95">
        <v>0</v>
      </c>
      <c r="J349"/>
    </row>
    <row r="350" spans="1:10" hidden="1" x14ac:dyDescent="0.25">
      <c r="A350">
        <v>13</v>
      </c>
      <c r="B350" s="94">
        <v>45099</v>
      </c>
      <c r="C350" t="s">
        <v>211</v>
      </c>
      <c r="D350" t="s">
        <v>278</v>
      </c>
      <c r="E350" s="95">
        <v>5193.03</v>
      </c>
      <c r="F350" s="95">
        <v>0</v>
      </c>
      <c r="H350" s="95">
        <v>0</v>
      </c>
      <c r="I350" s="95">
        <v>0</v>
      </c>
      <c r="J350"/>
    </row>
    <row r="351" spans="1:10" hidden="1" x14ac:dyDescent="0.25">
      <c r="A351">
        <v>28</v>
      </c>
      <c r="B351" s="94">
        <v>45090</v>
      </c>
      <c r="C351" t="s">
        <v>211</v>
      </c>
      <c r="D351" t="s">
        <v>278</v>
      </c>
      <c r="E351" s="95">
        <v>5654.96</v>
      </c>
      <c r="F351" s="95">
        <v>0</v>
      </c>
      <c r="H351" s="95">
        <v>0</v>
      </c>
      <c r="I351" s="95">
        <v>0</v>
      </c>
      <c r="J351"/>
    </row>
    <row r="352" spans="1:10" hidden="1" x14ac:dyDescent="0.25">
      <c r="A352">
        <v>60</v>
      </c>
      <c r="B352" s="94">
        <v>45083</v>
      </c>
      <c r="C352" t="s">
        <v>217</v>
      </c>
      <c r="D352" t="s">
        <v>486</v>
      </c>
      <c r="E352" s="95">
        <v>7000</v>
      </c>
      <c r="F352" s="95">
        <v>0</v>
      </c>
      <c r="H352" s="95">
        <v>0</v>
      </c>
      <c r="I352" s="95">
        <v>0</v>
      </c>
      <c r="J352"/>
    </row>
    <row r="353" spans="1:10" hidden="1" x14ac:dyDescent="0.25">
      <c r="A353">
        <v>45</v>
      </c>
      <c r="B353" s="94">
        <v>45084</v>
      </c>
      <c r="C353" t="s">
        <v>217</v>
      </c>
      <c r="D353" t="s">
        <v>567</v>
      </c>
      <c r="E353" s="95">
        <v>7756.31</v>
      </c>
      <c r="F353" s="95">
        <v>0</v>
      </c>
      <c r="H353" s="95">
        <v>0</v>
      </c>
      <c r="I353" s="95">
        <v>0</v>
      </c>
      <c r="J353"/>
    </row>
    <row r="354" spans="1:10" hidden="1" x14ac:dyDescent="0.25">
      <c r="A354">
        <v>16</v>
      </c>
      <c r="B354" s="94">
        <v>45098</v>
      </c>
      <c r="C354" t="s">
        <v>211</v>
      </c>
      <c r="D354" t="s">
        <v>547</v>
      </c>
      <c r="E354" s="95">
        <v>8760</v>
      </c>
      <c r="F354" s="95">
        <v>0</v>
      </c>
      <c r="H354" s="95">
        <v>0</v>
      </c>
      <c r="I354" s="95">
        <v>0</v>
      </c>
      <c r="J354"/>
    </row>
    <row r="355" spans="1:10" hidden="1" x14ac:dyDescent="0.25">
      <c r="A355">
        <v>20</v>
      </c>
      <c r="B355" s="94">
        <v>45093</v>
      </c>
      <c r="C355" t="s">
        <v>217</v>
      </c>
      <c r="D355" t="s">
        <v>241</v>
      </c>
      <c r="E355" s="95">
        <v>10000</v>
      </c>
      <c r="F355" s="95">
        <v>0</v>
      </c>
      <c r="H355" s="95">
        <v>0</v>
      </c>
      <c r="I355" s="95">
        <v>0</v>
      </c>
      <c r="J355"/>
    </row>
    <row r="356" spans="1:10" hidden="1" x14ac:dyDescent="0.25">
      <c r="A356">
        <v>24</v>
      </c>
      <c r="B356" s="94">
        <v>45091</v>
      </c>
      <c r="C356" t="s">
        <v>215</v>
      </c>
      <c r="E356" s="95">
        <v>18437.419999999998</v>
      </c>
      <c r="F356" s="95">
        <v>0</v>
      </c>
      <c r="H356" s="95">
        <v>0</v>
      </c>
      <c r="I356" s="95">
        <v>0</v>
      </c>
      <c r="J356"/>
    </row>
    <row r="357" spans="1:10" hidden="1" x14ac:dyDescent="0.25">
      <c r="A357">
        <v>23</v>
      </c>
      <c r="B357" s="94">
        <v>45091</v>
      </c>
      <c r="C357" t="s">
        <v>555</v>
      </c>
      <c r="E357" s="95">
        <v>87797.25</v>
      </c>
      <c r="F357" s="95">
        <v>0</v>
      </c>
      <c r="H357" s="95">
        <v>0</v>
      </c>
      <c r="I357" s="95">
        <v>0</v>
      </c>
      <c r="J357"/>
    </row>
    <row r="358" spans="1:10" hidden="1" x14ac:dyDescent="0.25">
      <c r="A358">
        <v>58</v>
      </c>
      <c r="B358" s="94">
        <v>45083</v>
      </c>
      <c r="C358" t="s">
        <v>435</v>
      </c>
      <c r="D358" t="s">
        <v>477</v>
      </c>
      <c r="E358" s="95">
        <v>0</v>
      </c>
      <c r="F358" s="95">
        <v>296181.01</v>
      </c>
      <c r="H358" s="95">
        <v>0</v>
      </c>
      <c r="I358" s="95">
        <v>0</v>
      </c>
      <c r="J358"/>
    </row>
    <row r="359" spans="1:10" hidden="1" x14ac:dyDescent="0.25">
      <c r="A359">
        <v>56</v>
      </c>
      <c r="B359" s="94">
        <v>45083</v>
      </c>
      <c r="C359" t="s">
        <v>224</v>
      </c>
      <c r="D359" t="s">
        <v>225</v>
      </c>
      <c r="E359" s="95">
        <v>0</v>
      </c>
      <c r="F359" s="95">
        <v>84741.32</v>
      </c>
      <c r="H359" s="95">
        <v>0</v>
      </c>
      <c r="I359" s="95">
        <v>0</v>
      </c>
      <c r="J359"/>
    </row>
    <row r="360" spans="1:10" hidden="1" x14ac:dyDescent="0.25">
      <c r="A360">
        <v>54</v>
      </c>
      <c r="B360" s="94">
        <v>45084</v>
      </c>
      <c r="C360" t="s">
        <v>479</v>
      </c>
      <c r="E360" s="95">
        <v>0</v>
      </c>
      <c r="F360" s="95">
        <v>0</v>
      </c>
      <c r="H360" s="95">
        <v>15210</v>
      </c>
      <c r="I360" s="95">
        <v>0</v>
      </c>
      <c r="J360"/>
    </row>
    <row r="361" spans="1:10" hidden="1" x14ac:dyDescent="0.25">
      <c r="A361">
        <v>55</v>
      </c>
      <c r="B361" s="94">
        <v>45084</v>
      </c>
      <c r="C361" t="s">
        <v>480</v>
      </c>
      <c r="E361" s="95">
        <v>0</v>
      </c>
      <c r="F361" s="95">
        <v>0</v>
      </c>
      <c r="H361" s="95">
        <v>17745</v>
      </c>
      <c r="I361" s="95">
        <v>0</v>
      </c>
      <c r="J361"/>
    </row>
    <row r="362" spans="1:10" hidden="1" x14ac:dyDescent="0.25">
      <c r="A362">
        <v>46</v>
      </c>
      <c r="B362" s="94">
        <v>45084</v>
      </c>
      <c r="C362" t="s">
        <v>478</v>
      </c>
      <c r="E362" s="95">
        <v>0</v>
      </c>
      <c r="F362" s="95">
        <v>0</v>
      </c>
      <c r="H362" s="95">
        <v>50700</v>
      </c>
      <c r="I362" s="95">
        <v>0</v>
      </c>
      <c r="J362"/>
    </row>
    <row r="363" spans="1:10" hidden="1" x14ac:dyDescent="0.25">
      <c r="A363">
        <v>4</v>
      </c>
      <c r="B363" s="94">
        <v>45104</v>
      </c>
      <c r="C363" t="s">
        <v>376</v>
      </c>
      <c r="D363" t="s">
        <v>379</v>
      </c>
      <c r="E363" s="95">
        <v>0</v>
      </c>
      <c r="F363" s="95">
        <v>0</v>
      </c>
      <c r="I363" s="95">
        <v>1000</v>
      </c>
      <c r="J363"/>
    </row>
    <row r="364" spans="1:10" hidden="1" x14ac:dyDescent="0.25">
      <c r="A364">
        <v>38</v>
      </c>
      <c r="B364" s="94">
        <v>45089</v>
      </c>
      <c r="C364" t="s">
        <v>376</v>
      </c>
      <c r="D364" t="s">
        <v>379</v>
      </c>
      <c r="E364" s="95">
        <v>0</v>
      </c>
      <c r="F364" s="95">
        <v>0</v>
      </c>
      <c r="I364" s="95">
        <v>1000</v>
      </c>
      <c r="J364"/>
    </row>
    <row r="365" spans="1:10" hidden="1" x14ac:dyDescent="0.25">
      <c r="A365">
        <v>5</v>
      </c>
      <c r="B365" s="94">
        <v>45104</v>
      </c>
      <c r="C365" t="s">
        <v>376</v>
      </c>
      <c r="D365" t="s">
        <v>379</v>
      </c>
      <c r="E365" s="95">
        <v>0</v>
      </c>
      <c r="F365" s="95">
        <v>0</v>
      </c>
      <c r="I365" s="95">
        <v>5000</v>
      </c>
      <c r="J365"/>
    </row>
    <row r="366" spans="1:10" hidden="1" x14ac:dyDescent="0.25">
      <c r="A366">
        <v>9</v>
      </c>
      <c r="B366" s="94">
        <v>45100</v>
      </c>
      <c r="C366" t="s">
        <v>376</v>
      </c>
      <c r="D366" t="s">
        <v>379</v>
      </c>
      <c r="E366" s="95">
        <v>0</v>
      </c>
      <c r="F366" s="95">
        <v>0</v>
      </c>
      <c r="I366" s="95">
        <v>5000</v>
      </c>
      <c r="J366"/>
    </row>
    <row r="367" spans="1:10" hidden="1" x14ac:dyDescent="0.25">
      <c r="A367">
        <v>10</v>
      </c>
      <c r="B367" s="94">
        <v>45100</v>
      </c>
      <c r="C367" t="s">
        <v>376</v>
      </c>
      <c r="D367" t="s">
        <v>379</v>
      </c>
      <c r="E367" s="95">
        <v>0</v>
      </c>
      <c r="F367" s="95">
        <v>0</v>
      </c>
      <c r="I367" s="95">
        <v>5000</v>
      </c>
      <c r="J367"/>
    </row>
    <row r="368" spans="1:10" hidden="1" x14ac:dyDescent="0.25">
      <c r="A368">
        <v>30</v>
      </c>
      <c r="B368" s="94">
        <v>45090</v>
      </c>
      <c r="C368" t="s">
        <v>229</v>
      </c>
      <c r="D368" t="s">
        <v>230</v>
      </c>
      <c r="E368" s="95">
        <v>0</v>
      </c>
      <c r="F368" s="95">
        <v>0</v>
      </c>
      <c r="I368" s="95">
        <v>5000</v>
      </c>
      <c r="J368"/>
    </row>
    <row r="369" spans="1:10" hidden="1" x14ac:dyDescent="0.25">
      <c r="A369">
        <v>70</v>
      </c>
      <c r="B369" s="94">
        <v>45078</v>
      </c>
      <c r="C369" t="s">
        <v>376</v>
      </c>
      <c r="D369" t="s">
        <v>379</v>
      </c>
      <c r="E369" s="95">
        <v>0</v>
      </c>
      <c r="F369" s="95">
        <v>0</v>
      </c>
      <c r="I369" s="95">
        <v>5000</v>
      </c>
      <c r="J369"/>
    </row>
    <row r="370" spans="1:10" hidden="1" x14ac:dyDescent="0.25">
      <c r="A370">
        <v>11</v>
      </c>
      <c r="B370" s="94">
        <v>45100</v>
      </c>
      <c r="C370" t="s">
        <v>376</v>
      </c>
      <c r="D370" t="s">
        <v>379</v>
      </c>
      <c r="E370" s="95">
        <v>0</v>
      </c>
      <c r="I370" s="95">
        <v>10000</v>
      </c>
      <c r="J370"/>
    </row>
    <row r="371" spans="1:10" hidden="1" x14ac:dyDescent="0.25">
      <c r="A371">
        <v>21</v>
      </c>
      <c r="B371" s="94">
        <v>45092</v>
      </c>
      <c r="C371" t="s">
        <v>376</v>
      </c>
      <c r="D371" t="s">
        <v>379</v>
      </c>
      <c r="E371" s="95">
        <v>0</v>
      </c>
      <c r="I371" s="95">
        <v>10000</v>
      </c>
      <c r="J371"/>
    </row>
    <row r="372" spans="1:10" hidden="1" x14ac:dyDescent="0.25">
      <c r="A372">
        <v>41</v>
      </c>
      <c r="B372" s="94">
        <v>45085</v>
      </c>
      <c r="C372" t="s">
        <v>376</v>
      </c>
      <c r="D372" t="s">
        <v>379</v>
      </c>
      <c r="E372" s="95">
        <v>0</v>
      </c>
      <c r="I372" s="95">
        <v>10000</v>
      </c>
      <c r="J372"/>
    </row>
    <row r="373" spans="1:10" hidden="1" x14ac:dyDescent="0.25">
      <c r="A373">
        <v>8</v>
      </c>
      <c r="B373" s="94">
        <v>45100</v>
      </c>
      <c r="C373" t="s">
        <v>229</v>
      </c>
      <c r="D373" t="s">
        <v>230</v>
      </c>
      <c r="E373" s="95">
        <v>0</v>
      </c>
      <c r="I373" s="95">
        <v>12000</v>
      </c>
      <c r="J373"/>
    </row>
    <row r="374" spans="1:10" hidden="1" x14ac:dyDescent="0.25">
      <c r="A374">
        <v>31</v>
      </c>
      <c r="B374" s="94">
        <v>45090</v>
      </c>
      <c r="C374" t="s">
        <v>229</v>
      </c>
      <c r="D374" t="s">
        <v>230</v>
      </c>
      <c r="E374" s="95">
        <v>0</v>
      </c>
      <c r="I374" s="95">
        <v>12000</v>
      </c>
      <c r="J374"/>
    </row>
    <row r="375" spans="1:10" hidden="1" x14ac:dyDescent="0.25">
      <c r="A375" s="99">
        <v>900</v>
      </c>
      <c r="B375" s="98">
        <v>45107</v>
      </c>
      <c r="C375" s="99" t="s">
        <v>456</v>
      </c>
      <c r="D375" s="99" t="s">
        <v>457</v>
      </c>
      <c r="E375" s="95">
        <v>0</v>
      </c>
      <c r="F375" s="96">
        <v>-23299</v>
      </c>
      <c r="J375"/>
    </row>
    <row r="376" spans="1:10" hidden="1" x14ac:dyDescent="0.25">
      <c r="B376" s="94"/>
      <c r="J376"/>
    </row>
    <row r="377" spans="1:10" hidden="1" x14ac:dyDescent="0.25">
      <c r="B377" s="94"/>
      <c r="J377"/>
    </row>
    <row r="378" spans="1:10" hidden="1" x14ac:dyDescent="0.25">
      <c r="B378" s="94"/>
      <c r="J378"/>
    </row>
    <row r="379" spans="1:10" hidden="1" x14ac:dyDescent="0.25">
      <c r="B379" s="94"/>
      <c r="J379"/>
    </row>
    <row r="380" spans="1:10" hidden="1" x14ac:dyDescent="0.25">
      <c r="B380" s="94"/>
      <c r="J380"/>
    </row>
    <row r="381" spans="1:10" hidden="1" x14ac:dyDescent="0.25">
      <c r="B381" s="94"/>
      <c r="J381"/>
    </row>
    <row r="382" spans="1:10" hidden="1" x14ac:dyDescent="0.25">
      <c r="B382" s="94"/>
      <c r="J382"/>
    </row>
    <row r="383" spans="1:10" hidden="1" x14ac:dyDescent="0.25">
      <c r="B383" s="94"/>
      <c r="J383"/>
    </row>
    <row r="384" spans="1:10" hidden="1" x14ac:dyDescent="0.25">
      <c r="B384" s="94"/>
      <c r="J384"/>
    </row>
    <row r="385" spans="1:10" hidden="1" x14ac:dyDescent="0.25">
      <c r="B385" s="94"/>
      <c r="J385"/>
    </row>
    <row r="386" spans="1:10" hidden="1" x14ac:dyDescent="0.25">
      <c r="B386" s="94"/>
      <c r="J386"/>
    </row>
    <row r="387" spans="1:10" hidden="1" x14ac:dyDescent="0.25">
      <c r="B387" s="94"/>
      <c r="J387"/>
    </row>
    <row r="388" spans="1:10" hidden="1" x14ac:dyDescent="0.25">
      <c r="B388" s="94"/>
      <c r="J388"/>
    </row>
    <row r="389" spans="1:10" hidden="1" x14ac:dyDescent="0.25">
      <c r="B389" s="94"/>
      <c r="J389"/>
    </row>
    <row r="390" spans="1:10" hidden="1" x14ac:dyDescent="0.25">
      <c r="B390" s="94"/>
      <c r="J390"/>
    </row>
    <row r="391" spans="1:10" hidden="1" x14ac:dyDescent="0.25">
      <c r="B391" s="94"/>
      <c r="J391"/>
    </row>
    <row r="392" spans="1:10" x14ac:dyDescent="0.25">
      <c r="A392">
        <v>41</v>
      </c>
      <c r="B392" s="94">
        <v>45121</v>
      </c>
      <c r="C392" t="s">
        <v>211</v>
      </c>
      <c r="D392" t="s">
        <v>286</v>
      </c>
      <c r="E392" s="95">
        <v>251.03</v>
      </c>
    </row>
    <row r="393" spans="1:10" x14ac:dyDescent="0.25">
      <c r="A393">
        <v>50</v>
      </c>
      <c r="B393" s="94">
        <v>45119</v>
      </c>
      <c r="C393" t="s">
        <v>211</v>
      </c>
      <c r="D393" t="s">
        <v>473</v>
      </c>
      <c r="E393" s="95">
        <v>434.01</v>
      </c>
    </row>
    <row r="394" spans="1:10" x14ac:dyDescent="0.25">
      <c r="A394">
        <v>4</v>
      </c>
      <c r="B394" s="94">
        <v>45138</v>
      </c>
      <c r="C394" t="s">
        <v>215</v>
      </c>
      <c r="E394" s="95">
        <v>603.19000000000005</v>
      </c>
    </row>
    <row r="395" spans="1:10" x14ac:dyDescent="0.25">
      <c r="A395">
        <v>52</v>
      </c>
      <c r="B395" s="94">
        <v>45117</v>
      </c>
      <c r="C395" t="s">
        <v>211</v>
      </c>
      <c r="D395" t="s">
        <v>242</v>
      </c>
      <c r="E395" s="95">
        <v>650</v>
      </c>
    </row>
    <row r="396" spans="1:10" x14ac:dyDescent="0.25">
      <c r="A396">
        <v>29</v>
      </c>
      <c r="B396" s="94">
        <v>45126</v>
      </c>
      <c r="C396" t="s">
        <v>211</v>
      </c>
      <c r="D396" t="s">
        <v>464</v>
      </c>
      <c r="E396" s="95">
        <v>760</v>
      </c>
    </row>
    <row r="397" spans="1:10" x14ac:dyDescent="0.25">
      <c r="A397">
        <v>25</v>
      </c>
      <c r="B397" s="94">
        <v>45128</v>
      </c>
      <c r="C397" t="s">
        <v>211</v>
      </c>
      <c r="D397" t="s">
        <v>242</v>
      </c>
      <c r="E397" s="95">
        <v>1050</v>
      </c>
    </row>
    <row r="398" spans="1:10" x14ac:dyDescent="0.25">
      <c r="A398">
        <v>67</v>
      </c>
      <c r="B398" s="94">
        <v>45113</v>
      </c>
      <c r="C398" t="s">
        <v>211</v>
      </c>
      <c r="D398" t="s">
        <v>242</v>
      </c>
      <c r="E398" s="95">
        <v>1160</v>
      </c>
    </row>
    <row r="399" spans="1:10" x14ac:dyDescent="0.25">
      <c r="A399">
        <v>65</v>
      </c>
      <c r="B399" s="94">
        <v>45114</v>
      </c>
      <c r="C399" t="s">
        <v>211</v>
      </c>
      <c r="D399" t="s">
        <v>242</v>
      </c>
      <c r="E399" s="95">
        <v>1185</v>
      </c>
    </row>
    <row r="400" spans="1:10" x14ac:dyDescent="0.25">
      <c r="A400">
        <v>21</v>
      </c>
      <c r="B400" s="94">
        <v>45131</v>
      </c>
      <c r="C400" t="s">
        <v>217</v>
      </c>
      <c r="D400" t="s">
        <v>618</v>
      </c>
      <c r="E400" s="95">
        <v>1200</v>
      </c>
    </row>
    <row r="401" spans="1:5" x14ac:dyDescent="0.25">
      <c r="A401">
        <v>62</v>
      </c>
      <c r="B401" s="94">
        <v>45114</v>
      </c>
      <c r="C401" t="s">
        <v>211</v>
      </c>
      <c r="D401" t="s">
        <v>354</v>
      </c>
      <c r="E401" s="95">
        <v>1200</v>
      </c>
    </row>
    <row r="402" spans="1:5" x14ac:dyDescent="0.25">
      <c r="A402">
        <v>20</v>
      </c>
      <c r="B402" s="94">
        <v>45131</v>
      </c>
      <c r="C402" t="s">
        <v>211</v>
      </c>
      <c r="D402" t="s">
        <v>329</v>
      </c>
      <c r="E402" s="95">
        <v>1210</v>
      </c>
    </row>
    <row r="403" spans="1:5" x14ac:dyDescent="0.25">
      <c r="A403">
        <v>54</v>
      </c>
      <c r="B403" s="94">
        <v>45117</v>
      </c>
      <c r="C403" t="s">
        <v>211</v>
      </c>
      <c r="D403" t="s">
        <v>242</v>
      </c>
      <c r="E403" s="95">
        <v>1340</v>
      </c>
    </row>
    <row r="404" spans="1:5" x14ac:dyDescent="0.25">
      <c r="A404">
        <v>76</v>
      </c>
      <c r="B404" s="94">
        <v>45110</v>
      </c>
      <c r="C404" t="s">
        <v>211</v>
      </c>
      <c r="D404" t="s">
        <v>242</v>
      </c>
      <c r="E404" s="95">
        <v>1340</v>
      </c>
    </row>
    <row r="405" spans="1:5" x14ac:dyDescent="0.25">
      <c r="A405">
        <v>2</v>
      </c>
      <c r="B405" s="94">
        <v>45138</v>
      </c>
      <c r="C405" t="s">
        <v>211</v>
      </c>
      <c r="D405" t="s">
        <v>245</v>
      </c>
      <c r="E405" s="95">
        <v>1350</v>
      </c>
    </row>
    <row r="406" spans="1:5" x14ac:dyDescent="0.25">
      <c r="A406">
        <v>44</v>
      </c>
      <c r="B406" s="94">
        <v>45121</v>
      </c>
      <c r="C406" t="s">
        <v>211</v>
      </c>
      <c r="D406" t="s">
        <v>242</v>
      </c>
      <c r="E406" s="95">
        <v>1520</v>
      </c>
    </row>
    <row r="407" spans="1:5" x14ac:dyDescent="0.25">
      <c r="A407">
        <v>33</v>
      </c>
      <c r="B407" s="94">
        <v>45125</v>
      </c>
      <c r="C407" t="s">
        <v>211</v>
      </c>
      <c r="D407" t="s">
        <v>242</v>
      </c>
      <c r="E407" s="95">
        <v>1700</v>
      </c>
    </row>
    <row r="408" spans="1:5" x14ac:dyDescent="0.25">
      <c r="A408">
        <v>17</v>
      </c>
      <c r="B408" s="94">
        <v>45131</v>
      </c>
      <c r="C408" t="s">
        <v>211</v>
      </c>
      <c r="D408" t="s">
        <v>242</v>
      </c>
      <c r="E408" s="95">
        <v>1790</v>
      </c>
    </row>
    <row r="409" spans="1:5" x14ac:dyDescent="0.25">
      <c r="A409">
        <v>18</v>
      </c>
      <c r="B409" s="94">
        <v>45131</v>
      </c>
      <c r="C409" t="s">
        <v>211</v>
      </c>
      <c r="D409" t="s">
        <v>296</v>
      </c>
      <c r="E409" s="95">
        <v>1800</v>
      </c>
    </row>
    <row r="410" spans="1:5" x14ac:dyDescent="0.25">
      <c r="A410">
        <v>39</v>
      </c>
      <c r="B410" s="94">
        <v>45124</v>
      </c>
      <c r="C410" t="s">
        <v>244</v>
      </c>
      <c r="D410" t="s">
        <v>602</v>
      </c>
      <c r="E410" s="95">
        <v>1800</v>
      </c>
    </row>
    <row r="411" spans="1:5" x14ac:dyDescent="0.25">
      <c r="A411">
        <v>46</v>
      </c>
      <c r="B411" s="94">
        <v>45120</v>
      </c>
      <c r="C411" t="s">
        <v>211</v>
      </c>
      <c r="D411" t="s">
        <v>425</v>
      </c>
      <c r="E411" s="95">
        <v>1840</v>
      </c>
    </row>
    <row r="412" spans="1:5" x14ac:dyDescent="0.25">
      <c r="A412">
        <v>26</v>
      </c>
      <c r="B412" s="94">
        <v>45128</v>
      </c>
      <c r="C412" t="s">
        <v>211</v>
      </c>
      <c r="D412" t="s">
        <v>397</v>
      </c>
      <c r="E412" s="95">
        <v>1960</v>
      </c>
    </row>
    <row r="413" spans="1:5" x14ac:dyDescent="0.25">
      <c r="A413">
        <v>49</v>
      </c>
      <c r="B413" s="94">
        <v>45119</v>
      </c>
      <c r="C413" t="s">
        <v>211</v>
      </c>
      <c r="D413" t="s">
        <v>548</v>
      </c>
      <c r="E413" s="95">
        <v>2000</v>
      </c>
    </row>
    <row r="414" spans="1:5" x14ac:dyDescent="0.25">
      <c r="A414">
        <v>43</v>
      </c>
      <c r="B414" s="94">
        <v>45121</v>
      </c>
      <c r="C414" t="s">
        <v>211</v>
      </c>
      <c r="D414" t="s">
        <v>286</v>
      </c>
      <c r="E414" s="95">
        <v>2092.77</v>
      </c>
    </row>
    <row r="415" spans="1:5" x14ac:dyDescent="0.25">
      <c r="A415">
        <v>6</v>
      </c>
      <c r="B415" s="94">
        <v>45135</v>
      </c>
      <c r="C415" t="s">
        <v>211</v>
      </c>
      <c r="D415" t="s">
        <v>297</v>
      </c>
      <c r="E415" s="95">
        <v>2100</v>
      </c>
    </row>
    <row r="416" spans="1:5" x14ac:dyDescent="0.25">
      <c r="A416">
        <v>1</v>
      </c>
      <c r="B416" s="94">
        <v>45138</v>
      </c>
      <c r="C416" t="s">
        <v>211</v>
      </c>
      <c r="D416" t="s">
        <v>601</v>
      </c>
      <c r="E416" s="95">
        <v>2300</v>
      </c>
    </row>
    <row r="417" spans="1:5" x14ac:dyDescent="0.25">
      <c r="A417">
        <v>24</v>
      </c>
      <c r="B417" s="94">
        <v>45128</v>
      </c>
      <c r="C417" t="s">
        <v>211</v>
      </c>
      <c r="D417" t="s">
        <v>598</v>
      </c>
      <c r="E417" s="95">
        <v>2500</v>
      </c>
    </row>
    <row r="418" spans="1:5" x14ac:dyDescent="0.25">
      <c r="A418">
        <v>63</v>
      </c>
      <c r="B418" s="94">
        <v>45114</v>
      </c>
      <c r="C418" t="s">
        <v>211</v>
      </c>
      <c r="D418" t="s">
        <v>596</v>
      </c>
      <c r="E418" s="95">
        <v>2550</v>
      </c>
    </row>
    <row r="419" spans="1:5" x14ac:dyDescent="0.25">
      <c r="A419">
        <v>74</v>
      </c>
      <c r="B419" s="94">
        <v>45111</v>
      </c>
      <c r="C419" t="s">
        <v>211</v>
      </c>
      <c r="D419" t="s">
        <v>268</v>
      </c>
      <c r="E419" s="95">
        <v>2810</v>
      </c>
    </row>
    <row r="420" spans="1:5" x14ac:dyDescent="0.25">
      <c r="A420">
        <v>3</v>
      </c>
      <c r="B420" s="94">
        <v>45138</v>
      </c>
      <c r="C420" t="s">
        <v>214</v>
      </c>
      <c r="E420" s="95">
        <v>2872.35</v>
      </c>
    </row>
    <row r="421" spans="1:5" x14ac:dyDescent="0.25">
      <c r="A421">
        <v>27</v>
      </c>
      <c r="B421" s="94">
        <v>45128</v>
      </c>
      <c r="C421" t="s">
        <v>211</v>
      </c>
      <c r="D421" t="s">
        <v>434</v>
      </c>
      <c r="E421" s="95">
        <v>2900</v>
      </c>
    </row>
    <row r="422" spans="1:5" x14ac:dyDescent="0.25">
      <c r="A422">
        <v>73</v>
      </c>
      <c r="B422" s="94">
        <v>45111</v>
      </c>
      <c r="C422" t="s">
        <v>211</v>
      </c>
      <c r="D422" t="s">
        <v>592</v>
      </c>
      <c r="E422" s="95">
        <v>2942.65</v>
      </c>
    </row>
    <row r="423" spans="1:5" x14ac:dyDescent="0.25">
      <c r="A423">
        <v>5</v>
      </c>
      <c r="B423" s="94">
        <v>45135</v>
      </c>
      <c r="C423" t="s">
        <v>211</v>
      </c>
      <c r="D423" t="s">
        <v>216</v>
      </c>
      <c r="E423" s="95">
        <v>3145.33</v>
      </c>
    </row>
    <row r="424" spans="1:5" x14ac:dyDescent="0.25">
      <c r="A424">
        <v>48</v>
      </c>
      <c r="B424" s="94">
        <v>45119</v>
      </c>
      <c r="C424" t="s">
        <v>211</v>
      </c>
      <c r="D424" t="s">
        <v>594</v>
      </c>
      <c r="E424" s="95">
        <v>3300</v>
      </c>
    </row>
    <row r="425" spans="1:5" x14ac:dyDescent="0.25">
      <c r="A425">
        <v>11</v>
      </c>
      <c r="B425" s="94">
        <v>45134</v>
      </c>
      <c r="C425" t="s">
        <v>211</v>
      </c>
      <c r="D425" t="s">
        <v>219</v>
      </c>
      <c r="E425" s="95">
        <v>3742.02</v>
      </c>
    </row>
    <row r="426" spans="1:5" x14ac:dyDescent="0.25">
      <c r="A426">
        <v>38</v>
      </c>
      <c r="B426" s="94">
        <v>45124</v>
      </c>
      <c r="C426" t="s">
        <v>211</v>
      </c>
      <c r="D426" t="s">
        <v>593</v>
      </c>
      <c r="E426" s="95">
        <v>3780</v>
      </c>
    </row>
    <row r="427" spans="1:5" x14ac:dyDescent="0.25">
      <c r="A427">
        <v>47</v>
      </c>
      <c r="B427" s="94">
        <v>45120</v>
      </c>
      <c r="C427" t="s">
        <v>217</v>
      </c>
      <c r="D427" t="s">
        <v>617</v>
      </c>
      <c r="E427" s="95">
        <v>3890</v>
      </c>
    </row>
    <row r="428" spans="1:5" x14ac:dyDescent="0.25">
      <c r="A428">
        <v>19</v>
      </c>
      <c r="B428" s="94">
        <v>45131</v>
      </c>
      <c r="C428" t="s">
        <v>211</v>
      </c>
      <c r="D428" t="s">
        <v>599</v>
      </c>
      <c r="E428" s="95">
        <v>4380</v>
      </c>
    </row>
    <row r="429" spans="1:5" x14ac:dyDescent="0.25">
      <c r="A429">
        <v>53</v>
      </c>
      <c r="B429" s="94">
        <v>45117</v>
      </c>
      <c r="C429" t="s">
        <v>211</v>
      </c>
      <c r="D429" t="s">
        <v>245</v>
      </c>
      <c r="E429" s="95">
        <v>4385.05</v>
      </c>
    </row>
    <row r="430" spans="1:5" x14ac:dyDescent="0.25">
      <c r="A430">
        <v>15</v>
      </c>
      <c r="B430" s="94">
        <v>45133</v>
      </c>
      <c r="C430" t="s">
        <v>217</v>
      </c>
      <c r="D430" t="s">
        <v>486</v>
      </c>
      <c r="E430" s="95">
        <v>4800</v>
      </c>
    </row>
    <row r="431" spans="1:5" x14ac:dyDescent="0.25">
      <c r="A431">
        <v>0</v>
      </c>
      <c r="B431" s="94">
        <v>45138</v>
      </c>
      <c r="C431" t="s">
        <v>211</v>
      </c>
      <c r="D431" t="s">
        <v>597</v>
      </c>
      <c r="E431" s="95">
        <v>5400</v>
      </c>
    </row>
    <row r="432" spans="1:5" x14ac:dyDescent="0.25">
      <c r="A432">
        <v>12</v>
      </c>
      <c r="B432" s="94">
        <v>45134</v>
      </c>
      <c r="C432" t="s">
        <v>211</v>
      </c>
      <c r="D432" t="s">
        <v>600</v>
      </c>
      <c r="E432" s="95">
        <v>5434.99</v>
      </c>
    </row>
    <row r="433" spans="1:10" x14ac:dyDescent="0.25">
      <c r="A433">
        <v>64</v>
      </c>
      <c r="B433" s="94">
        <v>45114</v>
      </c>
      <c r="C433" t="s">
        <v>211</v>
      </c>
      <c r="D433" t="s">
        <v>278</v>
      </c>
      <c r="E433" s="95">
        <v>5480.56</v>
      </c>
    </row>
    <row r="434" spans="1:10" x14ac:dyDescent="0.25">
      <c r="A434">
        <v>23</v>
      </c>
      <c r="B434" s="94">
        <v>45128</v>
      </c>
      <c r="C434" t="s">
        <v>211</v>
      </c>
      <c r="D434" t="s">
        <v>278</v>
      </c>
      <c r="E434" s="95">
        <v>5887.01</v>
      </c>
    </row>
    <row r="435" spans="1:10" x14ac:dyDescent="0.25">
      <c r="A435">
        <v>32</v>
      </c>
      <c r="B435" s="94">
        <v>45125</v>
      </c>
      <c r="C435" t="s">
        <v>211</v>
      </c>
      <c r="D435" t="s">
        <v>595</v>
      </c>
      <c r="E435" s="95">
        <v>6000</v>
      </c>
    </row>
    <row r="436" spans="1:10" x14ac:dyDescent="0.25">
      <c r="A436">
        <v>42</v>
      </c>
      <c r="B436" s="94">
        <v>45121</v>
      </c>
      <c r="C436" t="s">
        <v>211</v>
      </c>
      <c r="D436" t="s">
        <v>268</v>
      </c>
      <c r="E436" s="95">
        <v>7570</v>
      </c>
    </row>
    <row r="437" spans="1:10" x14ac:dyDescent="0.25">
      <c r="A437">
        <v>34</v>
      </c>
      <c r="B437" s="94">
        <v>45125</v>
      </c>
      <c r="C437" t="s">
        <v>244</v>
      </c>
      <c r="D437" t="s">
        <v>603</v>
      </c>
      <c r="E437" s="95">
        <v>8000</v>
      </c>
    </row>
    <row r="438" spans="1:10" x14ac:dyDescent="0.25">
      <c r="A438">
        <v>22</v>
      </c>
      <c r="B438" s="94">
        <v>45131</v>
      </c>
      <c r="C438" t="s">
        <v>217</v>
      </c>
      <c r="D438" t="s">
        <v>486</v>
      </c>
      <c r="E438" s="95">
        <v>9000</v>
      </c>
    </row>
    <row r="439" spans="1:10" x14ac:dyDescent="0.25">
      <c r="A439">
        <v>10</v>
      </c>
      <c r="B439" s="94">
        <v>45135</v>
      </c>
      <c r="C439" t="s">
        <v>217</v>
      </c>
      <c r="D439" t="s">
        <v>454</v>
      </c>
      <c r="E439" s="95">
        <v>9900</v>
      </c>
    </row>
    <row r="440" spans="1:10" x14ac:dyDescent="0.25">
      <c r="A440">
        <v>72</v>
      </c>
      <c r="B440" s="94">
        <v>45112</v>
      </c>
      <c r="C440" t="s">
        <v>591</v>
      </c>
      <c r="E440" s="95">
        <v>12072</v>
      </c>
    </row>
    <row r="441" spans="1:10" x14ac:dyDescent="0.25">
      <c r="A441">
        <v>8</v>
      </c>
      <c r="B441" s="94">
        <v>45135</v>
      </c>
      <c r="C441" t="s">
        <v>606</v>
      </c>
      <c r="D441" t="s">
        <v>607</v>
      </c>
      <c r="F441" s="95">
        <v>17714</v>
      </c>
      <c r="J441" s="95" t="s">
        <v>619</v>
      </c>
    </row>
    <row r="442" spans="1:10" x14ac:dyDescent="0.25">
      <c r="A442">
        <v>16</v>
      </c>
      <c r="B442" s="94">
        <v>45132</v>
      </c>
      <c r="C442" t="s">
        <v>217</v>
      </c>
      <c r="D442" t="s">
        <v>616</v>
      </c>
      <c r="E442" s="95">
        <v>18500</v>
      </c>
    </row>
    <row r="443" spans="1:10" x14ac:dyDescent="0.25">
      <c r="A443">
        <v>66</v>
      </c>
      <c r="B443" s="94">
        <v>45114</v>
      </c>
      <c r="C443" t="s">
        <v>217</v>
      </c>
      <c r="D443" t="s">
        <v>615</v>
      </c>
      <c r="E443" s="95">
        <v>28000</v>
      </c>
    </row>
    <row r="444" spans="1:10" x14ac:dyDescent="0.25">
      <c r="A444">
        <v>69</v>
      </c>
      <c r="B444" s="94">
        <v>45112</v>
      </c>
      <c r="C444" t="s">
        <v>435</v>
      </c>
      <c r="D444" t="s">
        <v>477</v>
      </c>
      <c r="F444" s="95">
        <v>341947.88</v>
      </c>
      <c r="J444" s="95" t="s">
        <v>517</v>
      </c>
    </row>
    <row r="445" spans="1:10" x14ac:dyDescent="0.25">
      <c r="A445">
        <v>51</v>
      </c>
      <c r="B445" s="94">
        <v>45117</v>
      </c>
      <c r="C445" t="s">
        <v>224</v>
      </c>
      <c r="D445" t="s">
        <v>225</v>
      </c>
      <c r="F445" s="95">
        <v>83962.87</v>
      </c>
      <c r="J445" s="95" t="s">
        <v>518</v>
      </c>
    </row>
    <row r="446" spans="1:10" x14ac:dyDescent="0.25">
      <c r="A446">
        <v>7</v>
      </c>
      <c r="B446" s="94">
        <v>45135</v>
      </c>
      <c r="C446" t="s">
        <v>604</v>
      </c>
      <c r="D446" t="s">
        <v>605</v>
      </c>
      <c r="F446" s="95">
        <v>144556.35999999999</v>
      </c>
      <c r="J446" s="95" t="s">
        <v>619</v>
      </c>
    </row>
    <row r="447" spans="1:10" x14ac:dyDescent="0.25">
      <c r="A447">
        <v>36</v>
      </c>
      <c r="B447" s="94">
        <v>45125</v>
      </c>
      <c r="C447" t="s">
        <v>479</v>
      </c>
      <c r="H447" s="95">
        <v>16800</v>
      </c>
    </row>
    <row r="448" spans="1:10" x14ac:dyDescent="0.25">
      <c r="A448">
        <v>37</v>
      </c>
      <c r="B448" s="94">
        <v>45125</v>
      </c>
      <c r="C448" t="s">
        <v>480</v>
      </c>
      <c r="H448" s="95">
        <v>19600</v>
      </c>
    </row>
    <row r="449" spans="1:9" x14ac:dyDescent="0.25">
      <c r="A449">
        <v>35</v>
      </c>
      <c r="B449" s="94">
        <v>45125</v>
      </c>
      <c r="C449" t="s">
        <v>478</v>
      </c>
      <c r="H449" s="95">
        <v>56000</v>
      </c>
    </row>
    <row r="450" spans="1:9" x14ac:dyDescent="0.25">
      <c r="A450">
        <v>77</v>
      </c>
      <c r="B450" s="94">
        <v>45110</v>
      </c>
      <c r="C450" t="s">
        <v>376</v>
      </c>
      <c r="D450" t="s">
        <v>407</v>
      </c>
      <c r="I450" s="95">
        <v>3000</v>
      </c>
    </row>
    <row r="451" spans="1:9" x14ac:dyDescent="0.25">
      <c r="A451">
        <v>14</v>
      </c>
      <c r="B451" s="94">
        <v>45133</v>
      </c>
      <c r="C451" t="s">
        <v>376</v>
      </c>
      <c r="D451" t="s">
        <v>379</v>
      </c>
      <c r="I451" s="95">
        <v>10000</v>
      </c>
    </row>
    <row r="452" spans="1:9" x14ac:dyDescent="0.25">
      <c r="A452">
        <v>30</v>
      </c>
      <c r="B452" s="94">
        <v>45126</v>
      </c>
      <c r="C452" t="s">
        <v>376</v>
      </c>
      <c r="D452" t="s">
        <v>379</v>
      </c>
      <c r="I452" s="95">
        <v>10000</v>
      </c>
    </row>
    <row r="453" spans="1:9" x14ac:dyDescent="0.25">
      <c r="A453">
        <v>31</v>
      </c>
      <c r="B453" s="94">
        <v>45126</v>
      </c>
      <c r="C453" t="s">
        <v>376</v>
      </c>
      <c r="D453" t="s">
        <v>379</v>
      </c>
      <c r="I453" s="95">
        <v>10000</v>
      </c>
    </row>
    <row r="454" spans="1:9" x14ac:dyDescent="0.25">
      <c r="A454">
        <v>75</v>
      </c>
      <c r="B454" s="94">
        <v>45111</v>
      </c>
      <c r="C454" t="s">
        <v>376</v>
      </c>
      <c r="D454" t="s">
        <v>379</v>
      </c>
      <c r="I454" s="95">
        <v>10000</v>
      </c>
    </row>
    <row r="455" spans="1:9" x14ac:dyDescent="0.25">
      <c r="A455">
        <v>13</v>
      </c>
      <c r="B455" s="94">
        <v>45134</v>
      </c>
      <c r="C455" t="s">
        <v>229</v>
      </c>
      <c r="D455" t="s">
        <v>230</v>
      </c>
      <c r="I455" s="95">
        <v>13000</v>
      </c>
    </row>
    <row r="456" spans="1:9" x14ac:dyDescent="0.25">
      <c r="A456">
        <v>45</v>
      </c>
      <c r="B456" s="94">
        <v>45121</v>
      </c>
      <c r="C456" t="s">
        <v>229</v>
      </c>
      <c r="D456" t="s">
        <v>230</v>
      </c>
      <c r="I456" s="95">
        <v>22000</v>
      </c>
    </row>
    <row r="457" spans="1:9" x14ac:dyDescent="0.25">
      <c r="A457" s="99">
        <v>900</v>
      </c>
      <c r="B457" s="98">
        <v>45138</v>
      </c>
      <c r="C457" s="99" t="s">
        <v>456</v>
      </c>
      <c r="D457" s="99" t="s">
        <v>457</v>
      </c>
      <c r="E457" s="96"/>
      <c r="F457" s="96">
        <v>-23299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6FC2D-1499-4FC9-A02D-86AE655CA06B}">
  <sheetPr>
    <tabColor theme="9"/>
  </sheetPr>
  <dimension ref="A1:H68"/>
  <sheetViews>
    <sheetView tabSelected="1" workbookViewId="0">
      <selection activeCell="A59" sqref="A59"/>
    </sheetView>
  </sheetViews>
  <sheetFormatPr baseColWidth="10" defaultRowHeight="15.75" x14ac:dyDescent="0.25"/>
  <cols>
    <col min="1" max="1" width="9.375" bestFit="1" customWidth="1"/>
    <col min="2" max="2" width="35.5" bestFit="1" customWidth="1"/>
    <col min="3" max="3" width="48.5" customWidth="1"/>
    <col min="4" max="4" width="9.875" bestFit="1" customWidth="1"/>
    <col min="6" max="6" width="8.375" bestFit="1" customWidth="1"/>
    <col min="7" max="7" width="37.625" bestFit="1" customWidth="1"/>
    <col min="8" max="8" width="15.75" bestFit="1" customWidth="1"/>
  </cols>
  <sheetData>
    <row r="1" spans="1:8" x14ac:dyDescent="0.25">
      <c r="A1" t="s">
        <v>141</v>
      </c>
      <c r="B1" t="s">
        <v>209</v>
      </c>
      <c r="C1" t="s">
        <v>210</v>
      </c>
      <c r="D1" t="s">
        <v>323</v>
      </c>
      <c r="E1" t="s">
        <v>620</v>
      </c>
      <c r="F1" t="s">
        <v>130</v>
      </c>
      <c r="G1" t="s">
        <v>460</v>
      </c>
      <c r="H1" t="s">
        <v>458</v>
      </c>
    </row>
    <row r="2" spans="1:8" x14ac:dyDescent="0.25">
      <c r="A2" s="94">
        <v>45078</v>
      </c>
      <c r="B2" t="s">
        <v>419</v>
      </c>
      <c r="C2" t="s">
        <v>462</v>
      </c>
      <c r="D2">
        <v>300</v>
      </c>
      <c r="E2" t="s">
        <v>621</v>
      </c>
      <c r="F2" t="s">
        <v>622</v>
      </c>
      <c r="G2" t="s">
        <v>463</v>
      </c>
      <c r="H2" t="s">
        <v>459</v>
      </c>
    </row>
    <row r="3" spans="1:8" x14ac:dyDescent="0.25">
      <c r="A3" s="94">
        <v>45078</v>
      </c>
      <c r="B3" t="s">
        <v>419</v>
      </c>
      <c r="C3" t="s">
        <v>462</v>
      </c>
      <c r="D3">
        <v>400</v>
      </c>
      <c r="E3" t="s">
        <v>621</v>
      </c>
      <c r="F3" t="s">
        <v>622</v>
      </c>
      <c r="G3" t="s">
        <v>494</v>
      </c>
      <c r="H3" t="s">
        <v>459</v>
      </c>
    </row>
    <row r="4" spans="1:8" x14ac:dyDescent="0.25">
      <c r="A4" s="94">
        <v>45080</v>
      </c>
      <c r="B4" t="s">
        <v>502</v>
      </c>
      <c r="C4" t="s">
        <v>503</v>
      </c>
      <c r="D4">
        <v>5000</v>
      </c>
      <c r="E4" t="s">
        <v>621</v>
      </c>
      <c r="F4" t="s">
        <v>622</v>
      </c>
      <c r="H4" t="s">
        <v>459</v>
      </c>
    </row>
    <row r="5" spans="1:8" x14ac:dyDescent="0.25">
      <c r="A5" s="94">
        <v>45081</v>
      </c>
      <c r="B5" t="s">
        <v>422</v>
      </c>
      <c r="C5" t="s">
        <v>504</v>
      </c>
      <c r="D5">
        <v>26125.53</v>
      </c>
      <c r="E5" t="s">
        <v>621</v>
      </c>
      <c r="F5" t="s">
        <v>622</v>
      </c>
      <c r="H5" t="s">
        <v>143</v>
      </c>
    </row>
    <row r="6" spans="1:8" x14ac:dyDescent="0.25">
      <c r="A6" s="94">
        <v>45081</v>
      </c>
      <c r="B6" t="s">
        <v>422</v>
      </c>
      <c r="C6" t="s">
        <v>505</v>
      </c>
      <c r="D6">
        <v>7100</v>
      </c>
      <c r="E6" t="s">
        <v>621</v>
      </c>
      <c r="F6" t="s">
        <v>622</v>
      </c>
      <c r="H6" t="s">
        <v>143</v>
      </c>
    </row>
    <row r="7" spans="1:8" x14ac:dyDescent="0.25">
      <c r="A7" s="94">
        <v>45081</v>
      </c>
      <c r="B7" t="s">
        <v>422</v>
      </c>
      <c r="C7" t="s">
        <v>506</v>
      </c>
      <c r="D7">
        <v>5940</v>
      </c>
      <c r="E7" t="s">
        <v>621</v>
      </c>
      <c r="F7" t="s">
        <v>622</v>
      </c>
      <c r="H7" t="s">
        <v>143</v>
      </c>
    </row>
    <row r="8" spans="1:8" x14ac:dyDescent="0.25">
      <c r="A8" s="94">
        <v>45081</v>
      </c>
      <c r="B8" t="s">
        <v>422</v>
      </c>
      <c r="C8" t="s">
        <v>507</v>
      </c>
      <c r="D8">
        <v>1400</v>
      </c>
      <c r="E8" t="s">
        <v>621</v>
      </c>
      <c r="F8" t="s">
        <v>622</v>
      </c>
      <c r="H8" t="s">
        <v>143</v>
      </c>
    </row>
    <row r="9" spans="1:8" x14ac:dyDescent="0.25">
      <c r="A9" s="94">
        <v>45081</v>
      </c>
      <c r="B9" t="s">
        <v>420</v>
      </c>
      <c r="C9" t="s">
        <v>366</v>
      </c>
      <c r="D9">
        <v>1409</v>
      </c>
      <c r="E9" t="s">
        <v>621</v>
      </c>
      <c r="F9" t="s">
        <v>622</v>
      </c>
      <c r="H9" t="s">
        <v>143</v>
      </c>
    </row>
    <row r="10" spans="1:8" x14ac:dyDescent="0.25">
      <c r="A10" s="94">
        <v>45081</v>
      </c>
      <c r="B10" t="s">
        <v>419</v>
      </c>
      <c r="C10" t="s">
        <v>508</v>
      </c>
      <c r="D10">
        <v>1480</v>
      </c>
      <c r="E10" t="s">
        <v>621</v>
      </c>
      <c r="F10" t="s">
        <v>622</v>
      </c>
      <c r="H10" t="s">
        <v>144</v>
      </c>
    </row>
    <row r="11" spans="1:8" x14ac:dyDescent="0.25">
      <c r="A11" s="94">
        <v>45081</v>
      </c>
      <c r="B11" t="s">
        <v>509</v>
      </c>
      <c r="C11" t="s">
        <v>510</v>
      </c>
      <c r="D11">
        <v>530</v>
      </c>
      <c r="E11" t="s">
        <v>621</v>
      </c>
      <c r="F11" t="s">
        <v>622</v>
      </c>
      <c r="H11" t="s">
        <v>144</v>
      </c>
    </row>
    <row r="12" spans="1:8" x14ac:dyDescent="0.25">
      <c r="A12" s="94">
        <v>45082</v>
      </c>
      <c r="B12" t="s">
        <v>422</v>
      </c>
      <c r="C12" t="s">
        <v>511</v>
      </c>
      <c r="D12">
        <v>400</v>
      </c>
      <c r="E12" t="s">
        <v>621</v>
      </c>
      <c r="F12" t="s">
        <v>622</v>
      </c>
      <c r="H12" t="s">
        <v>459</v>
      </c>
    </row>
    <row r="13" spans="1:8" x14ac:dyDescent="0.25">
      <c r="A13" s="94">
        <v>45083</v>
      </c>
      <c r="B13" t="s">
        <v>516</v>
      </c>
      <c r="C13" t="s">
        <v>517</v>
      </c>
      <c r="D13">
        <v>296181.01</v>
      </c>
      <c r="E13" t="s">
        <v>621</v>
      </c>
      <c r="F13" t="s">
        <v>622</v>
      </c>
      <c r="H13" t="s">
        <v>144</v>
      </c>
    </row>
    <row r="14" spans="1:8" x14ac:dyDescent="0.25">
      <c r="A14" s="94">
        <v>45083</v>
      </c>
      <c r="B14" t="s">
        <v>516</v>
      </c>
      <c r="C14" t="s">
        <v>518</v>
      </c>
      <c r="D14">
        <v>84741.32</v>
      </c>
      <c r="E14" t="s">
        <v>621</v>
      </c>
      <c r="F14" t="s">
        <v>622</v>
      </c>
      <c r="G14" t="s">
        <v>519</v>
      </c>
      <c r="H14" t="s">
        <v>144</v>
      </c>
    </row>
    <row r="15" spans="1:8" x14ac:dyDescent="0.25">
      <c r="A15" s="94">
        <v>45083</v>
      </c>
      <c r="B15" t="s">
        <v>419</v>
      </c>
      <c r="C15" t="s">
        <v>520</v>
      </c>
      <c r="D15">
        <v>11331.86</v>
      </c>
      <c r="E15" t="s">
        <v>621</v>
      </c>
      <c r="F15" t="s">
        <v>622</v>
      </c>
      <c r="G15" t="s">
        <v>521</v>
      </c>
      <c r="H15" t="s">
        <v>143</v>
      </c>
    </row>
    <row r="16" spans="1:8" x14ac:dyDescent="0.25">
      <c r="A16" s="94">
        <v>45083</v>
      </c>
      <c r="B16" t="s">
        <v>419</v>
      </c>
      <c r="C16" t="s">
        <v>522</v>
      </c>
      <c r="D16">
        <v>2000</v>
      </c>
      <c r="E16" t="s">
        <v>621</v>
      </c>
      <c r="F16" t="s">
        <v>622</v>
      </c>
      <c r="G16" t="s">
        <v>523</v>
      </c>
      <c r="H16" t="s">
        <v>143</v>
      </c>
    </row>
    <row r="17" spans="1:8" x14ac:dyDescent="0.25">
      <c r="A17" s="94">
        <v>45083</v>
      </c>
      <c r="B17" t="s">
        <v>419</v>
      </c>
      <c r="C17" t="s">
        <v>524</v>
      </c>
      <c r="D17">
        <v>1800</v>
      </c>
      <c r="E17" t="s">
        <v>621</v>
      </c>
      <c r="F17" t="s">
        <v>622</v>
      </c>
      <c r="G17" t="s">
        <v>525</v>
      </c>
      <c r="H17" t="s">
        <v>459</v>
      </c>
    </row>
    <row r="18" spans="1:8" x14ac:dyDescent="0.25">
      <c r="A18" s="94">
        <v>45083</v>
      </c>
      <c r="B18" t="s">
        <v>420</v>
      </c>
      <c r="C18" t="s">
        <v>526</v>
      </c>
      <c r="D18">
        <v>400</v>
      </c>
      <c r="E18" t="s">
        <v>621</v>
      </c>
      <c r="F18" t="s">
        <v>622</v>
      </c>
      <c r="G18" t="s">
        <v>527</v>
      </c>
      <c r="H18" t="s">
        <v>459</v>
      </c>
    </row>
    <row r="19" spans="1:8" x14ac:dyDescent="0.25">
      <c r="A19" s="94">
        <v>45084</v>
      </c>
      <c r="B19" t="s">
        <v>528</v>
      </c>
      <c r="C19" t="s">
        <v>529</v>
      </c>
      <c r="D19">
        <v>7756.31</v>
      </c>
      <c r="E19" t="s">
        <v>621</v>
      </c>
      <c r="F19" t="s">
        <v>622</v>
      </c>
      <c r="H19" t="s">
        <v>144</v>
      </c>
    </row>
    <row r="20" spans="1:8" x14ac:dyDescent="0.25">
      <c r="A20" s="94">
        <v>45084</v>
      </c>
      <c r="B20" t="s">
        <v>530</v>
      </c>
      <c r="C20" t="s">
        <v>531</v>
      </c>
      <c r="D20">
        <v>83655</v>
      </c>
      <c r="E20" t="s">
        <v>621</v>
      </c>
      <c r="F20" t="s">
        <v>622</v>
      </c>
      <c r="H20" t="s">
        <v>144</v>
      </c>
    </row>
    <row r="21" spans="1:8" x14ac:dyDescent="0.25">
      <c r="A21" s="94">
        <v>45086</v>
      </c>
      <c r="B21" t="s">
        <v>419</v>
      </c>
      <c r="C21" t="s">
        <v>462</v>
      </c>
      <c r="D21">
        <v>300</v>
      </c>
      <c r="E21" t="s">
        <v>621</v>
      </c>
      <c r="F21" t="s">
        <v>622</v>
      </c>
      <c r="H21" t="s">
        <v>459</v>
      </c>
    </row>
    <row r="22" spans="1:8" x14ac:dyDescent="0.25">
      <c r="A22" s="94">
        <v>45086</v>
      </c>
      <c r="B22" t="s">
        <v>421</v>
      </c>
      <c r="C22" t="s">
        <v>532</v>
      </c>
      <c r="D22">
        <v>300</v>
      </c>
      <c r="E22" t="s">
        <v>621</v>
      </c>
      <c r="F22" t="s">
        <v>622</v>
      </c>
      <c r="H22" t="s">
        <v>459</v>
      </c>
    </row>
    <row r="23" spans="1:8" x14ac:dyDescent="0.25">
      <c r="A23" s="94">
        <v>45088</v>
      </c>
      <c r="B23" t="s">
        <v>419</v>
      </c>
      <c r="C23" t="s">
        <v>533</v>
      </c>
      <c r="D23">
        <v>1500</v>
      </c>
      <c r="E23" t="s">
        <v>621</v>
      </c>
      <c r="F23" t="s">
        <v>622</v>
      </c>
      <c r="H23" t="s">
        <v>459</v>
      </c>
    </row>
    <row r="24" spans="1:8" x14ac:dyDescent="0.25">
      <c r="A24" s="94">
        <v>45090</v>
      </c>
      <c r="B24" t="s">
        <v>421</v>
      </c>
      <c r="C24" t="s">
        <v>534</v>
      </c>
      <c r="D24">
        <v>450</v>
      </c>
      <c r="E24" t="s">
        <v>621</v>
      </c>
      <c r="F24" t="s">
        <v>622</v>
      </c>
      <c r="H24" t="s">
        <v>459</v>
      </c>
    </row>
    <row r="25" spans="1:8" x14ac:dyDescent="0.25">
      <c r="A25" s="94">
        <v>45090</v>
      </c>
      <c r="B25" t="s">
        <v>421</v>
      </c>
      <c r="C25" t="s">
        <v>535</v>
      </c>
      <c r="D25">
        <v>150</v>
      </c>
      <c r="E25" t="s">
        <v>621</v>
      </c>
      <c r="F25" t="s">
        <v>622</v>
      </c>
      <c r="H25" t="s">
        <v>459</v>
      </c>
    </row>
    <row r="26" spans="1:8" x14ac:dyDescent="0.25">
      <c r="A26" s="94">
        <v>45092</v>
      </c>
      <c r="B26" t="s">
        <v>421</v>
      </c>
      <c r="C26" t="s">
        <v>536</v>
      </c>
      <c r="D26">
        <v>18500</v>
      </c>
      <c r="E26" t="s">
        <v>621</v>
      </c>
      <c r="F26" t="s">
        <v>622</v>
      </c>
      <c r="H26" t="s">
        <v>459</v>
      </c>
    </row>
    <row r="27" spans="1:8" x14ac:dyDescent="0.25">
      <c r="A27" s="94">
        <v>45092</v>
      </c>
      <c r="B27" t="s">
        <v>420</v>
      </c>
      <c r="C27" t="s">
        <v>537</v>
      </c>
      <c r="D27">
        <v>900</v>
      </c>
      <c r="E27" t="s">
        <v>621</v>
      </c>
      <c r="F27" t="s">
        <v>622</v>
      </c>
      <c r="H27" t="s">
        <v>459</v>
      </c>
    </row>
    <row r="28" spans="1:8" x14ac:dyDescent="0.25">
      <c r="A28" s="94">
        <v>45092</v>
      </c>
      <c r="B28" t="s">
        <v>419</v>
      </c>
      <c r="C28" t="s">
        <v>538</v>
      </c>
      <c r="D28">
        <v>13200.01</v>
      </c>
      <c r="E28" t="s">
        <v>621</v>
      </c>
      <c r="F28" t="s">
        <v>622</v>
      </c>
      <c r="H28" t="s">
        <v>143</v>
      </c>
    </row>
    <row r="29" spans="1:8" x14ac:dyDescent="0.25">
      <c r="A29" s="94">
        <v>45092</v>
      </c>
      <c r="B29" t="s">
        <v>420</v>
      </c>
      <c r="C29" t="s">
        <v>539</v>
      </c>
      <c r="D29">
        <v>1506</v>
      </c>
      <c r="E29" t="s">
        <v>621</v>
      </c>
      <c r="F29" t="s">
        <v>622</v>
      </c>
      <c r="H29" t="s">
        <v>143</v>
      </c>
    </row>
    <row r="30" spans="1:8" x14ac:dyDescent="0.25">
      <c r="A30" s="94">
        <v>45093</v>
      </c>
      <c r="B30" t="s">
        <v>419</v>
      </c>
      <c r="C30" t="s">
        <v>540</v>
      </c>
      <c r="D30">
        <v>350</v>
      </c>
      <c r="E30" t="s">
        <v>621</v>
      </c>
      <c r="F30" t="s">
        <v>622</v>
      </c>
      <c r="H30" t="s">
        <v>459</v>
      </c>
    </row>
    <row r="31" spans="1:8" x14ac:dyDescent="0.25">
      <c r="A31" s="94">
        <v>45098</v>
      </c>
      <c r="B31" t="s">
        <v>421</v>
      </c>
      <c r="C31" t="s">
        <v>541</v>
      </c>
      <c r="D31">
        <v>500</v>
      </c>
      <c r="E31" t="s">
        <v>621</v>
      </c>
      <c r="F31" t="s">
        <v>622</v>
      </c>
      <c r="H31" t="s">
        <v>459</v>
      </c>
    </row>
    <row r="32" spans="1:8" x14ac:dyDescent="0.25">
      <c r="A32" s="94">
        <v>45100</v>
      </c>
      <c r="B32" t="s">
        <v>419</v>
      </c>
      <c r="C32" t="s">
        <v>540</v>
      </c>
      <c r="D32">
        <v>300</v>
      </c>
      <c r="E32" t="s">
        <v>621</v>
      </c>
      <c r="F32" t="s">
        <v>622</v>
      </c>
      <c r="H32" t="s">
        <v>459</v>
      </c>
    </row>
    <row r="33" spans="1:8" x14ac:dyDescent="0.25">
      <c r="A33" s="94">
        <v>45100</v>
      </c>
      <c r="B33" t="s">
        <v>419</v>
      </c>
      <c r="C33" t="s">
        <v>542</v>
      </c>
      <c r="D33">
        <v>19000</v>
      </c>
      <c r="E33" t="s">
        <v>621</v>
      </c>
      <c r="F33" t="s">
        <v>622</v>
      </c>
      <c r="H33" t="s">
        <v>459</v>
      </c>
    </row>
    <row r="34" spans="1:8" x14ac:dyDescent="0.25">
      <c r="A34" s="94">
        <v>45103</v>
      </c>
      <c r="B34" t="s">
        <v>419</v>
      </c>
      <c r="C34" t="s">
        <v>462</v>
      </c>
      <c r="D34">
        <v>300</v>
      </c>
      <c r="E34" t="s">
        <v>621</v>
      </c>
      <c r="F34" t="s">
        <v>622</v>
      </c>
      <c r="H34" t="s">
        <v>459</v>
      </c>
    </row>
    <row r="35" spans="1:8" x14ac:dyDescent="0.25">
      <c r="A35" s="94">
        <v>45111</v>
      </c>
      <c r="B35" t="s">
        <v>419</v>
      </c>
      <c r="C35" t="s">
        <v>462</v>
      </c>
      <c r="D35">
        <v>450</v>
      </c>
      <c r="E35" t="s">
        <v>621</v>
      </c>
      <c r="F35" t="s">
        <v>622</v>
      </c>
      <c r="H35" t="s">
        <v>459</v>
      </c>
    </row>
    <row r="36" spans="1:8" x14ac:dyDescent="0.25">
      <c r="A36" s="94">
        <v>45116</v>
      </c>
      <c r="B36" t="s">
        <v>420</v>
      </c>
      <c r="C36" t="s">
        <v>543</v>
      </c>
      <c r="D36">
        <v>400</v>
      </c>
      <c r="E36" t="s">
        <v>621</v>
      </c>
      <c r="F36" t="s">
        <v>622</v>
      </c>
      <c r="H36" t="s">
        <v>459</v>
      </c>
    </row>
    <row r="37" spans="1:8" x14ac:dyDescent="0.25">
      <c r="A37" s="94">
        <v>45116</v>
      </c>
      <c r="B37" t="s">
        <v>419</v>
      </c>
      <c r="C37" t="s">
        <v>544</v>
      </c>
      <c r="D37">
        <v>4385.05</v>
      </c>
      <c r="E37" t="s">
        <v>621</v>
      </c>
      <c r="F37" t="s">
        <v>622</v>
      </c>
      <c r="H37" t="s">
        <v>144</v>
      </c>
    </row>
    <row r="38" spans="1:8" x14ac:dyDescent="0.25">
      <c r="A38" s="94">
        <v>45116</v>
      </c>
      <c r="B38" t="s">
        <v>420</v>
      </c>
      <c r="C38" t="s">
        <v>545</v>
      </c>
      <c r="D38">
        <v>1817.05</v>
      </c>
      <c r="E38" t="s">
        <v>621</v>
      </c>
      <c r="F38" t="s">
        <v>622</v>
      </c>
      <c r="H38" t="s">
        <v>143</v>
      </c>
    </row>
    <row r="39" spans="1:8" x14ac:dyDescent="0.25">
      <c r="A39" s="94">
        <v>45116</v>
      </c>
      <c r="B39" t="s">
        <v>419</v>
      </c>
      <c r="C39" t="s">
        <v>546</v>
      </c>
      <c r="D39">
        <v>650</v>
      </c>
      <c r="E39" t="s">
        <v>621</v>
      </c>
      <c r="F39" t="s">
        <v>622</v>
      </c>
      <c r="H39" t="s">
        <v>144</v>
      </c>
    </row>
    <row r="40" spans="1:8" x14ac:dyDescent="0.25">
      <c r="A40" s="94">
        <v>45117</v>
      </c>
      <c r="B40" t="s">
        <v>419</v>
      </c>
      <c r="C40" t="s">
        <v>570</v>
      </c>
      <c r="D40">
        <v>3000</v>
      </c>
      <c r="E40" t="s">
        <v>621</v>
      </c>
      <c r="F40" t="s">
        <v>622</v>
      </c>
      <c r="H40" t="s">
        <v>459</v>
      </c>
    </row>
    <row r="41" spans="1:8" x14ac:dyDescent="0.25">
      <c r="A41" s="94">
        <v>45119</v>
      </c>
      <c r="B41" t="s">
        <v>419</v>
      </c>
      <c r="C41" t="s">
        <v>571</v>
      </c>
      <c r="D41">
        <v>2000</v>
      </c>
      <c r="E41" t="s">
        <v>621</v>
      </c>
      <c r="F41" t="s">
        <v>622</v>
      </c>
      <c r="H41" t="s">
        <v>459</v>
      </c>
    </row>
    <row r="42" spans="1:8" x14ac:dyDescent="0.25">
      <c r="A42" s="94">
        <v>45119</v>
      </c>
      <c r="B42" t="s">
        <v>419</v>
      </c>
      <c r="C42" t="s">
        <v>572</v>
      </c>
      <c r="D42">
        <v>1000</v>
      </c>
      <c r="E42" t="s">
        <v>621</v>
      </c>
      <c r="F42" t="s">
        <v>622</v>
      </c>
      <c r="H42" t="s">
        <v>459</v>
      </c>
    </row>
    <row r="43" spans="1:8" x14ac:dyDescent="0.25">
      <c r="A43" s="94">
        <v>45119</v>
      </c>
      <c r="B43" t="s">
        <v>419</v>
      </c>
      <c r="C43" t="s">
        <v>573</v>
      </c>
      <c r="D43">
        <v>2000</v>
      </c>
      <c r="E43" t="s">
        <v>621</v>
      </c>
      <c r="F43" t="s">
        <v>622</v>
      </c>
      <c r="H43" t="s">
        <v>459</v>
      </c>
    </row>
    <row r="44" spans="1:8" x14ac:dyDescent="0.25">
      <c r="A44" s="94">
        <v>45120</v>
      </c>
      <c r="B44" t="s">
        <v>420</v>
      </c>
      <c r="C44" t="s">
        <v>574</v>
      </c>
      <c r="D44">
        <v>7402.9</v>
      </c>
      <c r="E44" t="s">
        <v>621</v>
      </c>
      <c r="F44" t="s">
        <v>622</v>
      </c>
      <c r="H44" t="s">
        <v>143</v>
      </c>
    </row>
    <row r="45" spans="1:8" x14ac:dyDescent="0.25">
      <c r="A45" s="94">
        <v>45120</v>
      </c>
      <c r="B45" t="s">
        <v>419</v>
      </c>
      <c r="C45" t="s">
        <v>575</v>
      </c>
      <c r="D45">
        <v>3890</v>
      </c>
      <c r="E45" t="s">
        <v>621</v>
      </c>
      <c r="F45" t="s">
        <v>622</v>
      </c>
      <c r="H45" t="s">
        <v>144</v>
      </c>
    </row>
    <row r="46" spans="1:8" x14ac:dyDescent="0.25">
      <c r="A46" s="94">
        <v>45122</v>
      </c>
      <c r="B46" t="s">
        <v>422</v>
      </c>
      <c r="C46" t="s">
        <v>576</v>
      </c>
      <c r="D46">
        <v>3780</v>
      </c>
      <c r="E46" t="s">
        <v>621</v>
      </c>
      <c r="F46" t="s">
        <v>622</v>
      </c>
      <c r="H46" t="s">
        <v>144</v>
      </c>
    </row>
    <row r="47" spans="1:8" x14ac:dyDescent="0.25">
      <c r="A47" s="94">
        <v>45122</v>
      </c>
      <c r="B47" t="s">
        <v>420</v>
      </c>
      <c r="C47" t="s">
        <v>512</v>
      </c>
      <c r="D47">
        <v>400</v>
      </c>
      <c r="E47" t="s">
        <v>621</v>
      </c>
      <c r="F47" t="s">
        <v>622</v>
      </c>
      <c r="H47" t="s">
        <v>459</v>
      </c>
    </row>
    <row r="48" spans="1:8" x14ac:dyDescent="0.25">
      <c r="A48" s="94">
        <v>45126</v>
      </c>
      <c r="B48" t="s">
        <v>420</v>
      </c>
      <c r="C48" t="s">
        <v>577</v>
      </c>
      <c r="D48">
        <v>6000</v>
      </c>
      <c r="E48" t="s">
        <v>621</v>
      </c>
      <c r="F48" t="s">
        <v>622</v>
      </c>
      <c r="H48" t="s">
        <v>144</v>
      </c>
    </row>
    <row r="49" spans="1:8" x14ac:dyDescent="0.25">
      <c r="A49" s="94">
        <v>45126</v>
      </c>
      <c r="B49" t="s">
        <v>421</v>
      </c>
      <c r="C49" t="s">
        <v>578</v>
      </c>
      <c r="D49">
        <v>760</v>
      </c>
      <c r="E49" t="s">
        <v>621</v>
      </c>
      <c r="F49" t="s">
        <v>622</v>
      </c>
      <c r="H49" t="s">
        <v>144</v>
      </c>
    </row>
    <row r="50" spans="1:8" x14ac:dyDescent="0.25">
      <c r="A50" s="94">
        <v>45130</v>
      </c>
      <c r="B50" t="s">
        <v>419</v>
      </c>
      <c r="C50" t="s">
        <v>579</v>
      </c>
      <c r="D50">
        <v>540</v>
      </c>
      <c r="E50" t="s">
        <v>621</v>
      </c>
      <c r="F50" t="s">
        <v>622</v>
      </c>
      <c r="H50" t="s">
        <v>459</v>
      </c>
    </row>
    <row r="51" spans="1:8" x14ac:dyDescent="0.25">
      <c r="A51" s="94">
        <v>45130</v>
      </c>
      <c r="B51" t="s">
        <v>420</v>
      </c>
      <c r="C51" t="s">
        <v>580</v>
      </c>
      <c r="D51">
        <v>400</v>
      </c>
      <c r="E51" t="s">
        <v>621</v>
      </c>
      <c r="F51" t="s">
        <v>622</v>
      </c>
      <c r="H51" t="s">
        <v>459</v>
      </c>
    </row>
    <row r="52" spans="1:8" x14ac:dyDescent="0.25">
      <c r="A52" s="94">
        <v>45130</v>
      </c>
      <c r="B52" t="s">
        <v>419</v>
      </c>
      <c r="C52" t="s">
        <v>581</v>
      </c>
      <c r="D52">
        <v>1960</v>
      </c>
      <c r="E52" t="s">
        <v>621</v>
      </c>
      <c r="F52" t="s">
        <v>622</v>
      </c>
      <c r="H52" t="s">
        <v>144</v>
      </c>
    </row>
    <row r="53" spans="1:8" x14ac:dyDescent="0.25">
      <c r="A53" s="94">
        <v>45130</v>
      </c>
      <c r="B53" t="s">
        <v>420</v>
      </c>
      <c r="C53" t="s">
        <v>582</v>
      </c>
      <c r="D53">
        <v>1612.06</v>
      </c>
      <c r="E53" t="s">
        <v>621</v>
      </c>
      <c r="F53" t="s">
        <v>622</v>
      </c>
      <c r="H53" t="s">
        <v>143</v>
      </c>
    </row>
    <row r="54" spans="1:8" x14ac:dyDescent="0.25">
      <c r="A54" s="94">
        <v>45130</v>
      </c>
      <c r="B54" t="s">
        <v>419</v>
      </c>
      <c r="C54" t="s">
        <v>583</v>
      </c>
      <c r="D54">
        <v>1210</v>
      </c>
      <c r="E54" t="s">
        <v>621</v>
      </c>
      <c r="F54" t="s">
        <v>622</v>
      </c>
      <c r="H54" t="s">
        <v>144</v>
      </c>
    </row>
    <row r="55" spans="1:8" x14ac:dyDescent="0.25">
      <c r="A55" s="94">
        <v>45130</v>
      </c>
      <c r="B55" t="s">
        <v>421</v>
      </c>
      <c r="C55" t="s">
        <v>584</v>
      </c>
      <c r="D55">
        <v>300</v>
      </c>
      <c r="E55" t="s">
        <v>621</v>
      </c>
      <c r="F55" t="s">
        <v>622</v>
      </c>
      <c r="H55" t="s">
        <v>459</v>
      </c>
    </row>
    <row r="56" spans="1:8" x14ac:dyDescent="0.25">
      <c r="A56" s="94">
        <v>45130</v>
      </c>
      <c r="B56" t="s">
        <v>585</v>
      </c>
      <c r="C56" t="s">
        <v>586</v>
      </c>
      <c r="D56">
        <v>300</v>
      </c>
      <c r="E56" t="s">
        <v>621</v>
      </c>
      <c r="F56" t="s">
        <v>622</v>
      </c>
      <c r="H56" t="s">
        <v>459</v>
      </c>
    </row>
    <row r="57" spans="1:8" x14ac:dyDescent="0.25">
      <c r="A57" s="94">
        <v>45131</v>
      </c>
      <c r="B57" t="s">
        <v>420</v>
      </c>
      <c r="C57" t="s">
        <v>587</v>
      </c>
      <c r="D57">
        <v>100</v>
      </c>
      <c r="E57" t="s">
        <v>621</v>
      </c>
      <c r="F57" t="s">
        <v>622</v>
      </c>
      <c r="H57" t="s">
        <v>459</v>
      </c>
    </row>
    <row r="58" spans="1:8" x14ac:dyDescent="0.25">
      <c r="A58" s="94">
        <v>45134</v>
      </c>
      <c r="B58" t="s">
        <v>419</v>
      </c>
      <c r="C58" t="s">
        <v>588</v>
      </c>
      <c r="D58">
        <v>5526.23</v>
      </c>
      <c r="E58" t="s">
        <v>621</v>
      </c>
      <c r="F58" t="s">
        <v>622</v>
      </c>
      <c r="H58" t="s">
        <v>144</v>
      </c>
    </row>
    <row r="59" spans="1:8" x14ac:dyDescent="0.25">
      <c r="A59" s="94">
        <v>45138</v>
      </c>
      <c r="B59" t="s">
        <v>585</v>
      </c>
      <c r="C59" t="s">
        <v>589</v>
      </c>
      <c r="D59">
        <v>500</v>
      </c>
      <c r="E59" t="s">
        <v>621</v>
      </c>
      <c r="F59" t="s">
        <v>622</v>
      </c>
      <c r="H59" t="s">
        <v>459</v>
      </c>
    </row>
    <row r="60" spans="1:8" x14ac:dyDescent="0.25">
      <c r="A60" s="94">
        <v>45139</v>
      </c>
      <c r="B60" t="s">
        <v>421</v>
      </c>
      <c r="C60" t="s">
        <v>623</v>
      </c>
      <c r="D60">
        <v>4000</v>
      </c>
      <c r="E60" t="s">
        <v>621</v>
      </c>
      <c r="F60" t="s">
        <v>622</v>
      </c>
      <c r="G60" t="s">
        <v>624</v>
      </c>
      <c r="H60" t="s">
        <v>459</v>
      </c>
    </row>
    <row r="61" spans="1:8" x14ac:dyDescent="0.25">
      <c r="A61" s="94">
        <v>45139</v>
      </c>
      <c r="B61" t="s">
        <v>421</v>
      </c>
      <c r="C61" t="s">
        <v>625</v>
      </c>
      <c r="D61">
        <v>10000</v>
      </c>
      <c r="E61" t="s">
        <v>621</v>
      </c>
      <c r="F61" t="s">
        <v>622</v>
      </c>
      <c r="G61" t="s">
        <v>626</v>
      </c>
      <c r="H61" t="s">
        <v>459</v>
      </c>
    </row>
    <row r="62" spans="1:8" x14ac:dyDescent="0.25">
      <c r="A62" s="94">
        <v>45139</v>
      </c>
      <c r="B62" t="s">
        <v>420</v>
      </c>
      <c r="C62" t="s">
        <v>627</v>
      </c>
      <c r="D62">
        <v>6300</v>
      </c>
      <c r="E62" t="s">
        <v>621</v>
      </c>
      <c r="F62" t="s">
        <v>622</v>
      </c>
      <c r="H62" t="s">
        <v>144</v>
      </c>
    </row>
    <row r="63" spans="1:8" x14ac:dyDescent="0.25">
      <c r="A63" s="94">
        <v>45142</v>
      </c>
      <c r="B63" t="s">
        <v>419</v>
      </c>
      <c r="C63" t="s">
        <v>628</v>
      </c>
      <c r="D63">
        <v>2500</v>
      </c>
      <c r="E63" t="s">
        <v>621</v>
      </c>
      <c r="F63" t="s">
        <v>622</v>
      </c>
      <c r="H63" t="s">
        <v>459</v>
      </c>
    </row>
    <row r="64" spans="1:8" x14ac:dyDescent="0.25">
      <c r="A64" s="94">
        <v>45142</v>
      </c>
      <c r="B64" t="s">
        <v>421</v>
      </c>
      <c r="C64" t="s">
        <v>629</v>
      </c>
      <c r="D64">
        <v>5400</v>
      </c>
      <c r="E64" t="s">
        <v>621</v>
      </c>
      <c r="F64" t="s">
        <v>622</v>
      </c>
      <c r="H64" t="s">
        <v>144</v>
      </c>
    </row>
    <row r="65" spans="1:8" x14ac:dyDescent="0.25">
      <c r="A65" s="94">
        <v>45143</v>
      </c>
      <c r="B65" t="s">
        <v>421</v>
      </c>
      <c r="C65" t="s">
        <v>630</v>
      </c>
      <c r="D65">
        <v>500</v>
      </c>
      <c r="E65" t="s">
        <v>621</v>
      </c>
      <c r="F65" t="s">
        <v>622</v>
      </c>
      <c r="H65" t="s">
        <v>459</v>
      </c>
    </row>
    <row r="66" spans="1:8" x14ac:dyDescent="0.25">
      <c r="A66" s="94">
        <v>45145</v>
      </c>
      <c r="B66" t="s">
        <v>419</v>
      </c>
      <c r="C66" t="s">
        <v>540</v>
      </c>
      <c r="D66">
        <v>700</v>
      </c>
      <c r="E66" t="s">
        <v>621</v>
      </c>
      <c r="F66" t="s">
        <v>622</v>
      </c>
      <c r="H66" t="s">
        <v>459</v>
      </c>
    </row>
    <row r="67" spans="1:8" x14ac:dyDescent="0.25">
      <c r="A67" s="94">
        <v>45145</v>
      </c>
      <c r="B67" t="s">
        <v>585</v>
      </c>
      <c r="C67" t="s">
        <v>631</v>
      </c>
      <c r="D67">
        <v>6000</v>
      </c>
      <c r="E67" t="s">
        <v>621</v>
      </c>
      <c r="F67" t="s">
        <v>622</v>
      </c>
      <c r="H67" t="s">
        <v>459</v>
      </c>
    </row>
    <row r="68" spans="1:8" x14ac:dyDescent="0.25">
      <c r="A68" s="94">
        <v>45146</v>
      </c>
      <c r="B68" t="s">
        <v>419</v>
      </c>
      <c r="C68" t="s">
        <v>632</v>
      </c>
      <c r="D68">
        <v>4000</v>
      </c>
      <c r="E68" t="s">
        <v>621</v>
      </c>
      <c r="F68" t="s">
        <v>622</v>
      </c>
      <c r="H68" t="s">
        <v>459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8" tint="0.59999389629810485"/>
  </sheetPr>
  <dimension ref="A1:H88"/>
  <sheetViews>
    <sheetView workbookViewId="0">
      <selection activeCell="E78" sqref="E7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95" customWidth="1"/>
    <col min="8" max="8" width="13.625" bestFit="1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239</v>
      </c>
      <c r="F1" s="95" t="s">
        <v>240</v>
      </c>
      <c r="G1" s="95" t="s">
        <v>236</v>
      </c>
      <c r="H1" t="s">
        <v>238</v>
      </c>
    </row>
    <row r="2" spans="1:8" hidden="1" x14ac:dyDescent="0.25">
      <c r="A2">
        <v>49</v>
      </c>
      <c r="B2" s="94">
        <v>45026</v>
      </c>
      <c r="C2" t="s">
        <v>226</v>
      </c>
      <c r="D2" t="s">
        <v>227</v>
      </c>
      <c r="E2" s="95">
        <v>8556</v>
      </c>
    </row>
    <row r="3" spans="1:8" hidden="1" x14ac:dyDescent="0.25">
      <c r="A3">
        <v>50</v>
      </c>
      <c r="B3" s="94">
        <v>45026</v>
      </c>
      <c r="C3" t="s">
        <v>226</v>
      </c>
      <c r="D3" t="s">
        <v>227</v>
      </c>
      <c r="E3" s="95">
        <v>393146.75</v>
      </c>
    </row>
    <row r="4" spans="1:8" hidden="1" x14ac:dyDescent="0.25">
      <c r="A4">
        <v>5</v>
      </c>
      <c r="B4" s="94">
        <v>45043</v>
      </c>
      <c r="C4" t="s">
        <v>437</v>
      </c>
      <c r="D4" t="s">
        <v>439</v>
      </c>
      <c r="F4" s="95">
        <v>35</v>
      </c>
    </row>
    <row r="5" spans="1:8" hidden="1" x14ac:dyDescent="0.25">
      <c r="A5">
        <v>68</v>
      </c>
      <c r="B5" s="94">
        <v>45017</v>
      </c>
      <c r="C5" t="s">
        <v>231</v>
      </c>
      <c r="F5" s="95">
        <v>51.64</v>
      </c>
    </row>
    <row r="6" spans="1:8" hidden="1" x14ac:dyDescent="0.25">
      <c r="A6">
        <v>6</v>
      </c>
      <c r="B6" s="94">
        <v>45043</v>
      </c>
      <c r="C6" t="s">
        <v>437</v>
      </c>
      <c r="D6" t="s">
        <v>440</v>
      </c>
      <c r="F6" s="95">
        <v>90</v>
      </c>
    </row>
    <row r="7" spans="1:8" hidden="1" x14ac:dyDescent="0.25">
      <c r="A7">
        <v>7</v>
      </c>
      <c r="B7" s="94">
        <v>45043</v>
      </c>
      <c r="C7" t="s">
        <v>437</v>
      </c>
      <c r="D7" t="s">
        <v>441</v>
      </c>
      <c r="F7" s="95">
        <v>94</v>
      </c>
    </row>
    <row r="8" spans="1:8" hidden="1" x14ac:dyDescent="0.25">
      <c r="A8">
        <v>8</v>
      </c>
      <c r="B8" s="94">
        <v>45043</v>
      </c>
      <c r="C8" t="s">
        <v>437</v>
      </c>
      <c r="D8" t="s">
        <v>447</v>
      </c>
      <c r="F8" s="95">
        <v>95</v>
      </c>
    </row>
    <row r="9" spans="1:8" hidden="1" x14ac:dyDescent="0.25">
      <c r="A9">
        <v>9</v>
      </c>
      <c r="B9" s="94">
        <v>45043</v>
      </c>
      <c r="C9" t="s">
        <v>437</v>
      </c>
      <c r="D9" t="s">
        <v>449</v>
      </c>
      <c r="F9" s="95">
        <v>181.11</v>
      </c>
    </row>
    <row r="10" spans="1:8" hidden="1" x14ac:dyDescent="0.25">
      <c r="A10">
        <v>10</v>
      </c>
      <c r="B10" s="94">
        <v>45043</v>
      </c>
      <c r="C10" t="s">
        <v>437</v>
      </c>
      <c r="D10" t="s">
        <v>448</v>
      </c>
      <c r="F10" s="95">
        <v>185</v>
      </c>
    </row>
    <row r="11" spans="1:8" hidden="1" x14ac:dyDescent="0.25">
      <c r="A11">
        <v>11</v>
      </c>
      <c r="B11" s="94">
        <v>45043</v>
      </c>
      <c r="C11" t="s">
        <v>437</v>
      </c>
      <c r="D11" t="s">
        <v>438</v>
      </c>
      <c r="F11" s="95">
        <v>263</v>
      </c>
    </row>
    <row r="12" spans="1:8" hidden="1" x14ac:dyDescent="0.25">
      <c r="A12">
        <v>12</v>
      </c>
      <c r="B12" s="94">
        <v>45043</v>
      </c>
      <c r="C12" t="s">
        <v>437</v>
      </c>
      <c r="D12" t="s">
        <v>446</v>
      </c>
      <c r="F12" s="95">
        <v>292.60000000000002</v>
      </c>
    </row>
    <row r="13" spans="1:8" hidden="1" x14ac:dyDescent="0.25">
      <c r="A13">
        <v>13</v>
      </c>
      <c r="B13" s="94">
        <v>45043</v>
      </c>
      <c r="C13" t="s">
        <v>437</v>
      </c>
      <c r="D13" t="s">
        <v>445</v>
      </c>
      <c r="F13" s="95">
        <v>304.42</v>
      </c>
    </row>
    <row r="14" spans="1:8" hidden="1" x14ac:dyDescent="0.25">
      <c r="A14">
        <v>14</v>
      </c>
      <c r="B14" s="94">
        <v>45043</v>
      </c>
      <c r="C14" t="s">
        <v>437</v>
      </c>
      <c r="D14" t="s">
        <v>444</v>
      </c>
      <c r="F14" s="95">
        <v>326.39</v>
      </c>
    </row>
    <row r="15" spans="1:8" hidden="1" x14ac:dyDescent="0.25">
      <c r="A15">
        <v>15</v>
      </c>
      <c r="B15" s="94">
        <v>45043</v>
      </c>
      <c r="C15" t="s">
        <v>437</v>
      </c>
      <c r="D15" t="s">
        <v>443</v>
      </c>
      <c r="F15" s="95">
        <v>353.9</v>
      </c>
    </row>
    <row r="16" spans="1:8" hidden="1" x14ac:dyDescent="0.25">
      <c r="A16">
        <v>16</v>
      </c>
      <c r="B16" s="94">
        <v>45043</v>
      </c>
      <c r="C16" t="s">
        <v>437</v>
      </c>
      <c r="D16" t="s">
        <v>442</v>
      </c>
      <c r="F16" s="95">
        <v>532</v>
      </c>
    </row>
    <row r="17" spans="1:7" hidden="1" x14ac:dyDescent="0.25">
      <c r="A17">
        <v>34</v>
      </c>
      <c r="B17" s="94">
        <v>45034</v>
      </c>
      <c r="C17" t="s">
        <v>358</v>
      </c>
      <c r="D17" t="s">
        <v>359</v>
      </c>
      <c r="F17" s="95">
        <v>6500</v>
      </c>
    </row>
    <row r="18" spans="1:7" hidden="1" x14ac:dyDescent="0.25">
      <c r="A18" s="99">
        <v>31</v>
      </c>
      <c r="B18" s="98">
        <v>45035</v>
      </c>
      <c r="C18" s="99" t="s">
        <v>243</v>
      </c>
      <c r="D18" s="99"/>
      <c r="E18" s="96"/>
      <c r="F18" s="96"/>
      <c r="G18" s="96">
        <v>64109.590000000084</v>
      </c>
    </row>
    <row r="19" spans="1:7" hidden="1" x14ac:dyDescent="0.25">
      <c r="A19">
        <v>54</v>
      </c>
      <c r="B19" s="94">
        <v>45051</v>
      </c>
      <c r="C19" t="s">
        <v>226</v>
      </c>
      <c r="D19" t="s">
        <v>227</v>
      </c>
      <c r="E19" s="95">
        <v>499330.36</v>
      </c>
    </row>
    <row r="20" spans="1:7" hidden="1" x14ac:dyDescent="0.25">
      <c r="A20">
        <v>71</v>
      </c>
      <c r="B20" s="94">
        <v>45047</v>
      </c>
      <c r="C20" t="s">
        <v>231</v>
      </c>
      <c r="F20" s="95">
        <v>49.24</v>
      </c>
    </row>
    <row r="21" spans="1:7" hidden="1" x14ac:dyDescent="0.25">
      <c r="A21">
        <v>51</v>
      </c>
      <c r="B21" s="94">
        <v>45054</v>
      </c>
      <c r="C21" t="s">
        <v>481</v>
      </c>
      <c r="D21" t="s">
        <v>482</v>
      </c>
      <c r="F21" s="95">
        <v>20000</v>
      </c>
    </row>
    <row r="22" spans="1:7" hidden="1" x14ac:dyDescent="0.25">
      <c r="A22">
        <v>35</v>
      </c>
      <c r="B22" s="94">
        <v>45061</v>
      </c>
      <c r="C22" t="s">
        <v>358</v>
      </c>
      <c r="D22" t="s">
        <v>483</v>
      </c>
      <c r="F22" s="95">
        <v>32000</v>
      </c>
    </row>
    <row r="23" spans="1:7" hidden="1" x14ac:dyDescent="0.25">
      <c r="A23">
        <v>49</v>
      </c>
      <c r="B23" s="94">
        <v>45054</v>
      </c>
      <c r="C23" t="s">
        <v>221</v>
      </c>
      <c r="D23" t="s">
        <v>257</v>
      </c>
      <c r="F23" s="95">
        <v>107000</v>
      </c>
    </row>
    <row r="24" spans="1:7" hidden="1" x14ac:dyDescent="0.25">
      <c r="A24">
        <v>53</v>
      </c>
      <c r="B24" s="94">
        <v>44931</v>
      </c>
      <c r="C24" t="s">
        <v>226</v>
      </c>
      <c r="D24" t="s">
        <v>227</v>
      </c>
      <c r="E24" s="95">
        <v>157806.07999999999</v>
      </c>
    </row>
    <row r="25" spans="1:7" hidden="1" x14ac:dyDescent="0.25">
      <c r="A25">
        <v>65</v>
      </c>
      <c r="B25" s="94">
        <v>44927</v>
      </c>
      <c r="C25" t="s">
        <v>231</v>
      </c>
      <c r="F25" s="95">
        <v>38.01</v>
      </c>
    </row>
    <row r="26" spans="1:7" hidden="1" x14ac:dyDescent="0.25">
      <c r="A26">
        <v>64</v>
      </c>
      <c r="B26" s="94">
        <v>44928</v>
      </c>
      <c r="C26" t="s">
        <v>360</v>
      </c>
      <c r="D26" t="s">
        <v>361</v>
      </c>
      <c r="F26" s="95">
        <v>1000</v>
      </c>
    </row>
    <row r="27" spans="1:7" hidden="1" x14ac:dyDescent="0.25">
      <c r="A27">
        <v>49</v>
      </c>
      <c r="B27" s="94">
        <v>44935</v>
      </c>
      <c r="C27" t="s">
        <v>221</v>
      </c>
      <c r="D27" t="s">
        <v>257</v>
      </c>
      <c r="F27" s="95">
        <v>1700</v>
      </c>
    </row>
    <row r="28" spans="1:7" hidden="1" x14ac:dyDescent="0.25">
      <c r="A28">
        <v>61</v>
      </c>
      <c r="B28" s="94">
        <v>44929</v>
      </c>
      <c r="C28" t="s">
        <v>221</v>
      </c>
      <c r="D28" t="s">
        <v>257</v>
      </c>
      <c r="F28" s="95">
        <v>2500</v>
      </c>
    </row>
    <row r="29" spans="1:7" hidden="1" x14ac:dyDescent="0.25">
      <c r="A29">
        <v>43</v>
      </c>
      <c r="B29" s="94">
        <v>44935</v>
      </c>
      <c r="C29" t="s">
        <v>325</v>
      </c>
      <c r="D29" t="s">
        <v>326</v>
      </c>
      <c r="F29" s="95">
        <v>20500</v>
      </c>
    </row>
    <row r="30" spans="1:7" hidden="1" x14ac:dyDescent="0.25">
      <c r="A30">
        <v>15</v>
      </c>
      <c r="B30" s="94">
        <v>44950</v>
      </c>
      <c r="C30" t="s">
        <v>221</v>
      </c>
      <c r="D30" t="s">
        <v>357</v>
      </c>
      <c r="F30" s="95">
        <v>23000</v>
      </c>
    </row>
    <row r="31" spans="1:7" hidden="1" x14ac:dyDescent="0.25">
      <c r="A31">
        <v>26</v>
      </c>
      <c r="B31" s="94">
        <v>44943</v>
      </c>
      <c r="C31" t="s">
        <v>358</v>
      </c>
      <c r="D31" t="s">
        <v>359</v>
      </c>
      <c r="F31" s="95">
        <v>47077</v>
      </c>
    </row>
    <row r="32" spans="1:7" hidden="1" x14ac:dyDescent="0.25">
      <c r="A32">
        <v>4</v>
      </c>
      <c r="B32" s="94">
        <v>44956</v>
      </c>
      <c r="C32" t="s">
        <v>221</v>
      </c>
      <c r="D32" t="s">
        <v>356</v>
      </c>
      <c r="F32" s="95">
        <v>80000</v>
      </c>
    </row>
    <row r="33" spans="1:8" hidden="1" x14ac:dyDescent="0.25">
      <c r="A33">
        <v>38</v>
      </c>
      <c r="B33" s="94">
        <v>44937</v>
      </c>
      <c r="C33" t="s">
        <v>243</v>
      </c>
      <c r="G33" s="95">
        <f>371575.34-350000</f>
        <v>21575.340000000026</v>
      </c>
    </row>
    <row r="34" spans="1:8" hidden="1" x14ac:dyDescent="0.25">
      <c r="A34">
        <v>15</v>
      </c>
      <c r="B34" s="94">
        <v>44981</v>
      </c>
      <c r="C34" t="s">
        <v>226</v>
      </c>
      <c r="D34" t="s">
        <v>227</v>
      </c>
      <c r="E34" s="95">
        <v>14261</v>
      </c>
    </row>
    <row r="35" spans="1:8" hidden="1" x14ac:dyDescent="0.25">
      <c r="A35">
        <v>25</v>
      </c>
      <c r="B35" s="94">
        <v>44974</v>
      </c>
      <c r="C35" t="s">
        <v>226</v>
      </c>
      <c r="D35" t="s">
        <v>227</v>
      </c>
      <c r="E35" s="95">
        <v>22818</v>
      </c>
    </row>
    <row r="36" spans="1:8" hidden="1" x14ac:dyDescent="0.25">
      <c r="A36">
        <v>62</v>
      </c>
      <c r="B36" s="94">
        <v>44960</v>
      </c>
      <c r="C36" t="s">
        <v>226</v>
      </c>
      <c r="D36" t="s">
        <v>227</v>
      </c>
      <c r="E36" s="95">
        <v>82673</v>
      </c>
    </row>
    <row r="37" spans="1:8" hidden="1" x14ac:dyDescent="0.25">
      <c r="A37">
        <v>58</v>
      </c>
      <c r="B37" s="94">
        <v>44963</v>
      </c>
      <c r="C37" t="s">
        <v>226</v>
      </c>
      <c r="D37" t="s">
        <v>227</v>
      </c>
      <c r="E37" s="95">
        <v>338576.37</v>
      </c>
    </row>
    <row r="38" spans="1:8" hidden="1" x14ac:dyDescent="0.25">
      <c r="A38">
        <v>73</v>
      </c>
      <c r="B38" s="94">
        <v>44958</v>
      </c>
      <c r="C38" t="s">
        <v>231</v>
      </c>
      <c r="F38" s="95">
        <v>48.19</v>
      </c>
    </row>
    <row r="39" spans="1:8" hidden="1" x14ac:dyDescent="0.25">
      <c r="A39">
        <v>2</v>
      </c>
      <c r="B39" s="94">
        <v>44984</v>
      </c>
      <c r="C39" t="s">
        <v>325</v>
      </c>
      <c r="D39" t="s">
        <v>279</v>
      </c>
      <c r="F39" s="95">
        <v>2000</v>
      </c>
    </row>
    <row r="40" spans="1:8" hidden="1" x14ac:dyDescent="0.25">
      <c r="A40">
        <v>8</v>
      </c>
      <c r="B40" s="94">
        <v>44984</v>
      </c>
      <c r="C40" t="s">
        <v>221</v>
      </c>
      <c r="D40" t="s">
        <v>257</v>
      </c>
      <c r="F40" s="95">
        <v>2000</v>
      </c>
    </row>
    <row r="41" spans="1:8" hidden="1" x14ac:dyDescent="0.25">
      <c r="A41">
        <v>57</v>
      </c>
      <c r="B41" s="94">
        <v>44963</v>
      </c>
      <c r="C41" t="s">
        <v>221</v>
      </c>
      <c r="D41" t="s">
        <v>375</v>
      </c>
      <c r="F41" s="95">
        <v>2000</v>
      </c>
    </row>
    <row r="42" spans="1:8" hidden="1" x14ac:dyDescent="0.25">
      <c r="A42">
        <v>33</v>
      </c>
      <c r="B42" s="94">
        <v>44971</v>
      </c>
      <c r="C42" t="s">
        <v>221</v>
      </c>
      <c r="D42" t="s">
        <v>257</v>
      </c>
      <c r="F42" s="95">
        <v>2798</v>
      </c>
    </row>
    <row r="43" spans="1:8" hidden="1" x14ac:dyDescent="0.25">
      <c r="A43">
        <v>61</v>
      </c>
      <c r="B43" s="94">
        <v>44960</v>
      </c>
      <c r="C43" t="s">
        <v>221</v>
      </c>
      <c r="D43" t="s">
        <v>257</v>
      </c>
      <c r="F43" s="95">
        <v>7000</v>
      </c>
    </row>
    <row r="44" spans="1:8" hidden="1" x14ac:dyDescent="0.25">
      <c r="A44">
        <v>74</v>
      </c>
      <c r="B44" s="94">
        <v>44988</v>
      </c>
      <c r="C44" t="s">
        <v>226</v>
      </c>
      <c r="D44" t="s">
        <v>227</v>
      </c>
      <c r="E44" s="95">
        <v>2852</v>
      </c>
      <c r="H44" s="95"/>
    </row>
    <row r="45" spans="1:8" hidden="1" x14ac:dyDescent="0.25">
      <c r="A45">
        <v>11</v>
      </c>
      <c r="B45" s="94">
        <v>45012</v>
      </c>
      <c r="C45" t="s">
        <v>226</v>
      </c>
      <c r="D45" t="s">
        <v>227</v>
      </c>
      <c r="E45" s="95">
        <v>8557</v>
      </c>
      <c r="H45" s="95"/>
    </row>
    <row r="46" spans="1:8" hidden="1" x14ac:dyDescent="0.25">
      <c r="A46">
        <v>36</v>
      </c>
      <c r="B46" s="94">
        <v>45002</v>
      </c>
      <c r="C46" t="s">
        <v>226</v>
      </c>
      <c r="D46" t="s">
        <v>227</v>
      </c>
      <c r="E46" s="95">
        <v>8557</v>
      </c>
      <c r="H46" s="95"/>
    </row>
    <row r="47" spans="1:8" hidden="1" x14ac:dyDescent="0.25">
      <c r="A47">
        <v>66</v>
      </c>
      <c r="B47" s="94">
        <v>44991</v>
      </c>
      <c r="C47" t="s">
        <v>226</v>
      </c>
      <c r="D47" t="s">
        <v>227</v>
      </c>
      <c r="E47" s="95">
        <v>21591.89</v>
      </c>
      <c r="H47" s="95"/>
    </row>
    <row r="48" spans="1:8" hidden="1" x14ac:dyDescent="0.25">
      <c r="A48">
        <v>67</v>
      </c>
      <c r="B48" s="94">
        <v>44991</v>
      </c>
      <c r="C48" t="s">
        <v>226</v>
      </c>
      <c r="D48" t="s">
        <v>227</v>
      </c>
      <c r="E48" s="95">
        <v>335293.31</v>
      </c>
      <c r="H48" s="95"/>
    </row>
    <row r="49" spans="1:8" hidden="1" x14ac:dyDescent="0.25">
      <c r="A49">
        <v>29</v>
      </c>
      <c r="B49" s="94">
        <v>45005</v>
      </c>
      <c r="C49" t="s">
        <v>226</v>
      </c>
      <c r="D49" t="s">
        <v>227</v>
      </c>
      <c r="E49" s="95">
        <v>1492603.35</v>
      </c>
      <c r="H49" s="95"/>
    </row>
    <row r="50" spans="1:8" hidden="1" x14ac:dyDescent="0.25">
      <c r="A50">
        <v>81</v>
      </c>
      <c r="B50" s="94">
        <v>44986</v>
      </c>
      <c r="C50" t="s">
        <v>231</v>
      </c>
      <c r="F50" s="95">
        <v>19.52</v>
      </c>
      <c r="H50" s="95"/>
    </row>
    <row r="51" spans="1:8" hidden="1" x14ac:dyDescent="0.25">
      <c r="A51">
        <v>46</v>
      </c>
      <c r="B51" s="94">
        <v>44995</v>
      </c>
      <c r="C51" t="s">
        <v>221</v>
      </c>
      <c r="D51" t="s">
        <v>405</v>
      </c>
      <c r="F51" s="95">
        <v>855</v>
      </c>
      <c r="H51" s="95"/>
    </row>
    <row r="52" spans="1:8" hidden="1" x14ac:dyDescent="0.25">
      <c r="A52">
        <v>61</v>
      </c>
      <c r="B52" s="94">
        <v>44992</v>
      </c>
      <c r="C52" t="s">
        <v>221</v>
      </c>
      <c r="D52" t="s">
        <v>257</v>
      </c>
      <c r="F52" s="95">
        <v>7600</v>
      </c>
      <c r="H52" s="95"/>
    </row>
    <row r="53" spans="1:8" hidden="1" x14ac:dyDescent="0.25">
      <c r="A53">
        <v>77</v>
      </c>
      <c r="B53" s="94">
        <v>44987</v>
      </c>
      <c r="C53" t="s">
        <v>358</v>
      </c>
      <c r="D53" t="s">
        <v>241</v>
      </c>
      <c r="F53" s="95">
        <v>50000</v>
      </c>
      <c r="H53" s="95"/>
    </row>
    <row r="54" spans="1:8" hidden="1" x14ac:dyDescent="0.25">
      <c r="A54">
        <v>35</v>
      </c>
      <c r="B54" s="94">
        <v>45002</v>
      </c>
      <c r="C54" t="s">
        <v>414</v>
      </c>
      <c r="D54" t="s">
        <v>415</v>
      </c>
      <c r="F54" s="95">
        <v>180587.63</v>
      </c>
      <c r="H54" s="95"/>
    </row>
    <row r="55" spans="1:8" hidden="1" x14ac:dyDescent="0.25">
      <c r="A55">
        <v>58</v>
      </c>
      <c r="B55" s="94">
        <v>44993</v>
      </c>
      <c r="C55" t="s">
        <v>243</v>
      </c>
      <c r="G55" s="95">
        <f xml:space="preserve"> 530821.92 - 500000</f>
        <v>30821.920000000042</v>
      </c>
      <c r="H55" s="95"/>
    </row>
    <row r="56" spans="1:8" hidden="1" x14ac:dyDescent="0.25">
      <c r="A56">
        <v>40</v>
      </c>
      <c r="B56" s="94">
        <v>45086</v>
      </c>
      <c r="C56" t="s">
        <v>226</v>
      </c>
      <c r="D56" t="s">
        <v>227</v>
      </c>
      <c r="E56" s="95">
        <v>13312</v>
      </c>
    </row>
    <row r="57" spans="1:8" hidden="1" x14ac:dyDescent="0.25">
      <c r="A57">
        <v>69</v>
      </c>
      <c r="B57" s="94">
        <v>45079</v>
      </c>
      <c r="C57" t="s">
        <v>226</v>
      </c>
      <c r="D57" t="s">
        <v>227</v>
      </c>
      <c r="E57" s="95">
        <v>25257</v>
      </c>
    </row>
    <row r="58" spans="1:8" hidden="1" x14ac:dyDescent="0.25">
      <c r="A58">
        <v>59</v>
      </c>
      <c r="B58" s="94">
        <v>45083</v>
      </c>
      <c r="C58" t="s">
        <v>226</v>
      </c>
      <c r="D58" t="s">
        <v>227</v>
      </c>
      <c r="E58" s="95">
        <v>380427.06</v>
      </c>
    </row>
    <row r="59" spans="1:8" hidden="1" x14ac:dyDescent="0.25">
      <c r="A59">
        <v>72</v>
      </c>
      <c r="B59" s="94">
        <v>45078</v>
      </c>
      <c r="C59" t="s">
        <v>231</v>
      </c>
      <c r="F59" s="95">
        <v>50.82</v>
      </c>
    </row>
    <row r="60" spans="1:8" hidden="1" x14ac:dyDescent="0.25">
      <c r="A60">
        <v>61</v>
      </c>
      <c r="B60" s="94">
        <v>45083</v>
      </c>
      <c r="C60" t="s">
        <v>437</v>
      </c>
      <c r="D60" t="s">
        <v>563</v>
      </c>
      <c r="F60" s="95">
        <v>69.88</v>
      </c>
    </row>
    <row r="61" spans="1:8" hidden="1" x14ac:dyDescent="0.25">
      <c r="A61">
        <v>47</v>
      </c>
      <c r="B61" s="94">
        <v>45084</v>
      </c>
      <c r="C61" t="s">
        <v>437</v>
      </c>
      <c r="D61" t="s">
        <v>440</v>
      </c>
      <c r="F61" s="95">
        <v>90</v>
      </c>
    </row>
    <row r="62" spans="1:8" hidden="1" x14ac:dyDescent="0.25">
      <c r="A62">
        <v>62</v>
      </c>
      <c r="B62" s="94">
        <v>45083</v>
      </c>
      <c r="C62" t="s">
        <v>437</v>
      </c>
      <c r="D62" t="s">
        <v>562</v>
      </c>
      <c r="F62" s="95">
        <v>230</v>
      </c>
    </row>
    <row r="63" spans="1:8" hidden="1" x14ac:dyDescent="0.25">
      <c r="A63">
        <v>48</v>
      </c>
      <c r="B63" s="94">
        <v>45084</v>
      </c>
      <c r="C63" t="s">
        <v>437</v>
      </c>
      <c r="D63" t="s">
        <v>563</v>
      </c>
      <c r="F63" s="95">
        <v>255</v>
      </c>
    </row>
    <row r="64" spans="1:8" hidden="1" x14ac:dyDescent="0.25">
      <c r="A64">
        <v>49</v>
      </c>
      <c r="B64" s="94">
        <v>45084</v>
      </c>
      <c r="C64" t="s">
        <v>437</v>
      </c>
      <c r="D64" t="s">
        <v>564</v>
      </c>
      <c r="F64" s="95">
        <v>316.61</v>
      </c>
    </row>
    <row r="65" spans="1:6" hidden="1" x14ac:dyDescent="0.25">
      <c r="A65">
        <v>63</v>
      </c>
      <c r="B65" s="94">
        <v>45083</v>
      </c>
      <c r="C65" t="s">
        <v>437</v>
      </c>
      <c r="D65" t="s">
        <v>560</v>
      </c>
      <c r="F65" s="95">
        <v>384.77</v>
      </c>
    </row>
    <row r="66" spans="1:6" hidden="1" x14ac:dyDescent="0.25">
      <c r="A66">
        <v>64</v>
      </c>
      <c r="B66" s="94">
        <v>45083</v>
      </c>
      <c r="C66" t="s">
        <v>437</v>
      </c>
      <c r="D66" t="s">
        <v>559</v>
      </c>
      <c r="F66" s="95">
        <v>400</v>
      </c>
    </row>
    <row r="67" spans="1:6" hidden="1" x14ac:dyDescent="0.25">
      <c r="A67">
        <v>50</v>
      </c>
      <c r="B67" s="94">
        <v>45084</v>
      </c>
      <c r="C67" t="s">
        <v>437</v>
      </c>
      <c r="D67" t="s">
        <v>565</v>
      </c>
      <c r="F67" s="95">
        <v>427</v>
      </c>
    </row>
    <row r="68" spans="1:6" hidden="1" x14ac:dyDescent="0.25">
      <c r="A68">
        <v>65</v>
      </c>
      <c r="B68" s="94">
        <v>45083</v>
      </c>
      <c r="C68" t="s">
        <v>437</v>
      </c>
      <c r="D68" t="s">
        <v>558</v>
      </c>
      <c r="F68" s="95">
        <v>444.62</v>
      </c>
    </row>
    <row r="69" spans="1:6" hidden="1" x14ac:dyDescent="0.25">
      <c r="A69">
        <v>51</v>
      </c>
      <c r="B69" s="94">
        <v>45084</v>
      </c>
      <c r="C69" t="s">
        <v>437</v>
      </c>
      <c r="D69" t="s">
        <v>566</v>
      </c>
      <c r="F69" s="95">
        <v>448.14</v>
      </c>
    </row>
    <row r="70" spans="1:6" hidden="1" x14ac:dyDescent="0.25">
      <c r="A70">
        <v>52</v>
      </c>
      <c r="B70" s="94">
        <v>45084</v>
      </c>
      <c r="C70" t="s">
        <v>437</v>
      </c>
      <c r="D70" t="s">
        <v>561</v>
      </c>
      <c r="F70" s="95">
        <v>463.25</v>
      </c>
    </row>
    <row r="71" spans="1:6" hidden="1" x14ac:dyDescent="0.25">
      <c r="A71">
        <v>66</v>
      </c>
      <c r="B71" s="94">
        <v>45083</v>
      </c>
      <c r="C71" t="s">
        <v>437</v>
      </c>
      <c r="D71" t="s">
        <v>557</v>
      </c>
      <c r="F71" s="95">
        <v>470.73</v>
      </c>
    </row>
    <row r="72" spans="1:6" hidden="1" x14ac:dyDescent="0.25">
      <c r="A72">
        <v>53</v>
      </c>
      <c r="B72" s="94">
        <v>45084</v>
      </c>
      <c r="C72" t="s">
        <v>437</v>
      </c>
      <c r="D72" t="s">
        <v>556</v>
      </c>
      <c r="F72" s="95">
        <v>645.69000000000005</v>
      </c>
    </row>
    <row r="73" spans="1:6" x14ac:dyDescent="0.25">
      <c r="A73">
        <v>28</v>
      </c>
      <c r="B73" s="94">
        <v>45128</v>
      </c>
      <c r="C73" t="s">
        <v>226</v>
      </c>
      <c r="D73" t="s">
        <v>227</v>
      </c>
      <c r="E73" s="95">
        <v>14202</v>
      </c>
    </row>
    <row r="74" spans="1:6" x14ac:dyDescent="0.25">
      <c r="A74">
        <v>68</v>
      </c>
      <c r="B74" s="94">
        <v>45113</v>
      </c>
      <c r="C74" t="s">
        <v>226</v>
      </c>
      <c r="D74" t="s">
        <v>227</v>
      </c>
      <c r="E74" s="95">
        <v>14202</v>
      </c>
    </row>
    <row r="75" spans="1:6" x14ac:dyDescent="0.25">
      <c r="A75">
        <v>9</v>
      </c>
      <c r="B75" s="94">
        <v>45135</v>
      </c>
      <c r="C75" t="s">
        <v>226</v>
      </c>
      <c r="D75" t="s">
        <v>227</v>
      </c>
      <c r="E75" s="95">
        <v>18936</v>
      </c>
    </row>
    <row r="76" spans="1:6" x14ac:dyDescent="0.25">
      <c r="A76">
        <v>40</v>
      </c>
      <c r="B76" s="94">
        <v>45124</v>
      </c>
      <c r="C76" t="s">
        <v>226</v>
      </c>
      <c r="D76" t="s">
        <v>227</v>
      </c>
      <c r="E76" s="95">
        <v>138717.65</v>
      </c>
    </row>
    <row r="77" spans="1:6" x14ac:dyDescent="0.25">
      <c r="A77">
        <v>70</v>
      </c>
      <c r="B77" s="94">
        <v>45112</v>
      </c>
      <c r="C77" t="s">
        <v>226</v>
      </c>
      <c r="D77" t="s">
        <v>227</v>
      </c>
      <c r="E77" s="95">
        <v>319803.76</v>
      </c>
    </row>
    <row r="78" spans="1:6" x14ac:dyDescent="0.25">
      <c r="A78">
        <v>71</v>
      </c>
      <c r="B78" s="94">
        <v>45112</v>
      </c>
      <c r="C78" t="s">
        <v>226</v>
      </c>
      <c r="D78" t="s">
        <v>227</v>
      </c>
      <c r="E78" s="95">
        <v>500106.03</v>
      </c>
    </row>
    <row r="79" spans="1:6" x14ac:dyDescent="0.25">
      <c r="A79">
        <v>80</v>
      </c>
      <c r="B79" s="94">
        <v>45108</v>
      </c>
      <c r="C79" t="s">
        <v>231</v>
      </c>
      <c r="F79" s="95">
        <v>24.87</v>
      </c>
    </row>
    <row r="80" spans="1:6" x14ac:dyDescent="0.25">
      <c r="A80">
        <v>55</v>
      </c>
      <c r="B80" s="94">
        <v>45117</v>
      </c>
      <c r="C80" t="s">
        <v>437</v>
      </c>
      <c r="D80" t="s">
        <v>614</v>
      </c>
      <c r="F80" s="95">
        <v>100</v>
      </c>
    </row>
    <row r="81" spans="1:6" x14ac:dyDescent="0.25">
      <c r="A81">
        <v>56</v>
      </c>
      <c r="B81" s="94">
        <v>45117</v>
      </c>
      <c r="C81" t="s">
        <v>437</v>
      </c>
      <c r="D81" t="s">
        <v>609</v>
      </c>
      <c r="F81" s="95">
        <v>161.19999999999999</v>
      </c>
    </row>
    <row r="82" spans="1:6" x14ac:dyDescent="0.25">
      <c r="A82">
        <v>57</v>
      </c>
      <c r="B82" s="94">
        <v>45117</v>
      </c>
      <c r="C82" t="s">
        <v>437</v>
      </c>
      <c r="D82" t="s">
        <v>613</v>
      </c>
      <c r="F82" s="95">
        <v>203.3</v>
      </c>
    </row>
    <row r="83" spans="1:6" x14ac:dyDescent="0.25">
      <c r="A83">
        <v>58</v>
      </c>
      <c r="B83" s="94">
        <v>45117</v>
      </c>
      <c r="C83" t="s">
        <v>437</v>
      </c>
      <c r="D83" t="s">
        <v>611</v>
      </c>
      <c r="F83" s="95">
        <v>233.91</v>
      </c>
    </row>
    <row r="84" spans="1:6" x14ac:dyDescent="0.25">
      <c r="A84">
        <v>59</v>
      </c>
      <c r="B84" s="94">
        <v>45117</v>
      </c>
      <c r="C84" t="s">
        <v>437</v>
      </c>
      <c r="D84" t="s">
        <v>612</v>
      </c>
      <c r="F84" s="95">
        <v>378</v>
      </c>
    </row>
    <row r="85" spans="1:6" x14ac:dyDescent="0.25">
      <c r="A85">
        <v>60</v>
      </c>
      <c r="B85" s="94">
        <v>45117</v>
      </c>
      <c r="C85" t="s">
        <v>437</v>
      </c>
      <c r="D85" t="s">
        <v>610</v>
      </c>
      <c r="F85" s="95">
        <v>519.29999999999995</v>
      </c>
    </row>
    <row r="86" spans="1:6" x14ac:dyDescent="0.25">
      <c r="A86">
        <v>61</v>
      </c>
      <c r="B86" s="94">
        <v>45117</v>
      </c>
      <c r="C86" t="s">
        <v>437</v>
      </c>
      <c r="D86" t="s">
        <v>608</v>
      </c>
      <c r="F86" s="95">
        <v>565.49</v>
      </c>
    </row>
    <row r="87" spans="1:6" x14ac:dyDescent="0.25">
      <c r="A87">
        <v>78</v>
      </c>
      <c r="B87" s="94">
        <v>45110</v>
      </c>
      <c r="C87" t="s">
        <v>358</v>
      </c>
      <c r="D87" t="s">
        <v>241</v>
      </c>
      <c r="F87" s="95">
        <v>30000</v>
      </c>
    </row>
    <row r="88" spans="1:6" x14ac:dyDescent="0.25">
      <c r="A88">
        <v>79</v>
      </c>
      <c r="B88" s="94">
        <v>45110</v>
      </c>
      <c r="C88" t="s">
        <v>358</v>
      </c>
      <c r="D88" t="s">
        <v>359</v>
      </c>
      <c r="F88" s="95">
        <v>30000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9"/>
  <dimension ref="A1:I6"/>
  <sheetViews>
    <sheetView workbookViewId="0">
      <selection activeCell="C36" sqref="C36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95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95" t="s">
        <v>233</v>
      </c>
      <c r="E1" s="95" t="s">
        <v>234</v>
      </c>
      <c r="F1" s="95" t="s">
        <v>235</v>
      </c>
      <c r="G1" s="95" t="s">
        <v>236</v>
      </c>
      <c r="H1" s="95" t="s">
        <v>240</v>
      </c>
      <c r="I1" t="s">
        <v>238</v>
      </c>
    </row>
    <row r="2" spans="1:9" x14ac:dyDescent="0.25">
      <c r="A2" s="94">
        <v>45017</v>
      </c>
      <c r="B2" t="s">
        <v>384</v>
      </c>
      <c r="D2" s="95">
        <v>-186430</v>
      </c>
      <c r="E2" s="95">
        <v>0</v>
      </c>
      <c r="F2" s="95">
        <v>0</v>
      </c>
      <c r="G2" s="95">
        <v>0</v>
      </c>
      <c r="H2" s="95">
        <v>0</v>
      </c>
    </row>
    <row r="3" spans="1:9" x14ac:dyDescent="0.25">
      <c r="D3" s="95">
        <f>SUBTOTAL(109,Abr_Efectivo[Gastos])</f>
        <v>-186430</v>
      </c>
      <c r="E3" s="95">
        <f>SUBTOTAL(109,Abr_Efectivo[Tarjetas])</f>
        <v>0</v>
      </c>
      <c r="F3" s="95">
        <f>SUBTOTAL(109,Abr_Efectivo[Impuestos])</f>
        <v>0</v>
      </c>
      <c r="G3" s="95">
        <f>SUBTOTAL(109,Abr_Efectivo[Inversiones])</f>
        <v>0</v>
      </c>
      <c r="H3" s="95">
        <f>SUBTOTAL(109,Abr_Efectivo[Extras])</f>
        <v>0</v>
      </c>
      <c r="I3">
        <f>SUBTOTAL(103,Abr_Efectivo[Comentarios])</f>
        <v>0</v>
      </c>
    </row>
    <row r="5" spans="1:9" x14ac:dyDescent="0.25">
      <c r="B5" t="s">
        <v>209</v>
      </c>
      <c r="C5" t="s">
        <v>210</v>
      </c>
      <c r="D5" s="95" t="s">
        <v>233</v>
      </c>
      <c r="E5" s="95" t="s">
        <v>234</v>
      </c>
      <c r="F5" s="95" t="s">
        <v>235</v>
      </c>
      <c r="G5" s="95" t="s">
        <v>236</v>
      </c>
      <c r="H5" s="95" t="s">
        <v>240</v>
      </c>
      <c r="I5" t="s">
        <v>238</v>
      </c>
    </row>
    <row r="6" spans="1:9" x14ac:dyDescent="0.25">
      <c r="A6" s="94">
        <v>45046</v>
      </c>
      <c r="B6" t="s">
        <v>254</v>
      </c>
      <c r="D6" s="95">
        <v>-186430</v>
      </c>
      <c r="E6" s="95">
        <v>0</v>
      </c>
      <c r="F6" s="95">
        <v>0</v>
      </c>
      <c r="G6" s="95">
        <v>0</v>
      </c>
      <c r="H6" s="95">
        <v>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"/>
  <dimension ref="A1:I6"/>
  <sheetViews>
    <sheetView zoomScale="80" zoomScaleNormal="80" workbookViewId="0">
      <selection activeCell="C9" sqref="C9"/>
    </sheetView>
  </sheetViews>
  <sheetFormatPr baseColWidth="10" defaultRowHeight="15.75" x14ac:dyDescent="0.25"/>
  <cols>
    <col min="1" max="1" width="13.75" customWidth="1"/>
    <col min="2" max="2" width="30.625" customWidth="1"/>
    <col min="3" max="3" width="40.625" customWidth="1"/>
    <col min="4" max="8" width="12.625" style="95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95" t="s">
        <v>233</v>
      </c>
      <c r="E1" s="95" t="s">
        <v>234</v>
      </c>
      <c r="F1" s="95" t="s">
        <v>235</v>
      </c>
      <c r="G1" s="95" t="s">
        <v>236</v>
      </c>
      <c r="H1" s="95" t="s">
        <v>240</v>
      </c>
      <c r="I1" t="s">
        <v>238</v>
      </c>
    </row>
    <row r="2" spans="1:9" x14ac:dyDescent="0.25">
      <c r="A2" s="94">
        <v>44896</v>
      </c>
      <c r="B2" t="s">
        <v>283</v>
      </c>
      <c r="D2" s="95">
        <v>66000</v>
      </c>
      <c r="E2" s="95">
        <v>0</v>
      </c>
      <c r="F2" s="95">
        <v>0</v>
      </c>
      <c r="G2" s="95">
        <v>0</v>
      </c>
      <c r="H2" s="95">
        <v>10000</v>
      </c>
    </row>
    <row r="3" spans="1:9" x14ac:dyDescent="0.25">
      <c r="D3" s="95">
        <f>SUBTOTAL(109,Dic_Efectivo[Gastos])</f>
        <v>66000</v>
      </c>
      <c r="E3" s="95">
        <f>SUBTOTAL(109,Dic_Efectivo[Tarjetas])</f>
        <v>0</v>
      </c>
      <c r="F3" s="95">
        <f>SUBTOTAL(109,Dic_Efectivo[Impuestos])</f>
        <v>0</v>
      </c>
      <c r="G3" s="95">
        <f>SUBTOTAL(109,Dic_Efectivo[Inversiones])</f>
        <v>0</v>
      </c>
      <c r="H3" s="95">
        <f>SUBTOTAL(109,Dic_Efectivo[Extras])</f>
        <v>10000</v>
      </c>
      <c r="I3" t="s">
        <v>315</v>
      </c>
    </row>
    <row r="5" spans="1:9" x14ac:dyDescent="0.25">
      <c r="B5" t="s">
        <v>209</v>
      </c>
      <c r="C5" t="s">
        <v>210</v>
      </c>
      <c r="D5" s="95" t="s">
        <v>233</v>
      </c>
      <c r="E5" s="95" t="s">
        <v>234</v>
      </c>
      <c r="F5" s="95" t="s">
        <v>235</v>
      </c>
      <c r="G5" s="95" t="s">
        <v>236</v>
      </c>
      <c r="H5" s="95" t="s">
        <v>240</v>
      </c>
      <c r="I5" t="s">
        <v>238</v>
      </c>
    </row>
    <row r="6" spans="1:9" x14ac:dyDescent="0.25">
      <c r="A6" s="94">
        <v>44926</v>
      </c>
      <c r="B6" t="s">
        <v>254</v>
      </c>
      <c r="D6" s="95">
        <v>66000</v>
      </c>
      <c r="E6" s="95">
        <v>0</v>
      </c>
      <c r="F6" s="95">
        <v>0</v>
      </c>
      <c r="G6" s="95">
        <v>0</v>
      </c>
      <c r="H6" s="95">
        <v>10000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0"/>
  <dimension ref="A1:J82"/>
  <sheetViews>
    <sheetView topLeftCell="A66" workbookViewId="0">
      <selection activeCell="C80" sqref="C8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95" customWidth="1"/>
    <col min="9" max="9" width="14.625" style="95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233</v>
      </c>
      <c r="F1" s="95" t="s">
        <v>234</v>
      </c>
      <c r="G1" s="95" t="s">
        <v>235</v>
      </c>
      <c r="H1" s="95" t="s">
        <v>236</v>
      </c>
      <c r="I1" s="95" t="s">
        <v>237</v>
      </c>
      <c r="J1" t="s">
        <v>238</v>
      </c>
    </row>
    <row r="2" spans="1:10" x14ac:dyDescent="0.25">
      <c r="A2">
        <v>36</v>
      </c>
      <c r="B2" s="94">
        <v>44916</v>
      </c>
      <c r="C2" t="s">
        <v>211</v>
      </c>
      <c r="D2" t="s">
        <v>286</v>
      </c>
      <c r="E2" s="95">
        <v>-181.57</v>
      </c>
    </row>
    <row r="3" spans="1:10" x14ac:dyDescent="0.25">
      <c r="A3">
        <v>44</v>
      </c>
      <c r="B3" s="94">
        <v>44914</v>
      </c>
      <c r="C3" t="s">
        <v>211</v>
      </c>
      <c r="D3" t="s">
        <v>292</v>
      </c>
      <c r="E3" s="95">
        <v>-240</v>
      </c>
    </row>
    <row r="4" spans="1:10" x14ac:dyDescent="0.25">
      <c r="A4">
        <v>42</v>
      </c>
      <c r="B4" s="94">
        <v>44914</v>
      </c>
      <c r="C4" t="s">
        <v>211</v>
      </c>
      <c r="D4" t="s">
        <v>242</v>
      </c>
      <c r="E4" s="95">
        <v>-300</v>
      </c>
    </row>
    <row r="5" spans="1:10" x14ac:dyDescent="0.25">
      <c r="A5">
        <v>6</v>
      </c>
      <c r="B5" s="94">
        <v>44925</v>
      </c>
      <c r="C5" t="s">
        <v>215</v>
      </c>
      <c r="E5" s="95">
        <v>-345.88</v>
      </c>
    </row>
    <row r="6" spans="1:10" x14ac:dyDescent="0.25">
      <c r="A6">
        <v>41</v>
      </c>
      <c r="B6" s="94">
        <v>44914</v>
      </c>
      <c r="C6" t="s">
        <v>211</v>
      </c>
      <c r="D6" t="s">
        <v>267</v>
      </c>
      <c r="E6" s="95">
        <v>-400</v>
      </c>
    </row>
    <row r="7" spans="1:10" x14ac:dyDescent="0.25">
      <c r="A7">
        <v>11</v>
      </c>
      <c r="B7" s="94">
        <v>44923</v>
      </c>
      <c r="C7" t="s">
        <v>211</v>
      </c>
      <c r="D7" t="s">
        <v>242</v>
      </c>
      <c r="E7" s="95">
        <v>-470</v>
      </c>
    </row>
    <row r="8" spans="1:10" x14ac:dyDescent="0.25">
      <c r="A8">
        <v>34</v>
      </c>
      <c r="B8" s="94">
        <v>44917</v>
      </c>
      <c r="C8" t="s">
        <v>211</v>
      </c>
      <c r="D8" t="s">
        <v>290</v>
      </c>
      <c r="E8" s="95">
        <v>-480</v>
      </c>
    </row>
    <row r="9" spans="1:10" x14ac:dyDescent="0.25">
      <c r="A9">
        <v>43</v>
      </c>
      <c r="B9" s="94">
        <v>44914</v>
      </c>
      <c r="C9" t="s">
        <v>211</v>
      </c>
      <c r="D9" t="s">
        <v>269</v>
      </c>
      <c r="E9" s="95">
        <v>-500</v>
      </c>
    </row>
    <row r="10" spans="1:10" x14ac:dyDescent="0.25">
      <c r="A10">
        <v>62</v>
      </c>
      <c r="B10" s="94">
        <v>44907</v>
      </c>
      <c r="C10" t="s">
        <v>211</v>
      </c>
      <c r="D10" t="s">
        <v>242</v>
      </c>
      <c r="E10" s="95">
        <v>-500</v>
      </c>
    </row>
    <row r="11" spans="1:10" x14ac:dyDescent="0.25">
      <c r="A11">
        <v>20</v>
      </c>
      <c r="B11" s="94">
        <v>44921</v>
      </c>
      <c r="C11" t="s">
        <v>211</v>
      </c>
      <c r="D11" t="s">
        <v>298</v>
      </c>
      <c r="E11" s="95">
        <v>-560</v>
      </c>
    </row>
    <row r="12" spans="1:10" x14ac:dyDescent="0.25">
      <c r="A12">
        <v>59</v>
      </c>
      <c r="B12" s="94">
        <v>44908</v>
      </c>
      <c r="C12" t="s">
        <v>211</v>
      </c>
      <c r="D12" t="s">
        <v>293</v>
      </c>
      <c r="E12" s="95">
        <v>-599.97</v>
      </c>
    </row>
    <row r="13" spans="1:10" x14ac:dyDescent="0.25">
      <c r="A13">
        <v>21</v>
      </c>
      <c r="B13" s="94">
        <v>44921</v>
      </c>
      <c r="C13" t="s">
        <v>211</v>
      </c>
      <c r="D13" t="s">
        <v>213</v>
      </c>
      <c r="E13" s="95">
        <v>-620</v>
      </c>
    </row>
    <row r="14" spans="1:10" x14ac:dyDescent="0.25">
      <c r="A14">
        <v>9</v>
      </c>
      <c r="B14" s="94">
        <v>44923</v>
      </c>
      <c r="C14" t="s">
        <v>211</v>
      </c>
      <c r="D14" t="s">
        <v>269</v>
      </c>
      <c r="E14" s="95">
        <v>-660</v>
      </c>
    </row>
    <row r="15" spans="1:10" x14ac:dyDescent="0.25">
      <c r="A15">
        <v>68</v>
      </c>
      <c r="B15" s="94">
        <v>44902</v>
      </c>
      <c r="C15" t="s">
        <v>211</v>
      </c>
      <c r="D15" t="s">
        <v>267</v>
      </c>
      <c r="E15" s="95">
        <v>-690</v>
      </c>
    </row>
    <row r="16" spans="1:10" x14ac:dyDescent="0.25">
      <c r="A16">
        <v>31</v>
      </c>
      <c r="B16" s="94">
        <v>44917</v>
      </c>
      <c r="C16" t="s">
        <v>211</v>
      </c>
      <c r="D16" t="s">
        <v>287</v>
      </c>
      <c r="E16" s="95">
        <v>-720</v>
      </c>
    </row>
    <row r="17" spans="1:5" x14ac:dyDescent="0.25">
      <c r="A17">
        <v>17</v>
      </c>
      <c r="B17" s="94">
        <v>44921</v>
      </c>
      <c r="C17" t="s">
        <v>211</v>
      </c>
      <c r="D17" t="s">
        <v>297</v>
      </c>
      <c r="E17" s="95">
        <v>-900</v>
      </c>
    </row>
    <row r="18" spans="1:5" x14ac:dyDescent="0.25">
      <c r="A18">
        <v>61</v>
      </c>
      <c r="B18" s="94">
        <v>44907</v>
      </c>
      <c r="C18" t="s">
        <v>211</v>
      </c>
      <c r="D18" t="s">
        <v>245</v>
      </c>
      <c r="E18" s="95">
        <v>-924.75</v>
      </c>
    </row>
    <row r="19" spans="1:5" x14ac:dyDescent="0.25">
      <c r="A19">
        <v>58</v>
      </c>
      <c r="B19" s="94">
        <v>44908</v>
      </c>
      <c r="C19" t="s">
        <v>211</v>
      </c>
      <c r="D19" t="s">
        <v>246</v>
      </c>
      <c r="E19" s="95">
        <v>-950.43</v>
      </c>
    </row>
    <row r="20" spans="1:5" x14ac:dyDescent="0.25">
      <c r="A20">
        <v>0</v>
      </c>
      <c r="B20" s="94">
        <v>44925</v>
      </c>
      <c r="C20" t="s">
        <v>211</v>
      </c>
      <c r="E20" s="95">
        <v>-1000</v>
      </c>
    </row>
    <row r="21" spans="1:5" x14ac:dyDescent="0.25">
      <c r="A21">
        <v>63</v>
      </c>
      <c r="B21" s="94">
        <v>44907</v>
      </c>
      <c r="C21" t="s">
        <v>211</v>
      </c>
      <c r="D21" t="s">
        <v>296</v>
      </c>
      <c r="E21" s="95">
        <v>-1200</v>
      </c>
    </row>
    <row r="22" spans="1:5" x14ac:dyDescent="0.25">
      <c r="A22">
        <v>64</v>
      </c>
      <c r="B22" s="94">
        <v>44907</v>
      </c>
      <c r="C22" t="s">
        <v>211</v>
      </c>
      <c r="D22" t="s">
        <v>268</v>
      </c>
      <c r="E22" s="95">
        <v>-1350</v>
      </c>
    </row>
    <row r="23" spans="1:5" x14ac:dyDescent="0.25">
      <c r="A23">
        <v>19</v>
      </c>
      <c r="B23" s="94">
        <v>44921</v>
      </c>
      <c r="C23" t="s">
        <v>211</v>
      </c>
      <c r="D23" t="s">
        <v>296</v>
      </c>
      <c r="E23" s="95">
        <v>-1500</v>
      </c>
    </row>
    <row r="24" spans="1:5" x14ac:dyDescent="0.25">
      <c r="A24">
        <v>26</v>
      </c>
      <c r="B24" s="94">
        <v>44921</v>
      </c>
      <c r="C24" t="s">
        <v>217</v>
      </c>
      <c r="D24" t="s">
        <v>303</v>
      </c>
      <c r="E24" s="95">
        <v>-1500</v>
      </c>
    </row>
    <row r="25" spans="1:5" x14ac:dyDescent="0.25">
      <c r="A25">
        <v>45</v>
      </c>
      <c r="B25" s="94">
        <v>44914</v>
      </c>
      <c r="C25" t="s">
        <v>211</v>
      </c>
      <c r="D25" t="s">
        <v>275</v>
      </c>
      <c r="E25" s="95">
        <v>-1600</v>
      </c>
    </row>
    <row r="26" spans="1:5" x14ac:dyDescent="0.25">
      <c r="A26">
        <v>72</v>
      </c>
      <c r="B26" s="94">
        <v>44900</v>
      </c>
      <c r="C26" t="s">
        <v>211</v>
      </c>
      <c r="D26" t="s">
        <v>295</v>
      </c>
      <c r="E26" s="95">
        <v>-1610</v>
      </c>
    </row>
    <row r="27" spans="1:5" x14ac:dyDescent="0.25">
      <c r="A27">
        <v>5</v>
      </c>
      <c r="B27" s="94">
        <v>44925</v>
      </c>
      <c r="C27" t="s">
        <v>214</v>
      </c>
      <c r="E27" s="95">
        <v>-1647.06</v>
      </c>
    </row>
    <row r="28" spans="1:5" x14ac:dyDescent="0.25">
      <c r="A28">
        <v>27</v>
      </c>
      <c r="B28" s="94">
        <v>44921</v>
      </c>
      <c r="C28" t="s">
        <v>218</v>
      </c>
      <c r="D28" t="s">
        <v>276</v>
      </c>
      <c r="E28" s="95">
        <v>-1785.3</v>
      </c>
    </row>
    <row r="29" spans="1:5" x14ac:dyDescent="0.25">
      <c r="A29">
        <v>12</v>
      </c>
      <c r="B29" s="94">
        <v>44923</v>
      </c>
      <c r="C29" t="s">
        <v>211</v>
      </c>
      <c r="D29" t="s">
        <v>278</v>
      </c>
      <c r="E29" s="95">
        <v>-1865.5</v>
      </c>
    </row>
    <row r="30" spans="1:5" x14ac:dyDescent="0.25">
      <c r="A30">
        <v>37</v>
      </c>
      <c r="B30" s="94">
        <v>44916</v>
      </c>
      <c r="C30" t="s">
        <v>211</v>
      </c>
      <c r="D30" t="s">
        <v>220</v>
      </c>
      <c r="E30" s="95">
        <v>-2017</v>
      </c>
    </row>
    <row r="31" spans="1:5" x14ac:dyDescent="0.25">
      <c r="A31">
        <v>55</v>
      </c>
      <c r="B31" s="94">
        <v>44910</v>
      </c>
      <c r="C31" t="s">
        <v>211</v>
      </c>
      <c r="D31" t="s">
        <v>242</v>
      </c>
      <c r="E31" s="95">
        <v>-2120</v>
      </c>
    </row>
    <row r="32" spans="1:5" x14ac:dyDescent="0.25">
      <c r="A32">
        <v>79</v>
      </c>
      <c r="B32" s="94">
        <v>44896</v>
      </c>
      <c r="C32" t="s">
        <v>244</v>
      </c>
      <c r="D32" t="s">
        <v>279</v>
      </c>
      <c r="E32" s="95">
        <v>-2200</v>
      </c>
    </row>
    <row r="33" spans="1:5" x14ac:dyDescent="0.25">
      <c r="A33">
        <v>73</v>
      </c>
      <c r="B33" s="94">
        <v>44900</v>
      </c>
      <c r="C33" t="s">
        <v>211</v>
      </c>
      <c r="D33" t="s">
        <v>268</v>
      </c>
      <c r="E33" s="95">
        <v>-2230</v>
      </c>
    </row>
    <row r="34" spans="1:5" x14ac:dyDescent="0.25">
      <c r="A34">
        <v>54</v>
      </c>
      <c r="B34" s="94">
        <v>44910</v>
      </c>
      <c r="C34" t="s">
        <v>211</v>
      </c>
      <c r="D34" t="s">
        <v>212</v>
      </c>
      <c r="E34" s="95">
        <v>-2250</v>
      </c>
    </row>
    <row r="35" spans="1:5" x14ac:dyDescent="0.25">
      <c r="A35">
        <v>22</v>
      </c>
      <c r="B35" s="94">
        <v>44921</v>
      </c>
      <c r="C35" t="s">
        <v>211</v>
      </c>
      <c r="D35" t="s">
        <v>268</v>
      </c>
      <c r="E35" s="95">
        <v>-2430</v>
      </c>
    </row>
    <row r="36" spans="1:5" x14ac:dyDescent="0.25">
      <c r="A36">
        <v>77</v>
      </c>
      <c r="B36" s="94">
        <v>44900</v>
      </c>
      <c r="C36" t="s">
        <v>244</v>
      </c>
      <c r="D36" t="s">
        <v>279</v>
      </c>
      <c r="E36" s="95">
        <v>-2500</v>
      </c>
    </row>
    <row r="37" spans="1:5" x14ac:dyDescent="0.25">
      <c r="A37">
        <v>7</v>
      </c>
      <c r="B37" s="94">
        <v>44924</v>
      </c>
      <c r="C37" t="s">
        <v>211</v>
      </c>
      <c r="D37" t="s">
        <v>216</v>
      </c>
      <c r="E37" s="95">
        <v>-2560.71</v>
      </c>
    </row>
    <row r="38" spans="1:5" x14ac:dyDescent="0.25">
      <c r="A38">
        <v>33</v>
      </c>
      <c r="B38" s="94">
        <v>44917</v>
      </c>
      <c r="C38" t="s">
        <v>211</v>
      </c>
      <c r="D38" t="s">
        <v>289</v>
      </c>
      <c r="E38" s="95">
        <v>-2600</v>
      </c>
    </row>
    <row r="39" spans="1:5" x14ac:dyDescent="0.25">
      <c r="A39">
        <v>50</v>
      </c>
      <c r="B39" s="94">
        <v>44911</v>
      </c>
      <c r="C39" t="s">
        <v>211</v>
      </c>
      <c r="D39" t="s">
        <v>268</v>
      </c>
      <c r="E39" s="95">
        <v>-2700</v>
      </c>
    </row>
    <row r="40" spans="1:5" x14ac:dyDescent="0.25">
      <c r="A40">
        <v>29</v>
      </c>
      <c r="B40" s="94">
        <v>44917</v>
      </c>
      <c r="C40" t="s">
        <v>211</v>
      </c>
      <c r="D40" t="s">
        <v>286</v>
      </c>
      <c r="E40" s="95">
        <v>-2719.48</v>
      </c>
    </row>
    <row r="41" spans="1:5" x14ac:dyDescent="0.25">
      <c r="A41">
        <v>53</v>
      </c>
      <c r="B41" s="94">
        <v>44910</v>
      </c>
      <c r="C41" t="s">
        <v>211</v>
      </c>
      <c r="D41" t="s">
        <v>281</v>
      </c>
      <c r="E41" s="95">
        <v>-3000</v>
      </c>
    </row>
    <row r="42" spans="1:5" x14ac:dyDescent="0.25">
      <c r="A42">
        <v>65</v>
      </c>
      <c r="B42" s="94">
        <v>44907</v>
      </c>
      <c r="C42" t="s">
        <v>217</v>
      </c>
      <c r="D42" t="s">
        <v>252</v>
      </c>
      <c r="E42" s="95">
        <v>-3000</v>
      </c>
    </row>
    <row r="43" spans="1:5" x14ac:dyDescent="0.25">
      <c r="A43">
        <v>78</v>
      </c>
      <c r="B43" s="94">
        <v>44900</v>
      </c>
      <c r="C43" t="s">
        <v>217</v>
      </c>
      <c r="D43" t="s">
        <v>270</v>
      </c>
      <c r="E43" s="95">
        <v>-3000</v>
      </c>
    </row>
    <row r="44" spans="1:5" x14ac:dyDescent="0.25">
      <c r="A44">
        <v>52</v>
      </c>
      <c r="B44" s="94">
        <v>44910</v>
      </c>
      <c r="C44" t="s">
        <v>211</v>
      </c>
      <c r="D44" t="s">
        <v>278</v>
      </c>
      <c r="E44" s="95">
        <v>-3005.5</v>
      </c>
    </row>
    <row r="45" spans="1:5" x14ac:dyDescent="0.25">
      <c r="A45">
        <v>46</v>
      </c>
      <c r="B45" s="94">
        <v>44914</v>
      </c>
      <c r="C45" t="s">
        <v>211</v>
      </c>
      <c r="D45" t="s">
        <v>245</v>
      </c>
      <c r="E45" s="95">
        <v>-3504.55</v>
      </c>
    </row>
    <row r="46" spans="1:5" x14ac:dyDescent="0.25">
      <c r="A46">
        <v>1</v>
      </c>
      <c r="B46" s="94">
        <v>44925</v>
      </c>
      <c r="C46" t="s">
        <v>211</v>
      </c>
      <c r="D46" t="s">
        <v>268</v>
      </c>
      <c r="E46" s="95">
        <v>-3700</v>
      </c>
    </row>
    <row r="47" spans="1:5" x14ac:dyDescent="0.25">
      <c r="A47">
        <v>10</v>
      </c>
      <c r="B47" s="94">
        <v>44923</v>
      </c>
      <c r="C47" t="s">
        <v>211</v>
      </c>
      <c r="D47" t="s">
        <v>245</v>
      </c>
      <c r="E47" s="95">
        <v>-3892.1</v>
      </c>
    </row>
    <row r="48" spans="1:5" x14ac:dyDescent="0.25">
      <c r="A48">
        <v>14</v>
      </c>
      <c r="B48" s="94">
        <v>44923</v>
      </c>
      <c r="C48" t="s">
        <v>217</v>
      </c>
      <c r="D48" t="s">
        <v>307</v>
      </c>
      <c r="E48" s="95">
        <v>-4465</v>
      </c>
    </row>
    <row r="49" spans="1:5" x14ac:dyDescent="0.25">
      <c r="A49">
        <v>18</v>
      </c>
      <c r="B49" s="94">
        <v>44921</v>
      </c>
      <c r="C49" t="s">
        <v>211</v>
      </c>
      <c r="D49" t="s">
        <v>228</v>
      </c>
      <c r="E49" s="95">
        <v>-4550</v>
      </c>
    </row>
    <row r="50" spans="1:5" x14ac:dyDescent="0.25">
      <c r="A50">
        <v>51</v>
      </c>
      <c r="B50" s="94">
        <v>44911</v>
      </c>
      <c r="C50" t="s">
        <v>217</v>
      </c>
      <c r="D50" t="s">
        <v>306</v>
      </c>
      <c r="E50" s="95">
        <v>-4600</v>
      </c>
    </row>
    <row r="51" spans="1:5" x14ac:dyDescent="0.25">
      <c r="A51">
        <v>30</v>
      </c>
      <c r="B51" s="94">
        <v>44917</v>
      </c>
      <c r="C51" t="s">
        <v>211</v>
      </c>
      <c r="D51" t="s">
        <v>216</v>
      </c>
      <c r="E51" s="95">
        <v>-4651</v>
      </c>
    </row>
    <row r="52" spans="1:5" x14ac:dyDescent="0.25">
      <c r="A52">
        <v>40</v>
      </c>
      <c r="B52" s="94">
        <v>44915</v>
      </c>
      <c r="C52" t="s">
        <v>244</v>
      </c>
      <c r="D52" t="s">
        <v>279</v>
      </c>
      <c r="E52" s="95">
        <v>-5000</v>
      </c>
    </row>
    <row r="53" spans="1:5" x14ac:dyDescent="0.25">
      <c r="A53">
        <v>47</v>
      </c>
      <c r="B53" s="94">
        <v>44914</v>
      </c>
      <c r="C53" t="s">
        <v>211</v>
      </c>
      <c r="D53" t="s">
        <v>273</v>
      </c>
      <c r="E53" s="95">
        <v>-5315.43</v>
      </c>
    </row>
    <row r="54" spans="1:5" x14ac:dyDescent="0.25">
      <c r="A54">
        <v>15</v>
      </c>
      <c r="B54" s="94">
        <v>44923</v>
      </c>
      <c r="C54" t="s">
        <v>217</v>
      </c>
      <c r="D54" t="s">
        <v>304</v>
      </c>
      <c r="E54" s="95">
        <v>-5535</v>
      </c>
    </row>
    <row r="55" spans="1:5" x14ac:dyDescent="0.25">
      <c r="A55">
        <v>38</v>
      </c>
      <c r="B55" s="94">
        <v>44916</v>
      </c>
      <c r="C55" t="s">
        <v>211</v>
      </c>
      <c r="D55" t="s">
        <v>286</v>
      </c>
      <c r="E55" s="95">
        <v>-6270.91</v>
      </c>
    </row>
    <row r="56" spans="1:5" x14ac:dyDescent="0.25">
      <c r="A56">
        <v>32</v>
      </c>
      <c r="B56" s="94">
        <v>44917</v>
      </c>
      <c r="C56" t="s">
        <v>211</v>
      </c>
      <c r="D56" t="s">
        <v>288</v>
      </c>
      <c r="E56" s="95">
        <v>-7580</v>
      </c>
    </row>
    <row r="57" spans="1:5" x14ac:dyDescent="0.25">
      <c r="A57">
        <v>3</v>
      </c>
      <c r="B57" s="94">
        <v>44925</v>
      </c>
      <c r="C57" t="s">
        <v>217</v>
      </c>
      <c r="D57" t="s">
        <v>305</v>
      </c>
      <c r="E57" s="95">
        <v>-8000</v>
      </c>
    </row>
    <row r="58" spans="1:5" x14ac:dyDescent="0.25">
      <c r="A58">
        <v>35</v>
      </c>
      <c r="B58" s="94">
        <v>44916</v>
      </c>
      <c r="C58" t="s">
        <v>211</v>
      </c>
      <c r="D58" t="s">
        <v>291</v>
      </c>
      <c r="E58" s="95">
        <v>-8000</v>
      </c>
    </row>
    <row r="59" spans="1:5" x14ac:dyDescent="0.25">
      <c r="A59">
        <v>60</v>
      </c>
      <c r="B59" s="94">
        <v>44907</v>
      </c>
      <c r="C59" t="s">
        <v>211</v>
      </c>
      <c r="D59" t="s">
        <v>294</v>
      </c>
      <c r="E59" s="95">
        <v>-9000</v>
      </c>
    </row>
    <row r="60" spans="1:5" x14ac:dyDescent="0.25">
      <c r="A60">
        <v>16</v>
      </c>
      <c r="B60" s="94">
        <v>44922</v>
      </c>
      <c r="C60" t="s">
        <v>217</v>
      </c>
      <c r="D60" t="s">
        <v>241</v>
      </c>
      <c r="E60" s="95">
        <v>-10000</v>
      </c>
    </row>
    <row r="61" spans="1:5" x14ac:dyDescent="0.25">
      <c r="A61">
        <v>8</v>
      </c>
      <c r="B61" s="94">
        <v>44924</v>
      </c>
      <c r="C61" t="s">
        <v>244</v>
      </c>
      <c r="D61" t="s">
        <v>300</v>
      </c>
      <c r="E61" s="95">
        <v>-10125</v>
      </c>
    </row>
    <row r="62" spans="1:5" x14ac:dyDescent="0.25">
      <c r="A62">
        <v>25</v>
      </c>
      <c r="B62" s="94">
        <v>44921</v>
      </c>
      <c r="C62" t="s">
        <v>217</v>
      </c>
      <c r="D62" t="s">
        <v>304</v>
      </c>
      <c r="E62" s="95">
        <v>-17965</v>
      </c>
    </row>
    <row r="63" spans="1:5" x14ac:dyDescent="0.25">
      <c r="A63">
        <v>28</v>
      </c>
      <c r="B63" s="94">
        <v>44918</v>
      </c>
      <c r="C63" t="s">
        <v>211</v>
      </c>
      <c r="D63" t="s">
        <v>219</v>
      </c>
      <c r="E63" s="95">
        <v>-31677.75</v>
      </c>
    </row>
    <row r="64" spans="1:5" x14ac:dyDescent="0.25">
      <c r="A64">
        <v>57</v>
      </c>
      <c r="B64" s="94">
        <v>44910</v>
      </c>
      <c r="C64" t="s">
        <v>217</v>
      </c>
      <c r="D64" t="s">
        <v>302</v>
      </c>
      <c r="E64" s="95">
        <v>-40000</v>
      </c>
    </row>
    <row r="65" spans="1:10" x14ac:dyDescent="0.25">
      <c r="A65">
        <v>4</v>
      </c>
      <c r="B65" s="94">
        <v>44925</v>
      </c>
      <c r="C65" t="s">
        <v>217</v>
      </c>
      <c r="D65" t="s">
        <v>308</v>
      </c>
      <c r="E65" s="95">
        <v>-100000</v>
      </c>
    </row>
    <row r="66" spans="1:10" x14ac:dyDescent="0.25">
      <c r="A66">
        <v>71</v>
      </c>
      <c r="B66" s="94">
        <v>44901</v>
      </c>
      <c r="C66" t="s">
        <v>217</v>
      </c>
      <c r="D66" t="s">
        <v>282</v>
      </c>
      <c r="E66" s="95">
        <v>-152000</v>
      </c>
    </row>
    <row r="67" spans="1:10" x14ac:dyDescent="0.25">
      <c r="A67">
        <v>69</v>
      </c>
      <c r="B67" s="94">
        <v>44901</v>
      </c>
      <c r="C67" t="s">
        <v>224</v>
      </c>
      <c r="D67" t="s">
        <v>225</v>
      </c>
      <c r="F67" s="95">
        <v>-76714.92</v>
      </c>
    </row>
    <row r="68" spans="1:10" x14ac:dyDescent="0.25">
      <c r="A68">
        <v>66</v>
      </c>
      <c r="B68" s="94">
        <v>44907</v>
      </c>
      <c r="C68" t="s">
        <v>222</v>
      </c>
      <c r="D68" t="s">
        <v>223</v>
      </c>
      <c r="F68" s="95">
        <v>-86992.14</v>
      </c>
    </row>
    <row r="69" spans="1:10" x14ac:dyDescent="0.25">
      <c r="A69">
        <v>67</v>
      </c>
      <c r="B69" s="94">
        <v>44907</v>
      </c>
      <c r="C69" t="s">
        <v>258</v>
      </c>
      <c r="H69" s="95">
        <v>-350000</v>
      </c>
    </row>
    <row r="70" spans="1:10" x14ac:dyDescent="0.25">
      <c r="A70">
        <v>23</v>
      </c>
      <c r="B70" s="94">
        <v>44921</v>
      </c>
      <c r="C70" t="s">
        <v>229</v>
      </c>
      <c r="D70" t="s">
        <v>230</v>
      </c>
      <c r="I70" s="95">
        <v>-5000</v>
      </c>
    </row>
    <row r="71" spans="1:10" x14ac:dyDescent="0.25">
      <c r="A71">
        <v>24</v>
      </c>
      <c r="B71" s="94">
        <v>44921</v>
      </c>
      <c r="C71" t="s">
        <v>229</v>
      </c>
      <c r="D71" t="s">
        <v>230</v>
      </c>
      <c r="I71" s="95">
        <v>-10000</v>
      </c>
    </row>
    <row r="72" spans="1:10" x14ac:dyDescent="0.25">
      <c r="A72">
        <v>39</v>
      </c>
      <c r="B72" s="94">
        <v>44916</v>
      </c>
      <c r="C72" t="s">
        <v>229</v>
      </c>
      <c r="D72" t="s">
        <v>301</v>
      </c>
      <c r="I72" s="95">
        <v>-10000</v>
      </c>
    </row>
    <row r="73" spans="1:10" x14ac:dyDescent="0.25">
      <c r="A73">
        <v>56</v>
      </c>
      <c r="B73" s="94">
        <v>44910</v>
      </c>
      <c r="C73" t="s">
        <v>229</v>
      </c>
      <c r="D73" t="s">
        <v>230</v>
      </c>
      <c r="I73" s="95">
        <v>-10000</v>
      </c>
    </row>
    <row r="74" spans="1:10" x14ac:dyDescent="0.25">
      <c r="A74">
        <v>2</v>
      </c>
      <c r="B74" s="94">
        <v>44925</v>
      </c>
      <c r="C74" t="s">
        <v>229</v>
      </c>
      <c r="D74" t="s">
        <v>230</v>
      </c>
      <c r="I74" s="95">
        <v>-13000</v>
      </c>
    </row>
    <row r="75" spans="1:10" x14ac:dyDescent="0.25">
      <c r="A75">
        <v>76</v>
      </c>
      <c r="B75" s="94">
        <v>44900</v>
      </c>
      <c r="C75" t="s">
        <v>229</v>
      </c>
      <c r="D75" t="s">
        <v>230</v>
      </c>
      <c r="I75" s="95">
        <v>-15000</v>
      </c>
    </row>
    <row r="76" spans="1:10" x14ac:dyDescent="0.25">
      <c r="A76">
        <v>75</v>
      </c>
      <c r="B76" s="94">
        <v>44900</v>
      </c>
      <c r="C76" t="s">
        <v>229</v>
      </c>
      <c r="D76" t="s">
        <v>230</v>
      </c>
      <c r="I76" s="95">
        <v>-30000</v>
      </c>
    </row>
    <row r="77" spans="1:10" x14ac:dyDescent="0.25">
      <c r="A77" s="99"/>
      <c r="B77" s="98">
        <v>44907</v>
      </c>
      <c r="C77" s="99" t="s">
        <v>280</v>
      </c>
      <c r="D77" s="99"/>
      <c r="E77" s="96"/>
      <c r="F77" s="96"/>
      <c r="G77" s="96">
        <v>-14022</v>
      </c>
    </row>
    <row r="78" spans="1:10" x14ac:dyDescent="0.25">
      <c r="A78" s="99"/>
      <c r="B78" s="98">
        <v>44907</v>
      </c>
      <c r="C78" s="99" t="s">
        <v>253</v>
      </c>
      <c r="D78" s="99"/>
      <c r="E78" s="96"/>
      <c r="F78" s="96">
        <v>14022</v>
      </c>
    </row>
    <row r="79" spans="1:10" x14ac:dyDescent="0.25">
      <c r="E79" s="95">
        <f>SUBTOTAL(109,Dic_Debitos[Gastos])</f>
        <v>-509264.89</v>
      </c>
      <c r="F79" s="95">
        <f>SUBTOTAL(109,Dic_Debitos[Tarjetas])</f>
        <v>-149685.06</v>
      </c>
      <c r="G79" s="95">
        <f>SUBTOTAL(109,Dic_Debitos[Impuestos])</f>
        <v>-14022</v>
      </c>
      <c r="H79" s="95">
        <f>SUBTOTAL(109,Dic_Debitos[Inversiones])</f>
        <v>-350000</v>
      </c>
      <c r="I79" s="95">
        <f>SUBTOTAL(109,Dic_Debitos[Extracciones])</f>
        <v>-93000</v>
      </c>
      <c r="J79">
        <f>SUBTOTAL(103,Dic_Debitos[Comentarios])</f>
        <v>0</v>
      </c>
    </row>
    <row r="81" spans="2:10" x14ac:dyDescent="0.25">
      <c r="C81" t="s">
        <v>209</v>
      </c>
      <c r="D81" t="s">
        <v>210</v>
      </c>
      <c r="E81" s="95" t="s">
        <v>233</v>
      </c>
      <c r="F81" s="95" t="s">
        <v>234</v>
      </c>
      <c r="G81" s="95" t="s">
        <v>235</v>
      </c>
      <c r="H81" s="95" t="s">
        <v>236</v>
      </c>
      <c r="I81" s="95" t="s">
        <v>237</v>
      </c>
      <c r="J81" t="s">
        <v>238</v>
      </c>
    </row>
    <row r="82" spans="2:10" x14ac:dyDescent="0.25">
      <c r="B82" s="94">
        <v>44926</v>
      </c>
      <c r="C82" t="s">
        <v>254</v>
      </c>
      <c r="E82" s="95">
        <v>-509264.89</v>
      </c>
      <c r="F82" s="95">
        <v>-149685.06</v>
      </c>
      <c r="G82" s="95">
        <v>-14022</v>
      </c>
      <c r="H82" s="95">
        <v>-350000</v>
      </c>
      <c r="I82" s="95">
        <v>-93000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/>
  <dimension ref="A1:H11"/>
  <sheetViews>
    <sheetView workbookViewId="0">
      <selection activeCell="G7" sqref="G7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7" customWidth="1"/>
    <col min="5" max="7" width="12.625" style="95" customWidth="1"/>
    <col min="8" max="8" width="31.875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95" t="s">
        <v>239</v>
      </c>
      <c r="F1" s="95" t="s">
        <v>240</v>
      </c>
      <c r="G1" s="95" t="s">
        <v>236</v>
      </c>
      <c r="H1" t="s">
        <v>238</v>
      </c>
    </row>
    <row r="2" spans="1:8" x14ac:dyDescent="0.25">
      <c r="A2">
        <v>48</v>
      </c>
      <c r="B2" s="94">
        <v>44914</v>
      </c>
      <c r="C2" t="s">
        <v>226</v>
      </c>
      <c r="D2" t="s">
        <v>227</v>
      </c>
      <c r="E2" s="95">
        <v>209332.82</v>
      </c>
      <c r="H2" s="95"/>
    </row>
    <row r="3" spans="1:8" x14ac:dyDescent="0.25">
      <c r="A3">
        <v>70</v>
      </c>
      <c r="B3" s="94">
        <v>44901</v>
      </c>
      <c r="C3" t="s">
        <v>226</v>
      </c>
      <c r="D3" t="s">
        <v>227</v>
      </c>
      <c r="E3" s="95">
        <v>589385.9</v>
      </c>
      <c r="H3" s="95" t="s">
        <v>316</v>
      </c>
    </row>
    <row r="4" spans="1:8" x14ac:dyDescent="0.25">
      <c r="A4">
        <v>80</v>
      </c>
      <c r="B4" s="94">
        <v>44896</v>
      </c>
      <c r="C4" t="s">
        <v>231</v>
      </c>
      <c r="F4" s="95">
        <v>47.45</v>
      </c>
      <c r="H4" s="95"/>
    </row>
    <row r="5" spans="1:8" x14ac:dyDescent="0.25">
      <c r="A5">
        <v>74</v>
      </c>
      <c r="B5" s="94">
        <v>44900</v>
      </c>
      <c r="C5" t="s">
        <v>221</v>
      </c>
      <c r="D5" t="s">
        <v>257</v>
      </c>
      <c r="F5" s="95">
        <v>3000</v>
      </c>
      <c r="H5" s="95"/>
    </row>
    <row r="6" spans="1:8" x14ac:dyDescent="0.25">
      <c r="A6">
        <v>13</v>
      </c>
      <c r="B6" s="94">
        <v>44923</v>
      </c>
      <c r="C6" t="s">
        <v>221</v>
      </c>
      <c r="D6" t="s">
        <v>299</v>
      </c>
      <c r="F6" s="95">
        <v>32000</v>
      </c>
      <c r="H6" s="95" t="s">
        <v>309</v>
      </c>
    </row>
    <row r="7" spans="1:8" x14ac:dyDescent="0.25">
      <c r="A7">
        <v>49</v>
      </c>
      <c r="B7" s="94">
        <v>44914</v>
      </c>
      <c r="C7" t="s">
        <v>243</v>
      </c>
      <c r="G7" s="95">
        <f>372294.52-350000</f>
        <v>22294.520000000019</v>
      </c>
      <c r="H7" s="95"/>
    </row>
    <row r="8" spans="1:8" x14ac:dyDescent="0.25">
      <c r="E8" s="95">
        <f>SUBTOTAL(109,Dic_Creditos[Haberes])</f>
        <v>798718.72</v>
      </c>
      <c r="F8" s="95">
        <f>SUBTOTAL(109,Dic_Creditos[Extras])</f>
        <v>35047.449999999997</v>
      </c>
      <c r="G8" s="95">
        <f>SUBTOTAL(109,Dic_Creditos[Inversiones])</f>
        <v>22294.520000000019</v>
      </c>
    </row>
    <row r="10" spans="1:8" x14ac:dyDescent="0.25">
      <c r="C10" t="s">
        <v>209</v>
      </c>
      <c r="D10" t="s">
        <v>210</v>
      </c>
      <c r="E10" s="95" t="s">
        <v>239</v>
      </c>
      <c r="F10" s="95" t="s">
        <v>240</v>
      </c>
      <c r="G10" s="95" t="s">
        <v>236</v>
      </c>
    </row>
    <row r="11" spans="1:8" x14ac:dyDescent="0.25">
      <c r="B11" s="94">
        <v>44926</v>
      </c>
      <c r="C11" t="s">
        <v>254</v>
      </c>
      <c r="E11" s="95">
        <v>798718.72</v>
      </c>
      <c r="F11" s="95">
        <v>35047.449999999997</v>
      </c>
      <c r="G11" s="95">
        <v>22294.520000000019</v>
      </c>
      <c r="H11" s="95">
        <f>F11+G11</f>
        <v>57341.970000000016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6"/>
  <dimension ref="A1:I6"/>
  <sheetViews>
    <sheetView workbookViewId="0">
      <selection activeCell="C31" sqref="C31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95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95" t="s">
        <v>233</v>
      </c>
      <c r="E1" s="95" t="s">
        <v>234</v>
      </c>
      <c r="F1" s="95" t="s">
        <v>235</v>
      </c>
      <c r="G1" s="95" t="s">
        <v>236</v>
      </c>
      <c r="H1" s="95" t="s">
        <v>240</v>
      </c>
      <c r="I1" t="s">
        <v>238</v>
      </c>
    </row>
    <row r="2" spans="1:9" x14ac:dyDescent="0.25">
      <c r="A2" s="94">
        <v>44927</v>
      </c>
      <c r="B2" t="s">
        <v>283</v>
      </c>
      <c r="D2" s="95">
        <v>-13290</v>
      </c>
      <c r="E2" s="95">
        <v>0</v>
      </c>
      <c r="F2" s="95">
        <v>0</v>
      </c>
      <c r="G2" s="95">
        <v>0</v>
      </c>
      <c r="H2" s="95">
        <v>0</v>
      </c>
    </row>
    <row r="3" spans="1:9" x14ac:dyDescent="0.25">
      <c r="D3" s="95">
        <f>SUBTOTAL(109,Ene_Efectivo[Gastos])</f>
        <v>-13290</v>
      </c>
      <c r="E3" s="95">
        <f>SUBTOTAL(109,Ene_Efectivo[Tarjetas])</f>
        <v>0</v>
      </c>
      <c r="F3" s="95">
        <f>SUBTOTAL(109,Ene_Efectivo[Impuestos])</f>
        <v>0</v>
      </c>
      <c r="G3" s="95">
        <f>SUBTOTAL(109,Ene_Efectivo[Inversiones])</f>
        <v>0</v>
      </c>
      <c r="H3" s="95">
        <f>SUBTOTAL(109,Ene_Efectivo[Extras])</f>
        <v>0</v>
      </c>
      <c r="I3">
        <f>SUBTOTAL(103,Ene_Efectivo[Comentarios])</f>
        <v>0</v>
      </c>
    </row>
    <row r="5" spans="1:9" x14ac:dyDescent="0.25">
      <c r="B5" t="s">
        <v>209</v>
      </c>
      <c r="C5" t="s">
        <v>210</v>
      </c>
      <c r="D5" s="95" t="s">
        <v>233</v>
      </c>
      <c r="E5" s="95" t="s">
        <v>234</v>
      </c>
      <c r="F5" s="95" t="s">
        <v>235</v>
      </c>
      <c r="G5" s="95" t="s">
        <v>236</v>
      </c>
      <c r="H5" s="95" t="s">
        <v>240</v>
      </c>
      <c r="I5" t="s">
        <v>238</v>
      </c>
    </row>
    <row r="6" spans="1:9" x14ac:dyDescent="0.25">
      <c r="A6" s="94">
        <v>44957</v>
      </c>
      <c r="B6" t="s">
        <v>254</v>
      </c>
      <c r="D6" s="95">
        <v>-13290</v>
      </c>
      <c r="E6" s="95">
        <v>0</v>
      </c>
      <c r="F6" s="95">
        <v>0</v>
      </c>
      <c r="G6" s="95">
        <v>0</v>
      </c>
      <c r="H6" s="95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87331-01AA-4091-83F1-D308D488D5E2}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P7"/>
  <sheetViews>
    <sheetView workbookViewId="0">
      <selection activeCell="E7" sqref="E7"/>
    </sheetView>
  </sheetViews>
  <sheetFormatPr baseColWidth="10" defaultRowHeight="15.75" x14ac:dyDescent="0.25"/>
  <cols>
    <col min="1" max="1" width="11.25" customWidth="1"/>
    <col min="3" max="3" width="19.375" customWidth="1"/>
    <col min="6" max="6" width="11.5" customWidth="1"/>
    <col min="7" max="7" width="12.375" customWidth="1"/>
    <col min="8" max="8" width="13.375" customWidth="1"/>
    <col min="9" max="9" width="12" customWidth="1"/>
    <col min="10" max="10" width="13.125" customWidth="1"/>
    <col min="11" max="11" width="15.125" customWidth="1"/>
    <col min="14" max="14" width="18.125" customWidth="1"/>
    <col min="15" max="15" width="11.5" customWidth="1"/>
    <col min="16" max="16" width="13.5" customWidth="1"/>
  </cols>
  <sheetData>
    <row r="1" spans="1:16" x14ac:dyDescent="0.25">
      <c r="A1" s="299" t="s">
        <v>141</v>
      </c>
      <c r="B1" t="s">
        <v>209</v>
      </c>
      <c r="C1" t="s">
        <v>210</v>
      </c>
      <c r="D1" t="s">
        <v>233</v>
      </c>
      <c r="E1" t="s">
        <v>234</v>
      </c>
      <c r="F1" t="s">
        <v>235</v>
      </c>
      <c r="G1" t="s">
        <v>236</v>
      </c>
      <c r="H1" t="s">
        <v>237</v>
      </c>
      <c r="I1" t="s">
        <v>495</v>
      </c>
      <c r="J1" t="s">
        <v>496</v>
      </c>
      <c r="K1" t="s">
        <v>497</v>
      </c>
      <c r="L1" t="s">
        <v>239</v>
      </c>
      <c r="M1" t="s">
        <v>240</v>
      </c>
      <c r="N1" t="s">
        <v>498</v>
      </c>
      <c r="O1" t="s">
        <v>499</v>
      </c>
      <c r="P1" t="s">
        <v>238</v>
      </c>
    </row>
    <row r="2" spans="1:16" x14ac:dyDescent="0.25">
      <c r="A2" s="94">
        <v>45077</v>
      </c>
      <c r="B2" t="s">
        <v>500</v>
      </c>
      <c r="C2" t="s">
        <v>501</v>
      </c>
      <c r="D2" s="280">
        <v>-254739.77</v>
      </c>
      <c r="E2" s="280">
        <v>-311513.46000000002</v>
      </c>
      <c r="F2" s="280">
        <v>0</v>
      </c>
      <c r="G2" s="280">
        <v>-80025</v>
      </c>
      <c r="H2" s="280">
        <v>-50000</v>
      </c>
      <c r="I2" s="280">
        <v>-180.02</v>
      </c>
      <c r="J2" s="280">
        <v>0</v>
      </c>
      <c r="K2" s="280">
        <v>0</v>
      </c>
      <c r="L2" s="280">
        <v>499330.36</v>
      </c>
      <c r="M2" s="280">
        <v>159049.24</v>
      </c>
      <c r="N2" s="280">
        <v>0</v>
      </c>
      <c r="O2" s="280">
        <v>15000</v>
      </c>
      <c r="P2" s="280"/>
    </row>
    <row r="3" spans="1:16" x14ac:dyDescent="0.25">
      <c r="A3" s="94"/>
      <c r="B3" t="s">
        <v>209</v>
      </c>
      <c r="C3" t="s">
        <v>210</v>
      </c>
      <c r="D3" s="280" t="s">
        <v>233</v>
      </c>
      <c r="E3" s="280" t="s">
        <v>234</v>
      </c>
      <c r="F3" s="280" t="s">
        <v>235</v>
      </c>
      <c r="G3" s="280" t="s">
        <v>236</v>
      </c>
      <c r="H3" s="280" t="s">
        <v>237</v>
      </c>
      <c r="I3" s="280" t="s">
        <v>495</v>
      </c>
      <c r="J3" s="280" t="s">
        <v>496</v>
      </c>
      <c r="K3" s="280" t="s">
        <v>497</v>
      </c>
      <c r="L3" s="280" t="s">
        <v>239</v>
      </c>
      <c r="M3" s="280" t="s">
        <v>240</v>
      </c>
      <c r="N3" s="280" t="s">
        <v>498</v>
      </c>
      <c r="O3" s="280" t="s">
        <v>499</v>
      </c>
      <c r="P3" s="280" t="s">
        <v>238</v>
      </c>
    </row>
    <row r="4" spans="1:16" x14ac:dyDescent="0.25">
      <c r="A4" s="94">
        <v>45077</v>
      </c>
      <c r="B4" t="s">
        <v>500</v>
      </c>
      <c r="C4" t="s">
        <v>501</v>
      </c>
      <c r="D4" s="280">
        <v>-254739.77</v>
      </c>
      <c r="E4" s="280">
        <v>-311513.46000000002</v>
      </c>
      <c r="F4" s="280">
        <v>0</v>
      </c>
      <c r="G4" s="280">
        <v>-80025</v>
      </c>
      <c r="H4" s="280">
        <v>-50000</v>
      </c>
      <c r="I4" s="280">
        <v>-180.02</v>
      </c>
      <c r="J4" s="280">
        <v>0</v>
      </c>
      <c r="K4" s="280">
        <v>0</v>
      </c>
      <c r="L4" s="280">
        <v>499330.36</v>
      </c>
      <c r="M4" s="280">
        <v>159049.24</v>
      </c>
      <c r="N4" s="280">
        <v>0</v>
      </c>
      <c r="O4" s="280">
        <v>15000</v>
      </c>
      <c r="P4" s="280"/>
    </row>
    <row r="5" spans="1:16" x14ac:dyDescent="0.25">
      <c r="A5" s="94">
        <v>45077</v>
      </c>
      <c r="B5" t="s">
        <v>500</v>
      </c>
      <c r="C5" t="s">
        <v>501</v>
      </c>
      <c r="D5" s="280">
        <v>-254739.77</v>
      </c>
      <c r="E5" s="280">
        <v>-311243.46000000002</v>
      </c>
      <c r="F5" s="280">
        <v>0</v>
      </c>
      <c r="G5" s="280">
        <v>-80025</v>
      </c>
      <c r="H5" s="280">
        <v>-50000</v>
      </c>
      <c r="I5" s="280">
        <v>-26680.02</v>
      </c>
      <c r="J5" s="280">
        <v>0</v>
      </c>
      <c r="K5" s="280">
        <v>0</v>
      </c>
      <c r="L5" s="280">
        <v>499330.36</v>
      </c>
      <c r="M5" s="280">
        <v>159049.24</v>
      </c>
      <c r="N5" s="280">
        <v>0</v>
      </c>
      <c r="O5" s="280">
        <v>0</v>
      </c>
      <c r="P5" s="280"/>
    </row>
    <row r="6" spans="1:16" x14ac:dyDescent="0.25">
      <c r="A6" s="94">
        <v>45107</v>
      </c>
      <c r="B6" t="s">
        <v>500</v>
      </c>
      <c r="C6" t="s">
        <v>501</v>
      </c>
      <c r="D6" s="280">
        <v>-207897.45</v>
      </c>
      <c r="E6" s="280">
        <v>-357623.33</v>
      </c>
      <c r="F6" s="280">
        <v>0</v>
      </c>
      <c r="G6" s="280">
        <v>-83655</v>
      </c>
      <c r="H6" s="280">
        <v>-81000</v>
      </c>
      <c r="I6" s="280">
        <v>-52050</v>
      </c>
      <c r="J6" s="280">
        <v>0</v>
      </c>
      <c r="K6" s="280">
        <v>0</v>
      </c>
      <c r="L6" s="280">
        <v>418996.06</v>
      </c>
      <c r="M6" s="280">
        <v>4696.51</v>
      </c>
      <c r="N6" s="280">
        <v>0</v>
      </c>
      <c r="O6" s="280">
        <v>0</v>
      </c>
      <c r="P6" s="280"/>
    </row>
    <row r="7" spans="1:16" x14ac:dyDescent="0.25">
      <c r="A7" s="94">
        <v>45138</v>
      </c>
      <c r="B7" t="s">
        <v>500</v>
      </c>
      <c r="C7" t="s">
        <v>501</v>
      </c>
      <c r="D7" s="280">
        <v>203877.96</v>
      </c>
      <c r="E7" s="280">
        <v>564882.11</v>
      </c>
      <c r="F7" s="280">
        <v>0</v>
      </c>
      <c r="G7" s="280">
        <v>92400</v>
      </c>
      <c r="H7" s="280">
        <v>78000</v>
      </c>
      <c r="I7" s="280">
        <v>11390</v>
      </c>
      <c r="J7" s="280">
        <v>0</v>
      </c>
      <c r="K7" s="280">
        <v>0</v>
      </c>
      <c r="L7" s="280">
        <v>1005967.4400000001</v>
      </c>
      <c r="M7" s="280">
        <v>62186.07</v>
      </c>
      <c r="N7" s="280">
        <v>0</v>
      </c>
      <c r="O7" s="280">
        <v>0</v>
      </c>
      <c r="P7" s="28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">
    <tabColor rgb="FFFFFF00"/>
  </sheetPr>
  <dimension ref="A1:R33"/>
  <sheetViews>
    <sheetView topLeftCell="A2" zoomScale="60" zoomScaleNormal="60" workbookViewId="0">
      <selection activeCell="D24" sqref="D24"/>
    </sheetView>
  </sheetViews>
  <sheetFormatPr baseColWidth="10" defaultColWidth="8" defaultRowHeight="15" x14ac:dyDescent="0.25"/>
  <cols>
    <col min="1" max="1" width="20.625" style="9" customWidth="1"/>
    <col min="2" max="2" width="14.625" style="9" customWidth="1"/>
    <col min="3" max="3" width="40.625" style="9" customWidth="1"/>
    <col min="4" max="4" width="20.625" style="11" customWidth="1"/>
    <col min="5" max="5" width="6.875" style="12" customWidth="1"/>
    <col min="6" max="17" width="10.5" style="6" customWidth="1"/>
    <col min="18" max="16384" width="8" style="6"/>
  </cols>
  <sheetData>
    <row r="1" spans="1:18" ht="39.950000000000003" customHeight="1" x14ac:dyDescent="0.3">
      <c r="A1" s="324" t="s">
        <v>22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</row>
    <row r="2" spans="1:18" ht="39.950000000000003" customHeight="1" x14ac:dyDescent="0.25">
      <c r="A2" s="226"/>
      <c r="B2" s="226"/>
      <c r="C2" s="226"/>
      <c r="D2" s="227"/>
      <c r="E2" s="228"/>
      <c r="F2" s="228" t="s">
        <v>23</v>
      </c>
      <c r="G2" s="228" t="s">
        <v>24</v>
      </c>
      <c r="H2" s="228" t="s">
        <v>25</v>
      </c>
      <c r="I2" s="228" t="s">
        <v>26</v>
      </c>
      <c r="J2" s="228" t="s">
        <v>27</v>
      </c>
      <c r="K2" s="228" t="s">
        <v>28</v>
      </c>
      <c r="L2" s="228" t="s">
        <v>29</v>
      </c>
      <c r="M2" s="228" t="s">
        <v>30</v>
      </c>
      <c r="N2" s="228" t="s">
        <v>31</v>
      </c>
      <c r="O2" s="228" t="s">
        <v>32</v>
      </c>
      <c r="P2" s="228" t="s">
        <v>33</v>
      </c>
      <c r="Q2" s="228" t="s">
        <v>34</v>
      </c>
    </row>
    <row r="3" spans="1:18" ht="39.950000000000003" customHeight="1" x14ac:dyDescent="0.25">
      <c r="A3" s="229" t="s">
        <v>35</v>
      </c>
      <c r="B3" s="230" t="s">
        <v>36</v>
      </c>
      <c r="C3" s="230" t="s">
        <v>37</v>
      </c>
      <c r="D3" s="231" t="s">
        <v>38</v>
      </c>
      <c r="E3" s="232" t="s">
        <v>39</v>
      </c>
      <c r="F3" s="232" t="s">
        <v>40</v>
      </c>
      <c r="G3" s="232" t="s">
        <v>41</v>
      </c>
      <c r="H3" s="232" t="s">
        <v>42</v>
      </c>
      <c r="I3" s="232" t="s">
        <v>43</v>
      </c>
      <c r="J3" s="232" t="s">
        <v>44</v>
      </c>
      <c r="K3" s="232" t="s">
        <v>45</v>
      </c>
      <c r="L3" s="232" t="s">
        <v>46</v>
      </c>
      <c r="M3" s="232" t="s">
        <v>47</v>
      </c>
      <c r="N3" s="232" t="s">
        <v>48</v>
      </c>
      <c r="O3" s="232" t="s">
        <v>49</v>
      </c>
      <c r="P3" s="232" t="s">
        <v>50</v>
      </c>
      <c r="Q3" s="233" t="s">
        <v>51</v>
      </c>
    </row>
    <row r="4" spans="1:18" ht="30" customHeight="1" x14ac:dyDescent="0.25">
      <c r="A4" s="209" t="s">
        <v>52</v>
      </c>
      <c r="B4" s="208" t="s">
        <v>53</v>
      </c>
      <c r="C4" s="208" t="s">
        <v>54</v>
      </c>
      <c r="D4" s="210" t="s">
        <v>55</v>
      </c>
      <c r="E4" s="211">
        <v>11</v>
      </c>
      <c r="F4" s="255"/>
      <c r="G4" s="255">
        <v>620</v>
      </c>
      <c r="H4" s="255">
        <v>620</v>
      </c>
      <c r="I4" s="255">
        <v>620</v>
      </c>
      <c r="J4" s="255">
        <v>620</v>
      </c>
      <c r="K4" s="255">
        <v>620</v>
      </c>
      <c r="L4" s="255">
        <v>620</v>
      </c>
      <c r="M4" s="255">
        <v>620</v>
      </c>
      <c r="N4" s="255">
        <v>620</v>
      </c>
      <c r="O4" s="255">
        <v>620</v>
      </c>
      <c r="P4" s="255">
        <v>620</v>
      </c>
      <c r="Q4" s="256">
        <v>620</v>
      </c>
    </row>
    <row r="5" spans="1:18" ht="30" customHeight="1" x14ac:dyDescent="0.25">
      <c r="A5" s="209" t="s">
        <v>52</v>
      </c>
      <c r="B5" s="208" t="s">
        <v>53</v>
      </c>
      <c r="C5" s="208" t="s">
        <v>58</v>
      </c>
      <c r="D5" s="210" t="s">
        <v>59</v>
      </c>
      <c r="E5" s="211">
        <v>11</v>
      </c>
      <c r="F5" s="255"/>
      <c r="G5" s="255">
        <v>1220</v>
      </c>
      <c r="H5" s="255">
        <v>1220</v>
      </c>
      <c r="I5" s="255">
        <v>1220</v>
      </c>
      <c r="J5" s="255">
        <v>1220</v>
      </c>
      <c r="K5" s="255">
        <v>1220</v>
      </c>
      <c r="L5" s="255">
        <v>1220</v>
      </c>
      <c r="M5" s="255">
        <v>1220</v>
      </c>
      <c r="N5" s="255">
        <v>1220</v>
      </c>
      <c r="O5" s="255">
        <v>1220</v>
      </c>
      <c r="P5" s="255">
        <v>1220</v>
      </c>
      <c r="Q5" s="256">
        <v>1220</v>
      </c>
    </row>
    <row r="6" spans="1:18" ht="30" customHeight="1" x14ac:dyDescent="0.25">
      <c r="A6" s="209" t="s">
        <v>52</v>
      </c>
      <c r="B6" s="208" t="s">
        <v>61</v>
      </c>
      <c r="C6" s="208" t="s">
        <v>62</v>
      </c>
      <c r="D6" s="212">
        <v>120106758617</v>
      </c>
      <c r="E6" s="211">
        <v>11</v>
      </c>
      <c r="F6" s="255"/>
      <c r="G6" s="255">
        <v>540</v>
      </c>
      <c r="H6" s="255">
        <v>540</v>
      </c>
      <c r="I6" s="255">
        <v>540</v>
      </c>
      <c r="J6" s="255">
        <v>540</v>
      </c>
      <c r="K6" s="255">
        <v>540</v>
      </c>
      <c r="L6" s="255">
        <v>540</v>
      </c>
      <c r="M6" s="255">
        <v>540</v>
      </c>
      <c r="N6" s="255">
        <v>540</v>
      </c>
      <c r="O6" s="255">
        <v>540</v>
      </c>
      <c r="P6" s="255">
        <v>540</v>
      </c>
      <c r="Q6" s="256">
        <v>540</v>
      </c>
    </row>
    <row r="7" spans="1:18" ht="30" customHeight="1" x14ac:dyDescent="0.25">
      <c r="A7" s="209" t="s">
        <v>52</v>
      </c>
      <c r="B7" s="208" t="s">
        <v>61</v>
      </c>
      <c r="C7" s="208" t="s">
        <v>63</v>
      </c>
      <c r="D7" s="212">
        <v>110109729043</v>
      </c>
      <c r="E7" s="211">
        <v>11</v>
      </c>
      <c r="F7" s="255"/>
      <c r="G7" s="255">
        <v>3700</v>
      </c>
      <c r="H7" s="255">
        <v>3700</v>
      </c>
      <c r="I7" s="255">
        <v>3700</v>
      </c>
      <c r="J7" s="255">
        <v>3700</v>
      </c>
      <c r="K7" s="255">
        <v>3700</v>
      </c>
      <c r="L7" s="255">
        <v>3700</v>
      </c>
      <c r="M7" s="255">
        <v>3700</v>
      </c>
      <c r="N7" s="255">
        <v>3700</v>
      </c>
      <c r="O7" s="255">
        <v>3700</v>
      </c>
      <c r="P7" s="255">
        <v>3700</v>
      </c>
      <c r="Q7" s="256">
        <v>3700</v>
      </c>
    </row>
    <row r="8" spans="1:18" ht="30" customHeight="1" x14ac:dyDescent="0.25">
      <c r="A8" s="209" t="s">
        <v>52</v>
      </c>
      <c r="B8" s="208" t="s">
        <v>61</v>
      </c>
      <c r="C8" s="208" t="s">
        <v>65</v>
      </c>
      <c r="D8" s="212">
        <v>120106758625</v>
      </c>
      <c r="E8" s="211">
        <v>11</v>
      </c>
      <c r="F8" s="255"/>
      <c r="G8" s="255">
        <v>950</v>
      </c>
      <c r="H8" s="255">
        <v>950</v>
      </c>
      <c r="I8" s="255">
        <v>950</v>
      </c>
      <c r="J8" s="255">
        <v>950</v>
      </c>
      <c r="K8" s="255">
        <v>950</v>
      </c>
      <c r="L8" s="255">
        <v>950</v>
      </c>
      <c r="M8" s="255">
        <v>950</v>
      </c>
      <c r="N8" s="255">
        <v>950</v>
      </c>
      <c r="O8" s="255">
        <v>950</v>
      </c>
      <c r="P8" s="255">
        <v>950</v>
      </c>
      <c r="Q8" s="256">
        <v>950</v>
      </c>
    </row>
    <row r="9" spans="1:18" ht="30" customHeight="1" x14ac:dyDescent="0.25">
      <c r="A9" s="209" t="s">
        <v>52</v>
      </c>
      <c r="B9" s="208" t="s">
        <v>61</v>
      </c>
      <c r="C9" s="208" t="s">
        <v>285</v>
      </c>
      <c r="D9" s="212">
        <v>110124049806</v>
      </c>
      <c r="E9" s="211">
        <v>11</v>
      </c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6"/>
    </row>
    <row r="10" spans="1:18" ht="30" customHeight="1" x14ac:dyDescent="0.25">
      <c r="A10" s="213" t="s">
        <v>56</v>
      </c>
      <c r="B10" s="214" t="s">
        <v>53</v>
      </c>
      <c r="C10" s="214" t="s">
        <v>54</v>
      </c>
      <c r="D10" s="215" t="s">
        <v>57</v>
      </c>
      <c r="E10" s="216">
        <v>12</v>
      </c>
      <c r="F10" s="257">
        <f>601+637</f>
        <v>1238</v>
      </c>
      <c r="G10" s="257">
        <v>1238</v>
      </c>
      <c r="H10" s="257">
        <v>1238</v>
      </c>
      <c r="I10" s="257">
        <v>1238</v>
      </c>
      <c r="J10" s="257">
        <v>1238</v>
      </c>
      <c r="K10" s="257">
        <v>1238</v>
      </c>
      <c r="L10" s="257">
        <v>1238</v>
      </c>
      <c r="M10" s="257">
        <v>1238</v>
      </c>
      <c r="N10" s="257">
        <v>1238</v>
      </c>
      <c r="O10" s="257">
        <v>1238</v>
      </c>
      <c r="P10" s="257">
        <v>1238</v>
      </c>
      <c r="Q10" s="258">
        <v>1238</v>
      </c>
    </row>
    <row r="11" spans="1:18" ht="30" customHeight="1" x14ac:dyDescent="0.25">
      <c r="A11" s="213" t="s">
        <v>56</v>
      </c>
      <c r="B11" s="214" t="s">
        <v>53</v>
      </c>
      <c r="C11" s="214" t="s">
        <v>58</v>
      </c>
      <c r="D11" s="215" t="s">
        <v>60</v>
      </c>
      <c r="E11" s="216">
        <v>12</v>
      </c>
      <c r="F11" s="257">
        <f>1075+1139</f>
        <v>2214</v>
      </c>
      <c r="G11" s="257">
        <v>2214</v>
      </c>
      <c r="H11" s="257">
        <v>2214</v>
      </c>
      <c r="I11" s="257">
        <v>2214</v>
      </c>
      <c r="J11" s="257">
        <v>2214</v>
      </c>
      <c r="K11" s="257">
        <v>2214</v>
      </c>
      <c r="L11" s="257">
        <v>2214</v>
      </c>
      <c r="M11" s="257">
        <v>2214</v>
      </c>
      <c r="N11" s="257">
        <v>2214</v>
      </c>
      <c r="O11" s="257">
        <v>2214</v>
      </c>
      <c r="P11" s="257">
        <v>2214</v>
      </c>
      <c r="Q11" s="258">
        <v>2214</v>
      </c>
    </row>
    <row r="12" spans="1:18" ht="30" customHeight="1" x14ac:dyDescent="0.25">
      <c r="A12" s="213" t="s">
        <v>56</v>
      </c>
      <c r="B12" s="214" t="s">
        <v>61</v>
      </c>
      <c r="C12" s="214" t="s">
        <v>64</v>
      </c>
      <c r="D12" s="264" t="s">
        <v>364</v>
      </c>
      <c r="E12" s="216">
        <v>12</v>
      </c>
      <c r="F12" s="257">
        <f>2879+661</f>
        <v>3540</v>
      </c>
      <c r="G12" s="257">
        <v>3540</v>
      </c>
      <c r="H12" s="257">
        <v>3540</v>
      </c>
      <c r="I12" s="257">
        <v>3540</v>
      </c>
      <c r="J12" s="257">
        <v>3540</v>
      </c>
      <c r="K12" s="257">
        <v>3540</v>
      </c>
      <c r="L12" s="257">
        <v>3540</v>
      </c>
      <c r="M12" s="257">
        <v>3540</v>
      </c>
      <c r="N12" s="257">
        <v>3540</v>
      </c>
      <c r="O12" s="257">
        <v>3540</v>
      </c>
      <c r="P12" s="257">
        <v>3540</v>
      </c>
      <c r="Q12" s="258">
        <v>3540</v>
      </c>
      <c r="R12" s="266"/>
    </row>
    <row r="13" spans="1:18" ht="30" customHeight="1" x14ac:dyDescent="0.25">
      <c r="A13" s="213" t="s">
        <v>56</v>
      </c>
      <c r="B13" s="214" t="s">
        <v>61</v>
      </c>
      <c r="C13" s="214" t="s">
        <v>285</v>
      </c>
      <c r="D13" s="265" t="s">
        <v>365</v>
      </c>
      <c r="E13" s="216">
        <v>12</v>
      </c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8"/>
    </row>
    <row r="14" spans="1:18" ht="30" customHeight="1" x14ac:dyDescent="0.25">
      <c r="A14" s="217" t="s">
        <v>66</v>
      </c>
      <c r="B14" s="218" t="s">
        <v>61</v>
      </c>
      <c r="C14" s="218" t="s">
        <v>65</v>
      </c>
      <c r="D14" s="219" t="s">
        <v>67</v>
      </c>
      <c r="E14" s="220">
        <v>1</v>
      </c>
      <c r="F14" s="259"/>
      <c r="G14" s="259">
        <v>15449.4</v>
      </c>
      <c r="H14" s="259"/>
      <c r="I14" s="259"/>
      <c r="J14" s="259"/>
      <c r="K14" s="259"/>
      <c r="L14" s="259"/>
      <c r="M14" s="259"/>
      <c r="N14" s="259"/>
      <c r="O14" s="259"/>
      <c r="P14" s="259"/>
      <c r="Q14" s="260"/>
    </row>
    <row r="15" spans="1:18" ht="30" customHeight="1" x14ac:dyDescent="0.25">
      <c r="A15" s="217" t="s">
        <v>66</v>
      </c>
      <c r="B15" s="218" t="s">
        <v>61</v>
      </c>
      <c r="C15" s="218" t="s">
        <v>62</v>
      </c>
      <c r="D15" s="219" t="s">
        <v>68</v>
      </c>
      <c r="E15" s="220">
        <v>1</v>
      </c>
      <c r="F15" s="259"/>
      <c r="G15" s="259">
        <v>15449.4</v>
      </c>
      <c r="H15" s="259"/>
      <c r="I15" s="259"/>
      <c r="J15" s="259"/>
      <c r="K15" s="259"/>
      <c r="L15" s="259"/>
      <c r="M15" s="259"/>
      <c r="N15" s="259"/>
      <c r="O15" s="259"/>
      <c r="P15" s="259"/>
      <c r="Q15" s="260"/>
    </row>
    <row r="16" spans="1:18" ht="30" customHeight="1" x14ac:dyDescent="0.25">
      <c r="A16" s="221" t="s">
        <v>69</v>
      </c>
      <c r="B16" s="222" t="s">
        <v>70</v>
      </c>
      <c r="C16" s="222" t="s">
        <v>71</v>
      </c>
      <c r="D16" s="223" t="s">
        <v>72</v>
      </c>
      <c r="E16" s="224">
        <v>6</v>
      </c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2"/>
    </row>
    <row r="17" spans="1:17" s="12" customFormat="1" ht="30" customHeight="1" x14ac:dyDescent="0.25">
      <c r="A17" s="225"/>
      <c r="B17" s="225"/>
      <c r="C17" s="225"/>
      <c r="D17" s="225"/>
      <c r="E17" s="225"/>
      <c r="F17" s="263">
        <f>SUBTOTAL(109,Impuestos_2022[FEB])</f>
        <v>6992</v>
      </c>
      <c r="G17" s="263">
        <f>SUBTOTAL(109,Impuestos_2022[MAR])</f>
        <v>44920.800000000003</v>
      </c>
      <c r="H17" s="263">
        <f>SUBTOTAL(109,Impuestos_2022[ABR])</f>
        <v>14022</v>
      </c>
      <c r="I17" s="263">
        <f>SUBTOTAL(109,Impuestos_2022[MAY])</f>
        <v>14022</v>
      </c>
      <c r="J17" s="263">
        <f>SUBTOTAL(109,Impuestos_2022[JUN])</f>
        <v>14022</v>
      </c>
      <c r="K17" s="263">
        <f>SUBTOTAL(109,Impuestos_2022[JUL])</f>
        <v>14022</v>
      </c>
      <c r="L17" s="263">
        <f>SUBTOTAL(109,Impuestos_2022[AGO])</f>
        <v>14022</v>
      </c>
      <c r="M17" s="263">
        <f>SUBTOTAL(109,Impuestos_2022[SEP])</f>
        <v>14022</v>
      </c>
      <c r="N17" s="263">
        <f>SUBTOTAL(109,Impuestos_2022[OCT])</f>
        <v>14022</v>
      </c>
      <c r="O17" s="263">
        <f>SUBTOTAL(109,Impuestos_2022[NOV])</f>
        <v>14022</v>
      </c>
      <c r="P17" s="263">
        <f>SUBTOTAL(109,Impuestos_2022[DIC])</f>
        <v>14022</v>
      </c>
      <c r="Q17" s="263">
        <f>SUBTOTAL(109,Impuestos_2022[ENE])</f>
        <v>14022</v>
      </c>
    </row>
    <row r="18" spans="1:17" ht="30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honeticPr fontId="46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12">
    <tabColor rgb="FFFFFF00"/>
  </sheetPr>
  <dimension ref="A1:Q33"/>
  <sheetViews>
    <sheetView zoomScale="90" zoomScaleNormal="90" workbookViewId="0">
      <selection activeCell="K18" sqref="K18"/>
    </sheetView>
  </sheetViews>
  <sheetFormatPr baseColWidth="10" defaultColWidth="8" defaultRowHeight="15" x14ac:dyDescent="0.25"/>
  <cols>
    <col min="1" max="1" width="23.5" style="9" customWidth="1"/>
    <col min="2" max="2" width="14.625" style="9" customWidth="1"/>
    <col min="3" max="3" width="40.625" style="9" customWidth="1"/>
    <col min="4" max="4" width="20.625" style="11" customWidth="1"/>
    <col min="5" max="5" width="9.625" style="12" customWidth="1"/>
    <col min="6" max="17" width="10.5" style="6" customWidth="1"/>
    <col min="18" max="16384" width="8" style="6"/>
  </cols>
  <sheetData>
    <row r="1" spans="1:17" ht="39.950000000000003" customHeight="1" x14ac:dyDescent="0.3">
      <c r="A1" s="324" t="s">
        <v>321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</row>
    <row r="2" spans="1:17" ht="39.950000000000003" customHeight="1" x14ac:dyDescent="0.25">
      <c r="A2" s="294"/>
      <c r="B2" s="294"/>
      <c r="C2" s="294"/>
      <c r="D2" s="295"/>
      <c r="E2" s="296"/>
      <c r="F2" s="296" t="s">
        <v>23</v>
      </c>
      <c r="G2" s="296" t="s">
        <v>24</v>
      </c>
      <c r="H2" s="296" t="s">
        <v>25</v>
      </c>
      <c r="I2" s="296" t="s">
        <v>26</v>
      </c>
      <c r="J2" s="296" t="s">
        <v>27</v>
      </c>
      <c r="K2" s="296" t="s">
        <v>28</v>
      </c>
      <c r="L2" s="296" t="s">
        <v>29</v>
      </c>
      <c r="M2" s="296" t="s">
        <v>30</v>
      </c>
      <c r="N2" s="296" t="s">
        <v>31</v>
      </c>
      <c r="O2" s="296" t="s">
        <v>32</v>
      </c>
      <c r="P2" s="296" t="s">
        <v>33</v>
      </c>
      <c r="Q2" s="296" t="s">
        <v>34</v>
      </c>
    </row>
    <row r="3" spans="1:17" ht="39.950000000000003" customHeight="1" x14ac:dyDescent="0.25">
      <c r="A3" s="229" t="s">
        <v>35</v>
      </c>
      <c r="B3" s="230" t="s">
        <v>36</v>
      </c>
      <c r="C3" s="230" t="s">
        <v>37</v>
      </c>
      <c r="D3" s="231" t="s">
        <v>38</v>
      </c>
      <c r="E3" s="232" t="s">
        <v>39</v>
      </c>
      <c r="F3" s="232" t="s">
        <v>40</v>
      </c>
      <c r="G3" s="232" t="s">
        <v>41</v>
      </c>
      <c r="H3" s="232" t="s">
        <v>42</v>
      </c>
      <c r="I3" s="232" t="s">
        <v>43</v>
      </c>
      <c r="J3" s="232" t="s">
        <v>44</v>
      </c>
      <c r="K3" s="232" t="s">
        <v>45</v>
      </c>
      <c r="L3" s="232" t="s">
        <v>46</v>
      </c>
      <c r="M3" s="232" t="s">
        <v>47</v>
      </c>
      <c r="N3" s="232" t="s">
        <v>48</v>
      </c>
      <c r="O3" s="232" t="s">
        <v>49</v>
      </c>
      <c r="P3" s="232" t="s">
        <v>50</v>
      </c>
      <c r="Q3" s="233" t="s">
        <v>51</v>
      </c>
    </row>
    <row r="4" spans="1:17" ht="30" customHeight="1" x14ac:dyDescent="0.25">
      <c r="A4" s="209" t="s">
        <v>52</v>
      </c>
      <c r="B4" s="208" t="s">
        <v>53</v>
      </c>
      <c r="C4" s="208" t="s">
        <v>54</v>
      </c>
      <c r="D4" s="210" t="s">
        <v>55</v>
      </c>
      <c r="E4" s="211">
        <v>11</v>
      </c>
      <c r="F4" s="305"/>
      <c r="G4" s="305">
        <v>880</v>
      </c>
      <c r="H4" s="305">
        <v>880</v>
      </c>
      <c r="I4" s="305">
        <v>880</v>
      </c>
      <c r="J4" s="305">
        <v>880</v>
      </c>
      <c r="K4" s="305">
        <v>880</v>
      </c>
      <c r="L4" s="305"/>
      <c r="M4" s="305"/>
      <c r="N4" s="305"/>
      <c r="O4" s="305"/>
      <c r="P4" s="305"/>
      <c r="Q4" s="306"/>
    </row>
    <row r="5" spans="1:17" ht="30" customHeight="1" x14ac:dyDescent="0.25">
      <c r="A5" s="209" t="s">
        <v>52</v>
      </c>
      <c r="B5" s="208" t="s">
        <v>53</v>
      </c>
      <c r="C5" s="208" t="s">
        <v>58</v>
      </c>
      <c r="D5" s="210" t="s">
        <v>59</v>
      </c>
      <c r="E5" s="211">
        <v>11</v>
      </c>
      <c r="F5" s="305"/>
      <c r="G5" s="305">
        <v>1670</v>
      </c>
      <c r="H5" s="305">
        <v>1670</v>
      </c>
      <c r="I5" s="305">
        <v>1670</v>
      </c>
      <c r="J5" s="305">
        <v>1670</v>
      </c>
      <c r="K5" s="305">
        <v>1670</v>
      </c>
      <c r="L5" s="305"/>
      <c r="M5" s="305"/>
      <c r="N5" s="305"/>
      <c r="O5" s="305"/>
      <c r="P5" s="305"/>
      <c r="Q5" s="306"/>
    </row>
    <row r="6" spans="1:17" ht="30" customHeight="1" x14ac:dyDescent="0.25">
      <c r="A6" s="209" t="s">
        <v>52</v>
      </c>
      <c r="B6" s="208" t="s">
        <v>61</v>
      </c>
      <c r="C6" s="208" t="s">
        <v>62</v>
      </c>
      <c r="D6" s="212">
        <v>120106758617</v>
      </c>
      <c r="E6" s="211">
        <v>11</v>
      </c>
      <c r="F6" s="305"/>
      <c r="G6" s="305">
        <v>890</v>
      </c>
      <c r="H6" s="305">
        <v>890</v>
      </c>
      <c r="I6" s="305">
        <v>890</v>
      </c>
      <c r="J6" s="305">
        <v>890</v>
      </c>
      <c r="K6" s="305">
        <v>890</v>
      </c>
      <c r="L6" s="305"/>
      <c r="M6" s="305"/>
      <c r="N6" s="305"/>
      <c r="O6" s="305"/>
      <c r="P6" s="305"/>
      <c r="Q6" s="306"/>
    </row>
    <row r="7" spans="1:17" ht="30" customHeight="1" x14ac:dyDescent="0.25">
      <c r="A7" s="209" t="s">
        <v>52</v>
      </c>
      <c r="B7" s="208" t="s">
        <v>61</v>
      </c>
      <c r="C7" s="208" t="s">
        <v>63</v>
      </c>
      <c r="D7" s="212">
        <v>110109729043</v>
      </c>
      <c r="E7" s="211">
        <v>11</v>
      </c>
      <c r="F7" s="305"/>
      <c r="G7" s="305">
        <v>5490</v>
      </c>
      <c r="H7" s="305">
        <v>5490</v>
      </c>
      <c r="I7" s="305">
        <v>5490</v>
      </c>
      <c r="J7" s="305">
        <v>5490</v>
      </c>
      <c r="K7" s="305">
        <v>5490</v>
      </c>
      <c r="L7" s="305"/>
      <c r="M7" s="305"/>
      <c r="N7" s="305"/>
      <c r="O7" s="305"/>
      <c r="P7" s="305"/>
      <c r="Q7" s="306"/>
    </row>
    <row r="8" spans="1:17" ht="30" customHeight="1" x14ac:dyDescent="0.25">
      <c r="A8" s="209" t="s">
        <v>52</v>
      </c>
      <c r="B8" s="208" t="s">
        <v>61</v>
      </c>
      <c r="C8" s="208" t="s">
        <v>65</v>
      </c>
      <c r="D8" s="212">
        <v>120106758625</v>
      </c>
      <c r="E8" s="211">
        <v>11</v>
      </c>
      <c r="F8" s="305"/>
      <c r="G8" s="305">
        <v>1360</v>
      </c>
      <c r="H8" s="305">
        <v>1360</v>
      </c>
      <c r="I8" s="305">
        <v>1360</v>
      </c>
      <c r="J8" s="305">
        <v>1360</v>
      </c>
      <c r="K8" s="305">
        <v>1360</v>
      </c>
      <c r="L8" s="305"/>
      <c r="M8" s="305"/>
      <c r="N8" s="305"/>
      <c r="O8" s="305"/>
      <c r="P8" s="305"/>
      <c r="Q8" s="306"/>
    </row>
    <row r="9" spans="1:17" ht="30" customHeight="1" x14ac:dyDescent="0.25">
      <c r="A9" s="209" t="s">
        <v>52</v>
      </c>
      <c r="B9" s="208" t="s">
        <v>61</v>
      </c>
      <c r="C9" s="208" t="s">
        <v>285</v>
      </c>
      <c r="D9" s="212">
        <v>110124049806</v>
      </c>
      <c r="E9" s="211">
        <v>11</v>
      </c>
      <c r="F9" s="305">
        <v>4028.92</v>
      </c>
      <c r="G9" s="305"/>
      <c r="H9" s="305">
        <v>2740</v>
      </c>
      <c r="I9" s="305">
        <v>2740</v>
      </c>
      <c r="J9" s="305">
        <v>2740</v>
      </c>
      <c r="K9" s="305">
        <v>2740</v>
      </c>
      <c r="L9" s="305"/>
      <c r="M9" s="305"/>
      <c r="N9" s="305"/>
      <c r="O9" s="305"/>
      <c r="P9" s="305"/>
      <c r="Q9" s="306"/>
    </row>
    <row r="10" spans="1:17" ht="30" customHeight="1" x14ac:dyDescent="0.25">
      <c r="A10" s="213" t="s">
        <v>56</v>
      </c>
      <c r="B10" s="214" t="s">
        <v>53</v>
      </c>
      <c r="C10" s="214" t="s">
        <v>54</v>
      </c>
      <c r="D10" s="215" t="s">
        <v>57</v>
      </c>
      <c r="E10" s="216">
        <v>12</v>
      </c>
      <c r="F10" s="307">
        <v>1715</v>
      </c>
      <c r="G10" s="307">
        <v>1715</v>
      </c>
      <c r="H10" s="307">
        <v>1715</v>
      </c>
      <c r="I10" s="307">
        <v>1715</v>
      </c>
      <c r="J10" s="307">
        <v>1715</v>
      </c>
      <c r="K10" s="307">
        <v>1715</v>
      </c>
      <c r="L10" s="307"/>
      <c r="M10" s="307"/>
      <c r="N10" s="307"/>
      <c r="O10" s="307"/>
      <c r="P10" s="307"/>
      <c r="Q10" s="308"/>
    </row>
    <row r="11" spans="1:17" ht="30" customHeight="1" x14ac:dyDescent="0.25">
      <c r="A11" s="213" t="s">
        <v>56</v>
      </c>
      <c r="B11" s="214" t="s">
        <v>53</v>
      </c>
      <c r="C11" s="214" t="s">
        <v>58</v>
      </c>
      <c r="D11" s="215" t="s">
        <v>60</v>
      </c>
      <c r="E11" s="216">
        <v>12</v>
      </c>
      <c r="F11" s="307">
        <v>3067</v>
      </c>
      <c r="G11" s="307">
        <v>3067</v>
      </c>
      <c r="H11" s="307">
        <v>3067</v>
      </c>
      <c r="I11" s="307">
        <v>3067</v>
      </c>
      <c r="J11" s="307">
        <v>3067</v>
      </c>
      <c r="K11" s="307">
        <v>3067</v>
      </c>
      <c r="L11" s="307"/>
      <c r="M11" s="307"/>
      <c r="N11" s="307"/>
      <c r="O11" s="307"/>
      <c r="P11" s="307"/>
      <c r="Q11" s="308"/>
    </row>
    <row r="12" spans="1:17" ht="30" customHeight="1" x14ac:dyDescent="0.25">
      <c r="A12" s="213" t="s">
        <v>56</v>
      </c>
      <c r="B12" s="214" t="s">
        <v>61</v>
      </c>
      <c r="C12" s="214" t="s">
        <v>64</v>
      </c>
      <c r="D12" s="264" t="s">
        <v>364</v>
      </c>
      <c r="E12" s="216">
        <v>12</v>
      </c>
      <c r="F12" s="307">
        <v>5487</v>
      </c>
      <c r="G12" s="307">
        <v>5487</v>
      </c>
      <c r="H12" s="307">
        <v>5487</v>
      </c>
      <c r="I12" s="307">
        <v>5487</v>
      </c>
      <c r="J12" s="307">
        <v>5487</v>
      </c>
      <c r="K12" s="307">
        <v>5487</v>
      </c>
      <c r="L12" s="307"/>
      <c r="M12" s="307"/>
      <c r="N12" s="307"/>
      <c r="O12" s="307"/>
      <c r="P12" s="307"/>
      <c r="Q12" s="308"/>
    </row>
    <row r="13" spans="1:17" ht="30" customHeight="1" x14ac:dyDescent="0.25">
      <c r="A13" s="213" t="s">
        <v>56</v>
      </c>
      <c r="B13" s="214" t="s">
        <v>61</v>
      </c>
      <c r="C13" s="214" t="s">
        <v>285</v>
      </c>
      <c r="D13" s="265" t="s">
        <v>365</v>
      </c>
      <c r="E13" s="216">
        <v>1</v>
      </c>
      <c r="F13" s="307">
        <v>16281.6</v>
      </c>
      <c r="G13" s="307"/>
      <c r="H13" s="307"/>
      <c r="I13" s="307"/>
      <c r="J13" s="307"/>
      <c r="K13" s="307"/>
      <c r="L13" s="307"/>
      <c r="M13" s="307"/>
      <c r="N13" s="307"/>
      <c r="O13" s="307"/>
      <c r="P13" s="307"/>
      <c r="Q13" s="308"/>
    </row>
    <row r="14" spans="1:17" ht="30" customHeight="1" x14ac:dyDescent="0.25">
      <c r="A14" s="217" t="s">
        <v>66</v>
      </c>
      <c r="B14" s="218" t="s">
        <v>61</v>
      </c>
      <c r="C14" s="218" t="s">
        <v>65</v>
      </c>
      <c r="D14" s="219" t="s">
        <v>67</v>
      </c>
      <c r="E14" s="220">
        <v>1</v>
      </c>
      <c r="F14" s="309"/>
      <c r="G14" s="309"/>
      <c r="H14" s="309"/>
      <c r="I14" s="309">
        <v>26653.200000000001</v>
      </c>
      <c r="J14" s="309"/>
      <c r="K14" s="309"/>
      <c r="L14" s="309"/>
      <c r="M14" s="309"/>
      <c r="N14" s="309"/>
      <c r="O14" s="309"/>
      <c r="P14" s="309"/>
      <c r="Q14" s="310"/>
    </row>
    <row r="15" spans="1:17" ht="30" customHeight="1" x14ac:dyDescent="0.25">
      <c r="A15" s="217" t="s">
        <v>66</v>
      </c>
      <c r="B15" s="218" t="s">
        <v>61</v>
      </c>
      <c r="C15" s="218" t="s">
        <v>62</v>
      </c>
      <c r="D15" s="219" t="s">
        <v>68</v>
      </c>
      <c r="E15" s="220">
        <v>1</v>
      </c>
      <c r="F15" s="309"/>
      <c r="G15" s="309"/>
      <c r="H15" s="309"/>
      <c r="I15" s="309">
        <v>26653.200000000001</v>
      </c>
      <c r="J15" s="309"/>
      <c r="K15" s="309"/>
      <c r="L15" s="309"/>
      <c r="M15" s="309"/>
      <c r="N15" s="309"/>
      <c r="O15" s="309"/>
      <c r="P15" s="309"/>
      <c r="Q15" s="310"/>
    </row>
    <row r="16" spans="1:17" ht="30" customHeight="1" x14ac:dyDescent="0.25">
      <c r="A16" s="221" t="s">
        <v>69</v>
      </c>
      <c r="B16" s="222" t="s">
        <v>70</v>
      </c>
      <c r="C16" s="222" t="s">
        <v>71</v>
      </c>
      <c r="D16" s="223" t="s">
        <v>72</v>
      </c>
      <c r="E16" s="224">
        <v>6</v>
      </c>
      <c r="F16" s="311"/>
      <c r="G16" s="311"/>
      <c r="H16" s="311"/>
      <c r="I16" s="311"/>
      <c r="J16" s="311"/>
      <c r="K16" s="311"/>
      <c r="L16" s="311"/>
      <c r="M16" s="311"/>
      <c r="N16" s="311"/>
      <c r="O16" s="311"/>
      <c r="P16" s="311"/>
      <c r="Q16" s="312"/>
    </row>
    <row r="17" spans="1:17" s="12" customFormat="1" ht="30" customHeight="1" x14ac:dyDescent="0.25">
      <c r="A17" s="304" t="s">
        <v>423</v>
      </c>
      <c r="B17" s="304"/>
      <c r="C17" s="304"/>
      <c r="D17" s="304"/>
      <c r="E17" s="304"/>
      <c r="F17" s="313">
        <v>30579.52</v>
      </c>
      <c r="G17" s="313">
        <v>20559</v>
      </c>
      <c r="H17" s="313">
        <v>23299</v>
      </c>
      <c r="I17" s="313">
        <v>76605.399999999994</v>
      </c>
      <c r="J17" s="313">
        <v>23299</v>
      </c>
      <c r="K17" s="313">
        <v>23299</v>
      </c>
      <c r="L17" s="313">
        <v>0</v>
      </c>
      <c r="M17" s="313">
        <v>0</v>
      </c>
      <c r="N17" s="313">
        <v>0</v>
      </c>
      <c r="O17" s="313">
        <v>0</v>
      </c>
      <c r="P17" s="313">
        <v>0</v>
      </c>
      <c r="Q17" s="313">
        <v>0</v>
      </c>
    </row>
    <row r="18" spans="1:17" ht="30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30" customHeight="1" x14ac:dyDescent="0.25"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</row>
    <row r="20" spans="1:17" ht="30" customHeight="1" x14ac:dyDescent="0.25">
      <c r="H20" s="297"/>
      <c r="I20" s="297"/>
      <c r="J20" s="314"/>
    </row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ageMargins left="0.75" right="0.75" top="1" bottom="1" header="0.5" footer="0.5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3">
    <tabColor rgb="FFFFC000"/>
  </sheetPr>
  <dimension ref="A1:P11"/>
  <sheetViews>
    <sheetView zoomScale="90" zoomScaleNormal="90" workbookViewId="0">
      <selection activeCell="J16" sqref="J16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5" width="8" style="6"/>
    <col min="16" max="16" width="9.125" style="6" bestFit="1" customWidth="1"/>
    <col min="17" max="16384" width="8" style="6"/>
  </cols>
  <sheetData>
    <row r="1" spans="1:16" ht="27.75" customHeight="1" x14ac:dyDescent="0.25">
      <c r="A1" s="326" t="s">
        <v>317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8"/>
    </row>
    <row r="2" spans="1:16" ht="39.950000000000003" customHeight="1" thickBot="1" x14ac:dyDescent="0.3">
      <c r="A2" s="291" t="s">
        <v>73</v>
      </c>
      <c r="B2" s="292" t="s">
        <v>74</v>
      </c>
      <c r="C2" s="292" t="s">
        <v>75</v>
      </c>
      <c r="D2" s="292" t="s">
        <v>76</v>
      </c>
      <c r="E2" s="292" t="s">
        <v>77</v>
      </c>
      <c r="F2" s="292" t="s">
        <v>78</v>
      </c>
      <c r="G2" s="292" t="s">
        <v>79</v>
      </c>
      <c r="H2" s="292" t="s">
        <v>80</v>
      </c>
      <c r="I2" s="292" t="s">
        <v>81</v>
      </c>
      <c r="J2" s="292" t="s">
        <v>82</v>
      </c>
      <c r="K2" s="292" t="s">
        <v>83</v>
      </c>
      <c r="L2" s="292" t="s">
        <v>84</v>
      </c>
      <c r="M2" s="292" t="s">
        <v>85</v>
      </c>
      <c r="N2" s="293" t="s">
        <v>86</v>
      </c>
    </row>
    <row r="3" spans="1:16" ht="30" customHeight="1" x14ac:dyDescent="0.25">
      <c r="A3" s="13" t="s">
        <v>87</v>
      </c>
      <c r="B3" s="236">
        <v>176103.37</v>
      </c>
      <c r="C3" s="236">
        <v>316711.23</v>
      </c>
      <c r="D3" s="236">
        <v>253091.73</v>
      </c>
      <c r="E3" s="236">
        <v>350438.82</v>
      </c>
      <c r="F3" s="236">
        <v>311243.46000000002</v>
      </c>
      <c r="G3" s="236">
        <v>357623.33</v>
      </c>
      <c r="H3" s="236">
        <v>564882.11</v>
      </c>
      <c r="I3" s="236"/>
      <c r="J3" s="236"/>
      <c r="K3" s="236"/>
      <c r="L3" s="236"/>
      <c r="M3" s="236"/>
      <c r="N3" s="237">
        <v>2330094.0499999998</v>
      </c>
      <c r="P3" s="297"/>
    </row>
    <row r="4" spans="1:16" ht="30" customHeight="1" x14ac:dyDescent="0.25">
      <c r="A4" s="14" t="s">
        <v>88</v>
      </c>
      <c r="B4" s="238">
        <v>185253.1</v>
      </c>
      <c r="C4" s="238">
        <v>224824.71</v>
      </c>
      <c r="D4" s="238">
        <v>425357.28</v>
      </c>
      <c r="E4" s="238">
        <v>389652.96</v>
      </c>
      <c r="F4" s="238">
        <v>254739.77</v>
      </c>
      <c r="G4" s="238">
        <v>207897.45</v>
      </c>
      <c r="H4" s="238">
        <v>203877.96</v>
      </c>
      <c r="I4" s="238"/>
      <c r="J4" s="238"/>
      <c r="K4" s="238"/>
      <c r="L4" s="238"/>
      <c r="M4" s="238"/>
      <c r="N4" s="239">
        <v>1891603.23</v>
      </c>
    </row>
    <row r="5" spans="1:16" ht="30" customHeight="1" x14ac:dyDescent="0.25">
      <c r="A5" s="14" t="s">
        <v>89</v>
      </c>
      <c r="B5" s="238">
        <v>13290</v>
      </c>
      <c r="C5" s="238">
        <v>92590</v>
      </c>
      <c r="D5" s="238">
        <v>67450</v>
      </c>
      <c r="E5" s="238">
        <v>186431</v>
      </c>
      <c r="F5" s="238">
        <v>26680.02</v>
      </c>
      <c r="G5" s="238">
        <v>52050</v>
      </c>
      <c r="H5" s="238">
        <v>11390</v>
      </c>
      <c r="I5" s="238"/>
      <c r="J5" s="238"/>
      <c r="K5" s="238"/>
      <c r="L5" s="238"/>
      <c r="M5" s="238"/>
      <c r="N5" s="239">
        <v>449881.02</v>
      </c>
    </row>
    <row r="6" spans="1:16" ht="30" customHeight="1" thickBot="1" x14ac:dyDescent="0.3">
      <c r="A6" s="15" t="s">
        <v>90</v>
      </c>
      <c r="B6" s="240">
        <v>0</v>
      </c>
      <c r="C6" s="240">
        <v>0</v>
      </c>
      <c r="D6" s="240">
        <v>0</v>
      </c>
      <c r="E6" s="240">
        <v>0</v>
      </c>
      <c r="F6" s="240">
        <v>0</v>
      </c>
      <c r="G6" s="240">
        <v>0</v>
      </c>
      <c r="H6" s="240">
        <v>0</v>
      </c>
      <c r="I6" s="240"/>
      <c r="J6" s="240"/>
      <c r="K6" s="240"/>
      <c r="L6" s="240"/>
      <c r="M6" s="240"/>
      <c r="N6" s="241">
        <v>0</v>
      </c>
    </row>
    <row r="7" spans="1:16" ht="30" customHeight="1" x14ac:dyDescent="0.25">
      <c r="A7" s="101" t="s">
        <v>424</v>
      </c>
      <c r="B7" s="242">
        <v>374646.47</v>
      </c>
      <c r="C7" s="242">
        <v>634125.93999999994</v>
      </c>
      <c r="D7" s="242">
        <v>745899.01</v>
      </c>
      <c r="E7" s="242">
        <v>926522.78</v>
      </c>
      <c r="F7" s="242">
        <v>592663.25</v>
      </c>
      <c r="G7" s="242">
        <v>617570.78</v>
      </c>
      <c r="H7" s="242">
        <v>780150.07</v>
      </c>
      <c r="I7" s="242">
        <v>0</v>
      </c>
      <c r="J7" s="242">
        <v>0</v>
      </c>
      <c r="K7" s="242">
        <v>0</v>
      </c>
      <c r="L7" s="242">
        <v>0</v>
      </c>
      <c r="M7" s="242">
        <v>0</v>
      </c>
      <c r="N7" s="243">
        <v>4671578.2999999989</v>
      </c>
    </row>
    <row r="8" spans="1:16" ht="20.100000000000001" customHeight="1" x14ac:dyDescent="0.25">
      <c r="A8" s="16"/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7"/>
    </row>
    <row r="9" spans="1:16" ht="20.100000000000001" customHeight="1" x14ac:dyDescent="0.25">
      <c r="A9" s="16"/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298"/>
    </row>
    <row r="10" spans="1:16" ht="20.100000000000001" customHeight="1" x14ac:dyDescent="0.25">
      <c r="A10" s="16"/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7"/>
    </row>
    <row r="11" spans="1:16" ht="30.75" customHeight="1" x14ac:dyDescent="0.25">
      <c r="A11" s="19" t="s">
        <v>91</v>
      </c>
      <c r="B11" s="20">
        <f t="shared" ref="B11:C11" si="0">SUM(B3:B6)</f>
        <v>374646.47</v>
      </c>
      <c r="C11" s="20">
        <f t="shared" si="0"/>
        <v>634125.93999999994</v>
      </c>
      <c r="D11" s="20">
        <f>SUM(D3:D6)</f>
        <v>745899.01</v>
      </c>
      <c r="E11" s="20">
        <f>SUM(E3:E6)</f>
        <v>926522.78</v>
      </c>
      <c r="F11" s="20">
        <f t="shared" ref="F11:M11" si="1">SUM(F3:F6)</f>
        <v>592663.25</v>
      </c>
      <c r="G11" s="20">
        <f t="shared" si="1"/>
        <v>617570.78</v>
      </c>
      <c r="H11" s="20">
        <f>SUM(H3:H6)</f>
        <v>780150.07</v>
      </c>
      <c r="I11" s="20">
        <f t="shared" si="1"/>
        <v>0</v>
      </c>
      <c r="J11" s="20">
        <f t="shared" si="1"/>
        <v>0</v>
      </c>
      <c r="K11" s="20">
        <f t="shared" si="1"/>
        <v>0</v>
      </c>
      <c r="L11" s="20">
        <f t="shared" si="1"/>
        <v>0</v>
      </c>
      <c r="M11" s="20">
        <f t="shared" si="1"/>
        <v>0</v>
      </c>
      <c r="N11" s="20"/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4">
    <tabColor theme="3" tint="0.39997558519241921"/>
  </sheetPr>
  <dimension ref="A1:N14"/>
  <sheetViews>
    <sheetView zoomScale="90" zoomScaleNormal="90" workbookViewId="0">
      <selection activeCell="H9" sqref="H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x14ac:dyDescent="0.25">
      <c r="A1" s="329" t="s">
        <v>322</v>
      </c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1"/>
    </row>
    <row r="2" spans="1:14" ht="39.950000000000003" customHeight="1" thickBot="1" x14ac:dyDescent="0.3">
      <c r="A2" s="285" t="s">
        <v>92</v>
      </c>
      <c r="B2" s="286" t="s">
        <v>74</v>
      </c>
      <c r="C2" s="286" t="s">
        <v>75</v>
      </c>
      <c r="D2" s="286" t="s">
        <v>76</v>
      </c>
      <c r="E2" s="286" t="s">
        <v>77</v>
      </c>
      <c r="F2" s="286" t="s">
        <v>78</v>
      </c>
      <c r="G2" s="286" t="s">
        <v>79</v>
      </c>
      <c r="H2" s="286" t="s">
        <v>80</v>
      </c>
      <c r="I2" s="286" t="s">
        <v>81</v>
      </c>
      <c r="J2" s="286" t="s">
        <v>82</v>
      </c>
      <c r="K2" s="286" t="s">
        <v>83</v>
      </c>
      <c r="L2" s="286" t="s">
        <v>84</v>
      </c>
      <c r="M2" s="286" t="s">
        <v>85</v>
      </c>
      <c r="N2" s="287" t="s">
        <v>86</v>
      </c>
    </row>
    <row r="3" spans="1:14" ht="30" customHeight="1" x14ac:dyDescent="0.25">
      <c r="A3" s="22" t="s">
        <v>93</v>
      </c>
      <c r="B3" s="244">
        <v>157806.07999999999</v>
      </c>
      <c r="C3" s="244">
        <v>458328.37</v>
      </c>
      <c r="D3" s="244">
        <v>1869454.55</v>
      </c>
      <c r="E3" s="244">
        <v>401702.75</v>
      </c>
      <c r="F3" s="244">
        <v>499330.36</v>
      </c>
      <c r="G3" s="244">
        <v>418996.06</v>
      </c>
      <c r="H3" s="244">
        <v>1005967.4400000001</v>
      </c>
      <c r="I3" s="244"/>
      <c r="J3" s="244"/>
      <c r="K3" s="244"/>
      <c r="L3" s="244"/>
      <c r="M3" s="244"/>
      <c r="N3" s="245">
        <v>4811585.6100000003</v>
      </c>
    </row>
    <row r="4" spans="1:14" ht="30" customHeight="1" x14ac:dyDescent="0.25">
      <c r="A4" s="23" t="s">
        <v>94</v>
      </c>
      <c r="B4" s="246">
        <v>197390.35000000003</v>
      </c>
      <c r="C4" s="246">
        <v>72846.19</v>
      </c>
      <c r="D4" s="246">
        <v>269884.07000000007</v>
      </c>
      <c r="E4" s="246">
        <v>73413.650000000081</v>
      </c>
      <c r="F4" s="246">
        <v>159049.24</v>
      </c>
      <c r="G4" s="246">
        <v>4696.51</v>
      </c>
      <c r="H4" s="246">
        <v>62186.07</v>
      </c>
      <c r="I4" s="246"/>
      <c r="J4" s="246"/>
      <c r="K4" s="246"/>
      <c r="L4" s="246"/>
      <c r="M4" s="246"/>
      <c r="N4" s="247">
        <v>839466.08000000019</v>
      </c>
    </row>
    <row r="5" spans="1:14" ht="30" customHeight="1" x14ac:dyDescent="0.25">
      <c r="A5" s="24" t="s">
        <v>95</v>
      </c>
      <c r="B5" s="248">
        <v>355196.43</v>
      </c>
      <c r="C5" s="248">
        <v>531174.56000000006</v>
      </c>
      <c r="D5" s="248">
        <v>2139338.62</v>
      </c>
      <c r="E5" s="248">
        <v>475116.40000000008</v>
      </c>
      <c r="F5" s="248">
        <v>658379.6</v>
      </c>
      <c r="G5" s="248">
        <v>423692.57</v>
      </c>
      <c r="H5" s="248">
        <v>1068153.51</v>
      </c>
      <c r="I5" s="248"/>
      <c r="J5" s="248"/>
      <c r="K5" s="249"/>
      <c r="L5" s="248"/>
      <c r="M5" s="248"/>
      <c r="N5" s="250">
        <v>5651051.6900000004</v>
      </c>
    </row>
    <row r="6" spans="1:14" ht="30" customHeight="1" x14ac:dyDescent="0.25">
      <c r="A6" s="25" t="s">
        <v>96</v>
      </c>
      <c r="B6" s="251">
        <v>-374646.47</v>
      </c>
      <c r="C6" s="251">
        <v>-634125.93999999994</v>
      </c>
      <c r="D6" s="251">
        <v>-745899.01</v>
      </c>
      <c r="E6" s="251">
        <v>-926522.78</v>
      </c>
      <c r="F6" s="251">
        <v>-592663.25</v>
      </c>
      <c r="G6" s="251">
        <v>-617570.78</v>
      </c>
      <c r="H6" s="251">
        <v>-780150.07</v>
      </c>
      <c r="I6" s="251"/>
      <c r="J6" s="251"/>
      <c r="K6" s="251"/>
      <c r="L6" s="251"/>
      <c r="M6" s="251"/>
      <c r="N6" s="252">
        <v>-4671578.3000000007</v>
      </c>
    </row>
    <row r="7" spans="1:14" ht="30" customHeight="1" x14ac:dyDescent="0.25">
      <c r="A7" s="25" t="s">
        <v>97</v>
      </c>
      <c r="B7" s="251">
        <v>-14022</v>
      </c>
      <c r="C7" s="251">
        <v>-30579.52</v>
      </c>
      <c r="D7" s="251">
        <v>-20559</v>
      </c>
      <c r="E7" s="251">
        <v>-23029</v>
      </c>
      <c r="F7" s="251">
        <v>-76605.399999999994</v>
      </c>
      <c r="G7" s="251">
        <v>-23299</v>
      </c>
      <c r="H7" s="251">
        <v>-23299</v>
      </c>
      <c r="I7" s="251"/>
      <c r="J7" s="251"/>
      <c r="K7" s="251"/>
      <c r="L7" s="251"/>
      <c r="M7" s="251"/>
      <c r="N7" s="252">
        <v>-211392.91999999998</v>
      </c>
    </row>
    <row r="8" spans="1:14" ht="30" customHeight="1" x14ac:dyDescent="0.25">
      <c r="A8" s="26" t="s">
        <v>98</v>
      </c>
      <c r="B8" s="253">
        <v>-388668.47</v>
      </c>
      <c r="C8" s="253">
        <v>-664705.46</v>
      </c>
      <c r="D8" s="253">
        <v>-766458.01</v>
      </c>
      <c r="E8" s="253">
        <v>-949551.78</v>
      </c>
      <c r="F8" s="253">
        <v>-669268.65</v>
      </c>
      <c r="G8" s="253">
        <v>-640869.78</v>
      </c>
      <c r="H8" s="253">
        <v>-803449.07</v>
      </c>
      <c r="I8" s="253"/>
      <c r="J8" s="253"/>
      <c r="K8" s="253"/>
      <c r="L8" s="253"/>
      <c r="M8" s="253"/>
      <c r="N8" s="254">
        <v>-4882971.22</v>
      </c>
    </row>
    <row r="9" spans="1:14" ht="30" customHeight="1" x14ac:dyDescent="0.25">
      <c r="A9" s="284" t="s">
        <v>99</v>
      </c>
      <c r="B9" s="315">
        <v>-33472.039999999979</v>
      </c>
      <c r="C9" s="315">
        <v>-133530.89999999991</v>
      </c>
      <c r="D9" s="315">
        <v>1372880.61</v>
      </c>
      <c r="E9" s="315">
        <v>-474435.37999999995</v>
      </c>
      <c r="F9" s="315">
        <v>-10889.050000000047</v>
      </c>
      <c r="G9" s="315">
        <v>-217177.21000000002</v>
      </c>
      <c r="H9" s="315">
        <v>264704.44000000006</v>
      </c>
      <c r="I9" s="315"/>
      <c r="J9" s="315"/>
      <c r="K9" s="315"/>
      <c r="L9" s="315"/>
      <c r="M9" s="315"/>
      <c r="N9" s="315">
        <v>768080.4700000002</v>
      </c>
    </row>
    <row r="12" spans="1:14" ht="32.25" customHeight="1" x14ac:dyDescent="0.25">
      <c r="A12" s="6" t="s">
        <v>100</v>
      </c>
    </row>
    <row r="13" spans="1:14" x14ac:dyDescent="0.25">
      <c r="F13" s="297"/>
    </row>
    <row r="14" spans="1:14" x14ac:dyDescent="0.25"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3"/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">
    <tabColor theme="9" tint="0.59999389629810485"/>
  </sheetPr>
  <dimension ref="B1:Y20"/>
  <sheetViews>
    <sheetView workbookViewId="0">
      <selection activeCell="K8" sqref="K8"/>
    </sheetView>
  </sheetViews>
  <sheetFormatPr baseColWidth="10" defaultColWidth="8" defaultRowHeight="12.75" x14ac:dyDescent="0.2"/>
  <cols>
    <col min="1" max="1" width="3.25" style="29" customWidth="1"/>
    <col min="2" max="2" width="26.875" style="27" customWidth="1"/>
    <col min="3" max="5" width="9.375" style="28" customWidth="1"/>
    <col min="6" max="14" width="9.375" style="29" customWidth="1"/>
    <col min="15" max="15" width="13.75" style="29" customWidth="1"/>
    <col min="16" max="16384" width="8" style="29"/>
  </cols>
  <sheetData>
    <row r="1" spans="2:25" ht="27.75" customHeight="1" thickBot="1" x14ac:dyDescent="0.25">
      <c r="F1" s="339" t="s">
        <v>101</v>
      </c>
      <c r="G1" s="340"/>
      <c r="H1" s="340"/>
      <c r="I1" s="340"/>
      <c r="J1" s="341"/>
    </row>
    <row r="2" spans="2:25" ht="22.5" customHeight="1" thickBot="1" x14ac:dyDescent="0.25">
      <c r="B2" s="342" t="s">
        <v>102</v>
      </c>
      <c r="C2" s="343"/>
      <c r="D2" s="344" t="s">
        <v>103</v>
      </c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</row>
    <row r="3" spans="2:25" ht="17.100000000000001" customHeight="1" thickBot="1" x14ac:dyDescent="0.25">
      <c r="E3" s="30"/>
    </row>
    <row r="4" spans="2:25" ht="30" customHeight="1" thickBot="1" x14ac:dyDescent="0.25">
      <c r="B4" s="31">
        <v>2023</v>
      </c>
      <c r="C4" s="32" t="s">
        <v>104</v>
      </c>
      <c r="D4" s="33" t="s">
        <v>105</v>
      </c>
      <c r="E4" s="34" t="s">
        <v>106</v>
      </c>
      <c r="F4" s="33" t="s">
        <v>107</v>
      </c>
      <c r="G4" s="34" t="s">
        <v>108</v>
      </c>
      <c r="H4" s="33" t="s">
        <v>109</v>
      </c>
      <c r="I4" s="34" t="s">
        <v>110</v>
      </c>
      <c r="J4" s="33" t="s">
        <v>111</v>
      </c>
      <c r="K4" s="34" t="s">
        <v>112</v>
      </c>
      <c r="L4" s="33" t="s">
        <v>113</v>
      </c>
      <c r="M4" s="34" t="s">
        <v>114</v>
      </c>
      <c r="N4" s="33" t="s">
        <v>115</v>
      </c>
      <c r="O4" s="35" t="s">
        <v>86</v>
      </c>
    </row>
    <row r="5" spans="2:25" ht="30" customHeight="1" thickBot="1" x14ac:dyDescent="0.25">
      <c r="B5" s="36" t="s">
        <v>116</v>
      </c>
      <c r="C5" s="37"/>
      <c r="D5" s="38"/>
      <c r="E5" s="39"/>
      <c r="F5" s="39"/>
      <c r="G5" s="38"/>
      <c r="H5" s="39"/>
      <c r="I5" s="39"/>
      <c r="J5" s="39"/>
      <c r="K5" s="39"/>
      <c r="L5" s="39"/>
      <c r="M5" s="39"/>
      <c r="N5" s="40"/>
      <c r="O5" s="41">
        <f>SUM(C5:N5)</f>
        <v>0</v>
      </c>
    </row>
    <row r="6" spans="2:25" ht="30" customHeight="1" thickBot="1" x14ac:dyDescent="0.25">
      <c r="B6" s="42" t="s">
        <v>117</v>
      </c>
      <c r="C6" s="43"/>
      <c r="D6" s="44"/>
      <c r="E6" s="45"/>
      <c r="F6" s="45"/>
      <c r="G6" s="44"/>
      <c r="H6" s="45"/>
      <c r="I6" s="45"/>
      <c r="J6" s="45"/>
      <c r="K6" s="45"/>
      <c r="L6" s="45"/>
      <c r="M6" s="45"/>
      <c r="N6" s="46"/>
      <c r="O6" s="47">
        <f>SUM(C6:N6)</f>
        <v>0</v>
      </c>
      <c r="P6" s="335"/>
      <c r="Q6" s="336"/>
      <c r="R6" s="336"/>
      <c r="S6" s="336"/>
      <c r="T6" s="336"/>
      <c r="U6" s="336"/>
      <c r="V6" s="336"/>
      <c r="W6" s="336"/>
      <c r="X6" s="336"/>
      <c r="Y6" s="336"/>
    </row>
    <row r="7" spans="2:25" ht="30" customHeight="1" thickBot="1" x14ac:dyDescent="0.25">
      <c r="B7" s="48"/>
      <c r="C7" s="49"/>
      <c r="D7" s="50"/>
      <c r="E7" s="51"/>
      <c r="F7" s="51"/>
      <c r="G7" s="50"/>
      <c r="H7" s="51"/>
      <c r="I7" s="51"/>
      <c r="J7" s="51"/>
      <c r="K7" s="51"/>
      <c r="L7" s="51"/>
      <c r="M7" s="51"/>
      <c r="N7" s="52"/>
      <c r="O7" s="53">
        <f t="shared" ref="O7:O9" si="0">SUM(C7:N7)</f>
        <v>0</v>
      </c>
      <c r="P7" s="346"/>
      <c r="Q7" s="347"/>
      <c r="R7" s="347"/>
      <c r="S7" s="347"/>
      <c r="T7" s="347"/>
      <c r="U7" s="347"/>
      <c r="V7" s="347"/>
    </row>
    <row r="8" spans="2:25" ht="30" customHeight="1" thickBot="1" x14ac:dyDescent="0.25">
      <c r="B8" s="54"/>
      <c r="C8" s="55"/>
      <c r="D8" s="56"/>
      <c r="E8" s="57"/>
      <c r="F8" s="57"/>
      <c r="G8" s="56"/>
      <c r="H8" s="57"/>
      <c r="I8" s="57"/>
      <c r="J8" s="57"/>
      <c r="K8" s="57"/>
      <c r="L8" s="57"/>
      <c r="M8" s="57"/>
      <c r="N8" s="58"/>
      <c r="O8" s="59">
        <f t="shared" si="0"/>
        <v>0</v>
      </c>
      <c r="P8" s="333"/>
      <c r="Q8" s="334"/>
      <c r="R8" s="334"/>
      <c r="S8" s="334"/>
      <c r="T8" s="334"/>
      <c r="U8" s="334"/>
      <c r="V8" s="334"/>
    </row>
    <row r="9" spans="2:25" ht="30" customHeight="1" thickBot="1" x14ac:dyDescent="0.25">
      <c r="B9" s="60"/>
      <c r="C9" s="55"/>
      <c r="D9" s="56"/>
      <c r="E9" s="57"/>
      <c r="F9" s="57"/>
      <c r="G9" s="56"/>
      <c r="H9" s="57"/>
      <c r="I9" s="57"/>
      <c r="J9" s="57"/>
      <c r="K9" s="57"/>
      <c r="L9" s="57"/>
      <c r="M9" s="57"/>
      <c r="N9" s="58"/>
      <c r="O9" s="59">
        <f t="shared" si="0"/>
        <v>0</v>
      </c>
      <c r="P9" s="333"/>
      <c r="Q9" s="334"/>
      <c r="R9" s="334"/>
      <c r="S9" s="334"/>
      <c r="T9" s="334"/>
      <c r="U9" s="334"/>
      <c r="V9" s="334"/>
    </row>
    <row r="10" spans="2:25" ht="30" customHeight="1" thickBot="1" x14ac:dyDescent="0.25">
      <c r="B10" s="61" t="s">
        <v>118</v>
      </c>
      <c r="C10" s="62">
        <f>SUM(C5:C9)</f>
        <v>0</v>
      </c>
      <c r="D10" s="63">
        <f t="shared" ref="D10:N10" si="1">SUM(D5:D9)</f>
        <v>0</v>
      </c>
      <c r="E10" s="62">
        <f t="shared" si="1"/>
        <v>0</v>
      </c>
      <c r="F10" s="62">
        <f t="shared" si="1"/>
        <v>0</v>
      </c>
      <c r="G10" s="63">
        <f t="shared" si="1"/>
        <v>0</v>
      </c>
      <c r="H10" s="62">
        <f t="shared" si="1"/>
        <v>0</v>
      </c>
      <c r="I10" s="62">
        <f t="shared" si="1"/>
        <v>0</v>
      </c>
      <c r="J10" s="62">
        <f t="shared" si="1"/>
        <v>0</v>
      </c>
      <c r="K10" s="62">
        <f t="shared" si="1"/>
        <v>0</v>
      </c>
      <c r="L10" s="62">
        <f t="shared" si="1"/>
        <v>0</v>
      </c>
      <c r="M10" s="62">
        <f t="shared" si="1"/>
        <v>0</v>
      </c>
      <c r="N10" s="62">
        <f t="shared" si="1"/>
        <v>0</v>
      </c>
      <c r="O10" s="64">
        <f>SUM(C10:N10)</f>
        <v>0</v>
      </c>
      <c r="P10" s="335"/>
      <c r="Q10" s="336"/>
      <c r="R10" s="336"/>
      <c r="S10" s="336"/>
      <c r="T10" s="336"/>
      <c r="U10" s="336"/>
      <c r="V10" s="336"/>
    </row>
    <row r="11" spans="2:25" ht="20.100000000000001" customHeight="1" x14ac:dyDescent="0.2"/>
    <row r="12" spans="2:25" ht="20.100000000000001" customHeight="1" x14ac:dyDescent="0.2">
      <c r="B12" s="337" t="s">
        <v>119</v>
      </c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</row>
    <row r="13" spans="2:25" ht="20.100000000000001" customHeight="1" x14ac:dyDescent="0.2"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</row>
    <row r="14" spans="2:25" ht="20.100000000000001" customHeight="1" x14ac:dyDescent="0.2"/>
    <row r="15" spans="2:25" ht="20.100000000000001" customHeight="1" x14ac:dyDescent="0.2">
      <c r="B15" s="337" t="s">
        <v>120</v>
      </c>
      <c r="C15" s="337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</row>
    <row r="16" spans="2:25" ht="20.100000000000001" customHeight="1" x14ac:dyDescent="0.2"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</row>
    <row r="17" spans="2:15" ht="20.100000000000001" customHeight="1" x14ac:dyDescent="0.2"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</row>
    <row r="18" spans="2:15" ht="20.100000000000001" customHeight="1" x14ac:dyDescent="0.2">
      <c r="B18" s="335" t="s">
        <v>121</v>
      </c>
      <c r="C18" s="336"/>
      <c r="D18" s="336"/>
      <c r="E18" s="336"/>
      <c r="F18" s="336"/>
      <c r="G18" s="336"/>
      <c r="H18" s="336"/>
      <c r="I18" s="336"/>
      <c r="J18" s="336"/>
    </row>
    <row r="19" spans="2:15" ht="24.75" customHeight="1" x14ac:dyDescent="0.2">
      <c r="B19" s="338" t="s">
        <v>122</v>
      </c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</row>
    <row r="20" spans="2:15" ht="36" customHeight="1" x14ac:dyDescent="0.2">
      <c r="B20" s="332" t="s">
        <v>123</v>
      </c>
      <c r="C20" s="332"/>
      <c r="D20" s="332"/>
      <c r="E20" s="332"/>
      <c r="F20" s="332"/>
      <c r="G20" s="332"/>
      <c r="H20" s="332"/>
      <c r="I20" s="332"/>
      <c r="J20" s="332"/>
      <c r="K20" s="332"/>
      <c r="L20" s="332"/>
      <c r="M20" s="332"/>
      <c r="N20" s="332"/>
      <c r="O20" s="332"/>
    </row>
  </sheetData>
  <mergeCells count="13">
    <mergeCell ref="P8:V8"/>
    <mergeCell ref="F1:J1"/>
    <mergeCell ref="B2:C2"/>
    <mergeCell ref="D2:O2"/>
    <mergeCell ref="P6:Y6"/>
    <mergeCell ref="P7:V7"/>
    <mergeCell ref="B20:O20"/>
    <mergeCell ref="P9:V9"/>
    <mergeCell ref="P10:V10"/>
    <mergeCell ref="B12:O13"/>
    <mergeCell ref="B15:O15"/>
    <mergeCell ref="B18:J18"/>
    <mergeCell ref="B19:O19"/>
  </mergeCells>
  <dataValidations count="1">
    <dataValidation type="decimal" allowBlank="1" showDropDown="1" sqref="C10:N10" xr:uid="{00000000-0002-0000-1C00-000000000000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6">
    <tabColor rgb="FF00B050"/>
  </sheetPr>
  <dimension ref="A1:K30"/>
  <sheetViews>
    <sheetView zoomScale="80" zoomScaleNormal="80" workbookViewId="0">
      <selection activeCell="H14" sqref="H14"/>
    </sheetView>
  </sheetViews>
  <sheetFormatPr baseColWidth="10" defaultColWidth="8" defaultRowHeight="15" x14ac:dyDescent="0.25"/>
  <cols>
    <col min="1" max="1" width="13.875" style="109" customWidth="1"/>
    <col min="2" max="2" width="17.5" style="109" customWidth="1"/>
    <col min="3" max="3" width="13.125" style="133" customWidth="1"/>
    <col min="4" max="5" width="13.125" style="104" customWidth="1"/>
    <col min="6" max="6" width="43.75" style="120" customWidth="1"/>
    <col min="7" max="7" width="24.625" style="120" customWidth="1"/>
    <col min="8" max="9" width="13.125" style="120" customWidth="1"/>
    <col min="10" max="10" width="10.625" style="11" customWidth="1"/>
    <col min="11" max="11" width="12.625" style="11" customWidth="1"/>
    <col min="12" max="16384" width="8" style="6"/>
  </cols>
  <sheetData>
    <row r="1" spans="1:11" ht="30" customHeight="1" thickBot="1" x14ac:dyDescent="0.3">
      <c r="A1" s="111" t="s">
        <v>124</v>
      </c>
      <c r="B1" s="105" t="s">
        <v>125</v>
      </c>
      <c r="C1" s="193" t="s">
        <v>126</v>
      </c>
      <c r="D1" s="110" t="s">
        <v>127</v>
      </c>
      <c r="E1" s="110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3" t="s">
        <v>134</v>
      </c>
    </row>
    <row r="2" spans="1:11" ht="24.95" customHeight="1" x14ac:dyDescent="0.25">
      <c r="A2" s="106">
        <v>43832</v>
      </c>
      <c r="B2" s="106">
        <v>43864</v>
      </c>
      <c r="C2" s="288">
        <v>300000</v>
      </c>
      <c r="D2" s="288">
        <v>10257.530000000001</v>
      </c>
      <c r="E2" s="288">
        <v>310257.53000000003</v>
      </c>
      <c r="F2" s="114" t="s">
        <v>135</v>
      </c>
      <c r="G2" s="114" t="s">
        <v>136</v>
      </c>
      <c r="H2" s="114" t="s">
        <v>137</v>
      </c>
      <c r="I2" s="114" t="s">
        <v>138</v>
      </c>
      <c r="J2" s="115" t="s">
        <v>139</v>
      </c>
      <c r="K2" s="116">
        <v>874165</v>
      </c>
    </row>
    <row r="3" spans="1:11" ht="24.95" customHeight="1" x14ac:dyDescent="0.25">
      <c r="A3" s="107">
        <v>43881</v>
      </c>
      <c r="B3" s="107">
        <v>43915</v>
      </c>
      <c r="C3" s="289">
        <v>40000</v>
      </c>
      <c r="D3" s="289">
        <v>1117.81</v>
      </c>
      <c r="E3" s="289">
        <v>41117.81</v>
      </c>
      <c r="F3" s="117" t="s">
        <v>135</v>
      </c>
      <c r="G3" s="117" t="s">
        <v>136</v>
      </c>
      <c r="H3" s="117"/>
      <c r="I3" s="117" t="s">
        <v>138</v>
      </c>
      <c r="J3" s="7" t="s">
        <v>139</v>
      </c>
      <c r="K3" s="118">
        <v>879714</v>
      </c>
    </row>
    <row r="4" spans="1:11" ht="24.95" customHeight="1" x14ac:dyDescent="0.25">
      <c r="A4" s="107">
        <v>43879</v>
      </c>
      <c r="B4" s="107">
        <v>43909</v>
      </c>
      <c r="C4" s="289">
        <v>15000</v>
      </c>
      <c r="D4" s="289">
        <v>382.19</v>
      </c>
      <c r="E4" s="289">
        <v>15382.19</v>
      </c>
      <c r="F4" s="117" t="s">
        <v>135</v>
      </c>
      <c r="G4" s="117" t="s">
        <v>136</v>
      </c>
      <c r="H4" s="117"/>
      <c r="I4" s="117" t="s">
        <v>138</v>
      </c>
      <c r="J4" s="7" t="s">
        <v>139</v>
      </c>
      <c r="K4" s="118">
        <v>879454</v>
      </c>
    </row>
    <row r="5" spans="1:11" ht="24.95" customHeight="1" x14ac:dyDescent="0.25">
      <c r="A5" s="107">
        <v>43878</v>
      </c>
      <c r="B5" s="107">
        <v>43908</v>
      </c>
      <c r="C5" s="289">
        <v>250000</v>
      </c>
      <c r="D5" s="289">
        <v>6780.82</v>
      </c>
      <c r="E5" s="289">
        <v>256780.82</v>
      </c>
      <c r="F5" s="117" t="s">
        <v>135</v>
      </c>
      <c r="G5" s="117" t="s">
        <v>136</v>
      </c>
      <c r="H5" s="117"/>
      <c r="I5" s="117" t="s">
        <v>138</v>
      </c>
      <c r="J5" s="7" t="s">
        <v>139</v>
      </c>
      <c r="K5" s="118">
        <v>879360</v>
      </c>
    </row>
    <row r="6" spans="1:11" ht="24.95" customHeight="1" x14ac:dyDescent="0.25">
      <c r="A6" s="107">
        <v>43873</v>
      </c>
      <c r="B6" s="107">
        <v>43906</v>
      </c>
      <c r="C6" s="289">
        <v>200000</v>
      </c>
      <c r="D6" s="289">
        <v>6147.95</v>
      </c>
      <c r="E6" s="289">
        <v>206147.95</v>
      </c>
      <c r="F6" s="117" t="s">
        <v>135</v>
      </c>
      <c r="G6" s="117" t="s">
        <v>136</v>
      </c>
      <c r="H6" s="117"/>
      <c r="I6" s="117" t="s">
        <v>138</v>
      </c>
      <c r="J6" s="7" t="s">
        <v>139</v>
      </c>
      <c r="K6" s="118">
        <v>878897</v>
      </c>
    </row>
    <row r="7" spans="1:11" ht="24.95" customHeight="1" x14ac:dyDescent="0.25">
      <c r="A7" s="107">
        <v>43873</v>
      </c>
      <c r="B7" s="107">
        <v>44183</v>
      </c>
      <c r="C7" s="289">
        <v>10000</v>
      </c>
      <c r="D7" s="289">
        <v>2717.81</v>
      </c>
      <c r="E7" s="289">
        <v>12717.81</v>
      </c>
      <c r="F7" s="117" t="s">
        <v>135</v>
      </c>
      <c r="G7" s="117" t="s">
        <v>136</v>
      </c>
      <c r="H7" s="117"/>
      <c r="I7" s="117" t="s">
        <v>138</v>
      </c>
      <c r="J7" s="7" t="s">
        <v>139</v>
      </c>
      <c r="K7" s="118">
        <v>878859</v>
      </c>
    </row>
    <row r="8" spans="1:11" ht="24.95" customHeight="1" x14ac:dyDescent="0.25">
      <c r="A8" s="107">
        <v>43910</v>
      </c>
      <c r="B8" s="107">
        <v>43941</v>
      </c>
      <c r="C8" s="289">
        <v>900000</v>
      </c>
      <c r="D8" s="289">
        <v>21402.74</v>
      </c>
      <c r="E8" s="289">
        <v>921402.74</v>
      </c>
      <c r="F8" s="117" t="s">
        <v>135</v>
      </c>
      <c r="G8" s="117" t="s">
        <v>136</v>
      </c>
      <c r="H8" s="117"/>
      <c r="I8" s="117" t="s">
        <v>138</v>
      </c>
      <c r="J8" s="7" t="s">
        <v>139</v>
      </c>
      <c r="K8" s="118">
        <v>882731</v>
      </c>
    </row>
    <row r="9" spans="1:11" ht="24.95" customHeight="1" x14ac:dyDescent="0.25">
      <c r="A9" s="107">
        <v>43942</v>
      </c>
      <c r="B9" s="107">
        <v>44032</v>
      </c>
      <c r="C9" s="289">
        <v>900000</v>
      </c>
      <c r="D9" s="289">
        <v>56242.22</v>
      </c>
      <c r="E9" s="289">
        <v>956242.22</v>
      </c>
      <c r="F9" s="117" t="s">
        <v>135</v>
      </c>
      <c r="G9" s="117" t="s">
        <v>136</v>
      </c>
      <c r="H9" s="117"/>
      <c r="I9" s="117" t="s">
        <v>138</v>
      </c>
      <c r="J9" s="7" t="s">
        <v>139</v>
      </c>
      <c r="K9" s="118">
        <v>886186</v>
      </c>
    </row>
    <row r="10" spans="1:11" ht="24.95" customHeight="1" x14ac:dyDescent="0.25">
      <c r="A10" s="107">
        <v>44033</v>
      </c>
      <c r="B10" s="107">
        <v>44124</v>
      </c>
      <c r="C10" s="289">
        <v>800000</v>
      </c>
      <c r="D10" s="289">
        <v>57716.58</v>
      </c>
      <c r="E10" s="289">
        <v>857716.58</v>
      </c>
      <c r="F10" s="117" t="s">
        <v>135</v>
      </c>
      <c r="G10" s="117" t="s">
        <v>136</v>
      </c>
      <c r="H10" s="117"/>
      <c r="I10" s="117" t="s">
        <v>138</v>
      </c>
      <c r="J10" s="7" t="s">
        <v>139</v>
      </c>
      <c r="K10" s="118">
        <v>897609</v>
      </c>
    </row>
    <row r="11" spans="1:11" ht="24.95" customHeight="1" x14ac:dyDescent="0.25">
      <c r="A11" s="107">
        <v>44126</v>
      </c>
      <c r="B11" s="107">
        <v>44159</v>
      </c>
      <c r="C11" s="289">
        <v>800000</v>
      </c>
      <c r="D11" s="289">
        <v>24591.78</v>
      </c>
      <c r="E11" s="289">
        <v>824591.78</v>
      </c>
      <c r="F11" s="117" t="s">
        <v>135</v>
      </c>
      <c r="G11" s="117" t="s">
        <v>136</v>
      </c>
      <c r="H11" s="117" t="s">
        <v>140</v>
      </c>
      <c r="I11" s="117" t="s">
        <v>138</v>
      </c>
      <c r="J11" s="7" t="s">
        <v>139</v>
      </c>
      <c r="K11" s="118">
        <v>911190</v>
      </c>
    </row>
    <row r="12" spans="1:11" ht="24.95" customHeight="1" x14ac:dyDescent="0.25">
      <c r="A12" s="107">
        <v>44165</v>
      </c>
      <c r="B12" s="107">
        <v>44256</v>
      </c>
      <c r="C12" s="289">
        <v>600000</v>
      </c>
      <c r="D12" s="289">
        <v>70443.600000000006</v>
      </c>
      <c r="E12" s="289">
        <v>670443.6</v>
      </c>
      <c r="F12" s="117" t="s">
        <v>135</v>
      </c>
      <c r="G12" s="117" t="s">
        <v>136</v>
      </c>
      <c r="H12" s="117" t="s">
        <v>140</v>
      </c>
      <c r="I12" s="117" t="s">
        <v>138</v>
      </c>
      <c r="J12" s="7" t="s">
        <v>139</v>
      </c>
      <c r="K12" s="118">
        <v>916402</v>
      </c>
    </row>
    <row r="13" spans="1:11" ht="24.95" customHeight="1" x14ac:dyDescent="0.25">
      <c r="A13" s="107">
        <v>44195</v>
      </c>
      <c r="B13" s="107">
        <v>44285</v>
      </c>
      <c r="C13" s="289">
        <v>10000</v>
      </c>
      <c r="D13" s="289">
        <v>912.33</v>
      </c>
      <c r="E13" s="289">
        <v>10912.33</v>
      </c>
      <c r="F13" s="117" t="s">
        <v>135</v>
      </c>
      <c r="G13" s="117" t="s">
        <v>136</v>
      </c>
      <c r="H13" s="117" t="s">
        <v>140</v>
      </c>
      <c r="I13" s="117" t="s">
        <v>138</v>
      </c>
      <c r="J13" s="7" t="s">
        <v>139</v>
      </c>
      <c r="K13" s="118">
        <v>920803</v>
      </c>
    </row>
    <row r="14" spans="1:11" ht="24.95" customHeight="1" x14ac:dyDescent="0.25">
      <c r="A14" s="107">
        <v>44263</v>
      </c>
      <c r="B14" s="107">
        <v>44354</v>
      </c>
      <c r="C14" s="289">
        <v>700000</v>
      </c>
      <c r="D14" s="289">
        <v>92935.85</v>
      </c>
      <c r="E14" s="289">
        <v>792935.85</v>
      </c>
      <c r="F14" s="117" t="s">
        <v>135</v>
      </c>
      <c r="G14" s="117" t="s">
        <v>136</v>
      </c>
      <c r="H14" s="117" t="s">
        <v>140</v>
      </c>
      <c r="I14" s="117" t="s">
        <v>138</v>
      </c>
      <c r="J14" s="7" t="s">
        <v>139</v>
      </c>
      <c r="K14" s="118">
        <v>930625</v>
      </c>
    </row>
    <row r="15" spans="1:11" ht="24.95" customHeight="1" x14ac:dyDescent="0.25">
      <c r="A15" s="107">
        <v>44358</v>
      </c>
      <c r="B15" s="107">
        <v>44412</v>
      </c>
      <c r="C15" s="289">
        <v>700000</v>
      </c>
      <c r="D15" s="289">
        <v>33444.080000000002</v>
      </c>
      <c r="E15" s="289">
        <v>733444.08</v>
      </c>
      <c r="F15" s="117" t="s">
        <v>135</v>
      </c>
      <c r="G15" s="117" t="s">
        <v>136</v>
      </c>
      <c r="H15" s="117" t="s">
        <v>140</v>
      </c>
      <c r="I15" s="117" t="s">
        <v>138</v>
      </c>
      <c r="J15" s="7" t="s">
        <v>139</v>
      </c>
      <c r="K15" s="118">
        <v>945417</v>
      </c>
    </row>
    <row r="16" spans="1:11" ht="24.95" customHeight="1" x14ac:dyDescent="0.25">
      <c r="A16" s="107">
        <v>44414</v>
      </c>
      <c r="B16" s="107">
        <v>44476</v>
      </c>
      <c r="C16" s="289">
        <v>400000</v>
      </c>
      <c r="D16" s="289">
        <v>21920.04</v>
      </c>
      <c r="E16" s="289">
        <v>421920.04</v>
      </c>
      <c r="F16" s="117" t="s">
        <v>135</v>
      </c>
      <c r="G16" s="117" t="s">
        <v>136</v>
      </c>
      <c r="H16" s="117" t="s">
        <v>140</v>
      </c>
      <c r="I16" s="117" t="s">
        <v>138</v>
      </c>
      <c r="J16" s="7" t="s">
        <v>139</v>
      </c>
      <c r="K16" s="118">
        <v>955110</v>
      </c>
    </row>
    <row r="17" spans="1:11" ht="24.95" customHeight="1" x14ac:dyDescent="0.25">
      <c r="A17" s="107">
        <v>44476</v>
      </c>
      <c r="B17" s="107">
        <v>44509</v>
      </c>
      <c r="C17" s="289">
        <v>300000</v>
      </c>
      <c r="D17" s="289">
        <v>8530.2000000000007</v>
      </c>
      <c r="E17" s="289">
        <v>308530.2</v>
      </c>
      <c r="F17" s="117" t="s">
        <v>135</v>
      </c>
      <c r="G17" s="117" t="s">
        <v>136</v>
      </c>
      <c r="H17" s="117" t="s">
        <v>140</v>
      </c>
      <c r="I17" s="117" t="s">
        <v>138</v>
      </c>
      <c r="J17" s="7" t="s">
        <v>139</v>
      </c>
      <c r="K17" s="118">
        <v>965360</v>
      </c>
    </row>
    <row r="18" spans="1:11" ht="24.95" customHeight="1" x14ac:dyDescent="0.25">
      <c r="A18" s="107">
        <v>44510</v>
      </c>
      <c r="B18" s="107">
        <v>44600</v>
      </c>
      <c r="C18" s="289">
        <v>250000</v>
      </c>
      <c r="D18" s="289">
        <v>25767.53</v>
      </c>
      <c r="E18" s="289">
        <v>275767.53000000003</v>
      </c>
      <c r="F18" s="175" t="s">
        <v>135</v>
      </c>
      <c r="G18" s="117" t="s">
        <v>136</v>
      </c>
      <c r="H18" s="117" t="s">
        <v>140</v>
      </c>
      <c r="I18" s="117" t="s">
        <v>138</v>
      </c>
      <c r="J18" s="7" t="s">
        <v>139</v>
      </c>
      <c r="K18" s="118" t="s">
        <v>250</v>
      </c>
    </row>
    <row r="19" spans="1:11" ht="30" customHeight="1" x14ac:dyDescent="0.25">
      <c r="A19" s="172">
        <v>44707</v>
      </c>
      <c r="B19" s="172">
        <v>44797</v>
      </c>
      <c r="C19" s="290">
        <v>600000</v>
      </c>
      <c r="D19" s="290">
        <v>106704.8</v>
      </c>
      <c r="E19" s="290">
        <v>706704.8</v>
      </c>
      <c r="F19" s="177" t="s">
        <v>264</v>
      </c>
      <c r="G19" s="178" t="s">
        <v>136</v>
      </c>
      <c r="H19" s="173"/>
      <c r="I19" s="186" t="s">
        <v>138</v>
      </c>
      <c r="J19" s="176" t="s">
        <v>139</v>
      </c>
      <c r="K19" s="174" t="s">
        <v>263</v>
      </c>
    </row>
    <row r="20" spans="1:11" ht="30" customHeight="1" x14ac:dyDescent="0.25">
      <c r="A20" s="172">
        <v>44833</v>
      </c>
      <c r="B20" s="172">
        <v>44865</v>
      </c>
      <c r="C20" s="290">
        <v>600000</v>
      </c>
      <c r="D20" s="290">
        <v>39452.050000000003</v>
      </c>
      <c r="E20" s="290">
        <f>Tabla11[[#This Row],[Capital]]+Tabla11[[#This Row],[Interes]]</f>
        <v>639452.05000000005</v>
      </c>
      <c r="F20" s="189" t="s">
        <v>135</v>
      </c>
      <c r="G20" s="189" t="s">
        <v>136</v>
      </c>
      <c r="H20" s="173"/>
      <c r="I20" s="194" t="s">
        <v>138</v>
      </c>
      <c r="J20" s="190" t="s">
        <v>139</v>
      </c>
      <c r="K20" s="174" t="s">
        <v>277</v>
      </c>
    </row>
    <row r="21" spans="1:11" ht="30" customHeight="1" x14ac:dyDescent="0.25">
      <c r="A21" s="172">
        <v>44883</v>
      </c>
      <c r="B21" s="172">
        <v>44914</v>
      </c>
      <c r="C21" s="290">
        <v>350000</v>
      </c>
      <c r="D21" s="290">
        <v>22294.52</v>
      </c>
      <c r="E21" s="290">
        <f>Tabla11[[#This Row],[Capital]]+Tabla11[[#This Row],[Interes]]</f>
        <v>372294.52</v>
      </c>
      <c r="F21" s="195" t="s">
        <v>135</v>
      </c>
      <c r="G21" s="195" t="s">
        <v>136</v>
      </c>
      <c r="H21" s="173"/>
      <c r="I21" s="198" t="s">
        <v>138</v>
      </c>
      <c r="J21" s="196" t="s">
        <v>139</v>
      </c>
      <c r="K21" s="197" t="s">
        <v>284</v>
      </c>
    </row>
    <row r="22" spans="1:11" ht="30" customHeight="1" x14ac:dyDescent="0.25">
      <c r="A22" s="172">
        <v>44907</v>
      </c>
      <c r="B22" s="172">
        <v>44937</v>
      </c>
      <c r="C22" s="290">
        <v>350000</v>
      </c>
      <c r="D22" s="290">
        <v>21575</v>
      </c>
      <c r="E22" s="290">
        <f>Tabla11[[#This Row],[Capital]]+Tabla11[[#This Row],[Interes]]</f>
        <v>371575</v>
      </c>
      <c r="F22" s="198" t="s">
        <v>135</v>
      </c>
      <c r="G22" s="198" t="s">
        <v>136</v>
      </c>
      <c r="H22" s="173"/>
      <c r="I22" s="234" t="s">
        <v>138</v>
      </c>
      <c r="J22" s="199" t="s">
        <v>139</v>
      </c>
      <c r="K22" s="174" t="s">
        <v>310</v>
      </c>
    </row>
    <row r="23" spans="1:11" ht="30" customHeight="1" x14ac:dyDescent="0.25">
      <c r="A23" s="172">
        <v>44963</v>
      </c>
      <c r="B23" s="172">
        <v>44993</v>
      </c>
      <c r="C23" s="290">
        <v>500000</v>
      </c>
      <c r="D23" s="290">
        <v>30821.919999999998</v>
      </c>
      <c r="E23" s="290">
        <f>Tabla11[[#This Row],[Capital]]+Tabla11[[#This Row],[Interes]]</f>
        <v>530821.92000000004</v>
      </c>
      <c r="F23" s="267" t="s">
        <v>135</v>
      </c>
      <c r="G23" s="267" t="s">
        <v>136</v>
      </c>
      <c r="H23" s="173"/>
      <c r="I23" s="270" t="s">
        <v>138</v>
      </c>
      <c r="J23" s="268" t="s">
        <v>139</v>
      </c>
      <c r="K23" s="174" t="s">
        <v>388</v>
      </c>
    </row>
    <row r="24" spans="1:11" ht="30" customHeight="1" x14ac:dyDescent="0.25">
      <c r="A24" s="172">
        <v>44993</v>
      </c>
      <c r="B24" s="172">
        <v>45035</v>
      </c>
      <c r="C24" s="290">
        <v>1000000</v>
      </c>
      <c r="D24" s="290">
        <v>64109.59</v>
      </c>
      <c r="E24" s="290">
        <v>1064109.5900000001</v>
      </c>
      <c r="F24" s="270" t="s">
        <v>135</v>
      </c>
      <c r="G24" s="270" t="s">
        <v>136</v>
      </c>
      <c r="H24" s="173"/>
      <c r="I24" s="281" t="s">
        <v>138</v>
      </c>
      <c r="J24" s="271" t="s">
        <v>139</v>
      </c>
      <c r="K24" s="174" t="s">
        <v>417</v>
      </c>
    </row>
    <row r="25" spans="1:11" ht="30" customHeight="1" x14ac:dyDescent="0.25">
      <c r="A25" s="172"/>
      <c r="B25" s="172"/>
      <c r="C25" s="290"/>
      <c r="D25" s="290"/>
      <c r="E25" s="290"/>
      <c r="F25" s="173"/>
      <c r="G25" s="173"/>
      <c r="H25" s="173"/>
      <c r="I25" s="173"/>
      <c r="J25" s="269"/>
      <c r="K25" s="174"/>
    </row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7">
    <tabColor rgb="FF92D050"/>
  </sheetPr>
  <dimension ref="A1:F51"/>
  <sheetViews>
    <sheetView topLeftCell="A33" zoomScale="90" zoomScaleNormal="90" workbookViewId="0">
      <selection activeCell="F52" sqref="F52"/>
    </sheetView>
  </sheetViews>
  <sheetFormatPr baseColWidth="10" defaultColWidth="8" defaultRowHeight="15" x14ac:dyDescent="0.25"/>
  <cols>
    <col min="1" max="1" width="13.125" style="102" customWidth="1"/>
    <col min="2" max="2" width="13.125" style="129" customWidth="1"/>
    <col min="3" max="5" width="13.125" style="104" customWidth="1"/>
    <col min="6" max="6" width="105" style="120" customWidth="1"/>
    <col min="7" max="16384" width="8" style="6"/>
  </cols>
  <sheetData>
    <row r="1" spans="1:6" ht="30" customHeight="1" x14ac:dyDescent="0.25">
      <c r="A1" s="121" t="s">
        <v>141</v>
      </c>
      <c r="B1" s="127" t="s">
        <v>142</v>
      </c>
      <c r="C1" s="122" t="s">
        <v>143</v>
      </c>
      <c r="D1" s="122" t="s">
        <v>144</v>
      </c>
      <c r="E1" s="122" t="s">
        <v>145</v>
      </c>
      <c r="F1" s="134" t="s">
        <v>131</v>
      </c>
    </row>
    <row r="2" spans="1:6" ht="20.100000000000001" customHeight="1" x14ac:dyDescent="0.25">
      <c r="A2" s="125">
        <v>43286</v>
      </c>
      <c r="B2" s="7" t="s">
        <v>146</v>
      </c>
      <c r="C2" s="8">
        <v>13000</v>
      </c>
      <c r="D2" s="8">
        <v>0</v>
      </c>
      <c r="E2" s="8">
        <v>13000</v>
      </c>
      <c r="F2" s="135" t="s">
        <v>147</v>
      </c>
    </row>
    <row r="3" spans="1:6" ht="20.100000000000001" customHeight="1" x14ac:dyDescent="0.25">
      <c r="A3" s="125">
        <v>43438</v>
      </c>
      <c r="B3" s="7" t="s">
        <v>148</v>
      </c>
      <c r="C3" s="8">
        <v>0</v>
      </c>
      <c r="D3" s="8">
        <v>-1000</v>
      </c>
      <c r="E3" s="8">
        <v>12000</v>
      </c>
      <c r="F3" s="135" t="s">
        <v>149</v>
      </c>
    </row>
    <row r="4" spans="1:6" ht="20.100000000000001" customHeight="1" x14ac:dyDescent="0.25">
      <c r="A4" s="125">
        <v>43476</v>
      </c>
      <c r="B4" s="7" t="s">
        <v>146</v>
      </c>
      <c r="C4" s="8">
        <v>100</v>
      </c>
      <c r="D4" s="8">
        <v>0</v>
      </c>
      <c r="E4" s="8">
        <v>12100</v>
      </c>
      <c r="F4" s="135" t="s">
        <v>150</v>
      </c>
    </row>
    <row r="5" spans="1:6" ht="20.100000000000001" customHeight="1" x14ac:dyDescent="0.25">
      <c r="A5" s="125">
        <v>43552</v>
      </c>
      <c r="B5" s="7" t="s">
        <v>151</v>
      </c>
      <c r="C5" s="8">
        <v>8.2899999999999991</v>
      </c>
      <c r="D5" s="8">
        <v>0</v>
      </c>
      <c r="E5" s="8">
        <v>12108.29</v>
      </c>
      <c r="F5" s="135"/>
    </row>
    <row r="6" spans="1:6" ht="20.100000000000001" customHeight="1" x14ac:dyDescent="0.25">
      <c r="A6" s="125">
        <v>43563</v>
      </c>
      <c r="B6" s="7" t="s">
        <v>148</v>
      </c>
      <c r="C6" s="8">
        <v>0</v>
      </c>
      <c r="D6" s="8">
        <v>-4639.32</v>
      </c>
      <c r="E6" s="8">
        <v>7468.97</v>
      </c>
      <c r="F6" s="135" t="s">
        <v>152</v>
      </c>
    </row>
    <row r="7" spans="1:6" ht="20.100000000000001" customHeight="1" x14ac:dyDescent="0.25">
      <c r="A7" s="125">
        <v>43676</v>
      </c>
      <c r="B7" s="7" t="s">
        <v>151</v>
      </c>
      <c r="C7" s="8">
        <v>3.6</v>
      </c>
      <c r="D7" s="8">
        <v>0</v>
      </c>
      <c r="E7" s="8">
        <v>7472.57</v>
      </c>
      <c r="F7" s="135"/>
    </row>
    <row r="8" spans="1:6" ht="20.100000000000001" customHeight="1" x14ac:dyDescent="0.25">
      <c r="A8" s="125">
        <v>43697</v>
      </c>
      <c r="B8" s="7" t="s">
        <v>153</v>
      </c>
      <c r="C8" s="8">
        <v>0</v>
      </c>
      <c r="D8" s="8">
        <v>-7450</v>
      </c>
      <c r="E8" s="8">
        <v>22.57</v>
      </c>
      <c r="F8" s="135" t="s">
        <v>154</v>
      </c>
    </row>
    <row r="9" spans="1:6" ht="20.100000000000001" customHeight="1" x14ac:dyDescent="0.25">
      <c r="A9" s="125">
        <v>43797</v>
      </c>
      <c r="B9" s="7" t="s">
        <v>146</v>
      </c>
      <c r="C9" s="8">
        <v>1.59</v>
      </c>
      <c r="D9" s="8">
        <v>0</v>
      </c>
      <c r="E9" s="8">
        <v>24.16</v>
      </c>
      <c r="F9" s="135" t="s">
        <v>155</v>
      </c>
    </row>
    <row r="10" spans="1:6" ht="20.100000000000001" customHeight="1" x14ac:dyDescent="0.25">
      <c r="A10" s="125">
        <v>43798</v>
      </c>
      <c r="B10" s="7" t="s">
        <v>146</v>
      </c>
      <c r="C10" s="8">
        <v>98</v>
      </c>
      <c r="D10" s="8">
        <v>0</v>
      </c>
      <c r="E10" s="8">
        <v>122.16</v>
      </c>
      <c r="F10" s="135" t="s">
        <v>156</v>
      </c>
    </row>
    <row r="11" spans="1:6" ht="20.100000000000001" customHeight="1" x14ac:dyDescent="0.25">
      <c r="A11" s="125">
        <v>44039</v>
      </c>
      <c r="B11" s="7" t="s">
        <v>146</v>
      </c>
      <c r="C11" s="8">
        <v>200</v>
      </c>
      <c r="D11" s="8">
        <v>0</v>
      </c>
      <c r="E11" s="8">
        <v>322.16000000000003</v>
      </c>
      <c r="F11" s="135" t="s">
        <v>157</v>
      </c>
    </row>
    <row r="12" spans="1:6" ht="20.100000000000001" customHeight="1" x14ac:dyDescent="0.25">
      <c r="A12" s="125">
        <v>44063</v>
      </c>
      <c r="B12" s="7" t="s">
        <v>146</v>
      </c>
      <c r="C12" s="8">
        <v>200</v>
      </c>
      <c r="D12" s="8">
        <v>0</v>
      </c>
      <c r="E12" s="8">
        <v>522.16</v>
      </c>
      <c r="F12" s="135" t="s">
        <v>157</v>
      </c>
    </row>
    <row r="13" spans="1:6" ht="20.100000000000001" customHeight="1" x14ac:dyDescent="0.25">
      <c r="A13" s="125">
        <v>44076</v>
      </c>
      <c r="B13" s="7" t="s">
        <v>158</v>
      </c>
      <c r="C13" s="8">
        <v>200</v>
      </c>
      <c r="D13" s="8">
        <v>0</v>
      </c>
      <c r="E13" s="8">
        <v>722.16</v>
      </c>
      <c r="F13" s="135" t="s">
        <v>159</v>
      </c>
    </row>
    <row r="14" spans="1:6" ht="20.100000000000001" customHeight="1" x14ac:dyDescent="0.25">
      <c r="A14" s="125">
        <v>44075</v>
      </c>
      <c r="B14" s="7" t="s">
        <v>158</v>
      </c>
      <c r="C14" s="8">
        <v>0.03</v>
      </c>
      <c r="D14" s="8">
        <v>0</v>
      </c>
      <c r="E14" s="8">
        <v>722.19</v>
      </c>
      <c r="F14" s="135" t="s">
        <v>160</v>
      </c>
    </row>
    <row r="15" spans="1:6" ht="20.100000000000001" customHeight="1" x14ac:dyDescent="0.25">
      <c r="A15" s="125">
        <v>44105</v>
      </c>
      <c r="B15" s="7" t="s">
        <v>158</v>
      </c>
      <c r="C15" s="8">
        <v>0.06</v>
      </c>
      <c r="D15" s="8">
        <v>0</v>
      </c>
      <c r="E15" s="8">
        <v>722.22</v>
      </c>
      <c r="F15" s="135" t="s">
        <v>160</v>
      </c>
    </row>
    <row r="16" spans="1:6" ht="20.100000000000001" customHeight="1" x14ac:dyDescent="0.25">
      <c r="A16" s="125">
        <v>44136</v>
      </c>
      <c r="B16" s="7" t="s">
        <v>158</v>
      </c>
      <c r="C16" s="8">
        <v>0.06</v>
      </c>
      <c r="D16" s="8">
        <v>0</v>
      </c>
      <c r="E16" s="8">
        <v>722.28</v>
      </c>
      <c r="F16" s="135" t="s">
        <v>160</v>
      </c>
    </row>
    <row r="17" spans="1:6" ht="20.100000000000001" customHeight="1" x14ac:dyDescent="0.25">
      <c r="A17" s="125">
        <v>44166</v>
      </c>
      <c r="B17" s="7" t="s">
        <v>158</v>
      </c>
      <c r="C17" s="8">
        <v>0.06</v>
      </c>
      <c r="D17" s="8">
        <v>0</v>
      </c>
      <c r="E17" s="8">
        <v>722.34</v>
      </c>
      <c r="F17" s="135" t="s">
        <v>160</v>
      </c>
    </row>
    <row r="18" spans="1:6" ht="20.100000000000001" customHeight="1" x14ac:dyDescent="0.25">
      <c r="A18" s="125">
        <v>44197</v>
      </c>
      <c r="B18" s="7" t="s">
        <v>158</v>
      </c>
      <c r="C18" s="8">
        <v>0.06</v>
      </c>
      <c r="D18" s="8">
        <v>0</v>
      </c>
      <c r="E18" s="8">
        <v>722.4</v>
      </c>
      <c r="F18" s="135" t="s">
        <v>160</v>
      </c>
    </row>
    <row r="19" spans="1:6" ht="20.100000000000001" customHeight="1" x14ac:dyDescent="0.25">
      <c r="A19" s="125">
        <v>44228</v>
      </c>
      <c r="B19" s="7" t="s">
        <v>158</v>
      </c>
      <c r="C19" s="8">
        <v>0.06</v>
      </c>
      <c r="D19" s="8">
        <v>0</v>
      </c>
      <c r="E19" s="8">
        <v>722.46</v>
      </c>
      <c r="F19" s="135" t="s">
        <v>160</v>
      </c>
    </row>
    <row r="20" spans="1:6" ht="20.100000000000001" customHeight="1" x14ac:dyDescent="0.25">
      <c r="A20" s="137">
        <v>44256</v>
      </c>
      <c r="B20" s="139" t="s">
        <v>158</v>
      </c>
      <c r="C20" s="103">
        <v>0.06</v>
      </c>
      <c r="D20" s="103">
        <v>0</v>
      </c>
      <c r="E20" s="103">
        <v>722.52</v>
      </c>
      <c r="F20" s="141" t="s">
        <v>160</v>
      </c>
    </row>
    <row r="21" spans="1:6" ht="20.100000000000001" customHeight="1" x14ac:dyDescent="0.25">
      <c r="A21" s="137">
        <v>44306</v>
      </c>
      <c r="B21" s="139" t="s">
        <v>158</v>
      </c>
      <c r="C21" s="103">
        <v>200</v>
      </c>
      <c r="D21" s="103">
        <v>0</v>
      </c>
      <c r="E21" s="103">
        <v>922.52</v>
      </c>
      <c r="F21" s="141" t="s">
        <v>159</v>
      </c>
    </row>
    <row r="22" spans="1:6" ht="20.100000000000001" customHeight="1" x14ac:dyDescent="0.25">
      <c r="A22" s="137">
        <v>44287</v>
      </c>
      <c r="B22" s="139" t="s">
        <v>158</v>
      </c>
      <c r="C22" s="103">
        <v>0.06</v>
      </c>
      <c r="D22" s="103">
        <v>0</v>
      </c>
      <c r="E22" s="103">
        <v>922.58</v>
      </c>
      <c r="F22" s="141" t="s">
        <v>160</v>
      </c>
    </row>
    <row r="23" spans="1:6" ht="20.100000000000001" customHeight="1" x14ac:dyDescent="0.25">
      <c r="A23" s="137">
        <v>44322</v>
      </c>
      <c r="B23" s="139" t="s">
        <v>158</v>
      </c>
      <c r="C23" s="103">
        <v>200</v>
      </c>
      <c r="D23" s="103">
        <v>0</v>
      </c>
      <c r="E23" s="103">
        <v>1122.52</v>
      </c>
      <c r="F23" s="141" t="s">
        <v>159</v>
      </c>
    </row>
    <row r="24" spans="1:6" ht="20.100000000000001" customHeight="1" x14ac:dyDescent="0.25">
      <c r="A24" s="137">
        <v>44317</v>
      </c>
      <c r="B24" s="139" t="s">
        <v>158</v>
      </c>
      <c r="C24" s="103">
        <v>7.0000000000000007E-2</v>
      </c>
      <c r="D24" s="103">
        <v>0</v>
      </c>
      <c r="E24" s="103">
        <v>1122.5899999999999</v>
      </c>
      <c r="F24" s="141" t="s">
        <v>160</v>
      </c>
    </row>
    <row r="25" spans="1:6" ht="20.100000000000001" customHeight="1" x14ac:dyDescent="0.25">
      <c r="A25" s="137">
        <v>44348</v>
      </c>
      <c r="B25" s="139" t="s">
        <v>158</v>
      </c>
      <c r="C25" s="103">
        <v>0.09</v>
      </c>
      <c r="D25" s="103">
        <v>0</v>
      </c>
      <c r="E25" s="103">
        <v>1122.6099999999999</v>
      </c>
      <c r="F25" s="141" t="s">
        <v>160</v>
      </c>
    </row>
    <row r="26" spans="1:6" ht="20.100000000000001" customHeight="1" x14ac:dyDescent="0.25">
      <c r="A26" s="137">
        <v>44378</v>
      </c>
      <c r="B26" s="139" t="s">
        <v>158</v>
      </c>
      <c r="C26" s="103">
        <v>0.09</v>
      </c>
      <c r="D26" s="103">
        <v>0</v>
      </c>
      <c r="E26" s="103">
        <v>1122.7</v>
      </c>
      <c r="F26" s="141" t="s">
        <v>160</v>
      </c>
    </row>
    <row r="27" spans="1:6" ht="20.100000000000001" customHeight="1" x14ac:dyDescent="0.25">
      <c r="A27" s="137">
        <v>44409</v>
      </c>
      <c r="B27" s="139" t="s">
        <v>158</v>
      </c>
      <c r="C27" s="103">
        <v>0.1</v>
      </c>
      <c r="D27" s="103">
        <v>0</v>
      </c>
      <c r="E27" s="103">
        <v>1122.8</v>
      </c>
      <c r="F27" s="141" t="s">
        <v>160</v>
      </c>
    </row>
    <row r="28" spans="1:6" ht="20.100000000000001" customHeight="1" x14ac:dyDescent="0.25">
      <c r="A28" s="137">
        <v>44440</v>
      </c>
      <c r="B28" s="139" t="s">
        <v>158</v>
      </c>
      <c r="C28" s="103">
        <v>0.1</v>
      </c>
      <c r="D28" s="103">
        <v>0</v>
      </c>
      <c r="E28" s="103">
        <v>1122.9000000000001</v>
      </c>
      <c r="F28" s="141" t="s">
        <v>160</v>
      </c>
    </row>
    <row r="29" spans="1:6" ht="20.100000000000001" customHeight="1" x14ac:dyDescent="0.25">
      <c r="A29" s="137">
        <v>44470</v>
      </c>
      <c r="B29" s="139" t="s">
        <v>158</v>
      </c>
      <c r="C29" s="103">
        <v>0.09</v>
      </c>
      <c r="D29" s="103">
        <v>0</v>
      </c>
      <c r="E29" s="103">
        <v>1122.99</v>
      </c>
      <c r="F29" s="141" t="s">
        <v>160</v>
      </c>
    </row>
    <row r="30" spans="1:6" ht="20.100000000000001" customHeight="1" x14ac:dyDescent="0.25">
      <c r="A30" s="137">
        <v>44501</v>
      </c>
      <c r="B30" s="139" t="s">
        <v>158</v>
      </c>
      <c r="C30" s="103">
        <v>0.1</v>
      </c>
      <c r="D30" s="103">
        <v>0</v>
      </c>
      <c r="E30" s="103">
        <v>1123.0899999999999</v>
      </c>
      <c r="F30" s="141" t="s">
        <v>160</v>
      </c>
    </row>
    <row r="31" spans="1:6" ht="20.100000000000001" customHeight="1" x14ac:dyDescent="0.25">
      <c r="A31" s="137">
        <v>44531</v>
      </c>
      <c r="B31" s="139" t="s">
        <v>158</v>
      </c>
      <c r="C31" s="103">
        <v>0.09</v>
      </c>
      <c r="D31" s="103">
        <v>0</v>
      </c>
      <c r="E31" s="103">
        <v>1123.18</v>
      </c>
      <c r="F31" s="141" t="s">
        <v>160</v>
      </c>
    </row>
    <row r="32" spans="1:6" ht="20.100000000000001" customHeight="1" x14ac:dyDescent="0.25">
      <c r="A32" s="137">
        <v>44574</v>
      </c>
      <c r="B32" s="139" t="s">
        <v>158</v>
      </c>
      <c r="C32" s="103">
        <v>100</v>
      </c>
      <c r="D32" s="103">
        <v>0</v>
      </c>
      <c r="E32" s="103">
        <v>1223.18</v>
      </c>
      <c r="F32" s="145" t="s">
        <v>249</v>
      </c>
    </row>
    <row r="33" spans="1:6" ht="20.100000000000001" customHeight="1" x14ac:dyDescent="0.25">
      <c r="A33" s="137">
        <v>44562</v>
      </c>
      <c r="B33" s="139" t="s">
        <v>158</v>
      </c>
      <c r="C33" s="103">
        <v>0.1</v>
      </c>
      <c r="D33" s="103">
        <v>0</v>
      </c>
      <c r="E33" s="103">
        <v>1223.28</v>
      </c>
      <c r="F33" s="141" t="s">
        <v>160</v>
      </c>
    </row>
    <row r="34" spans="1:6" ht="20.100000000000001" customHeight="1" x14ac:dyDescent="0.25">
      <c r="A34" s="137">
        <v>44594</v>
      </c>
      <c r="B34" s="139" t="s">
        <v>158</v>
      </c>
      <c r="C34" s="103">
        <v>100</v>
      </c>
      <c r="D34" s="103">
        <v>0</v>
      </c>
      <c r="E34" s="103">
        <v>1323.18</v>
      </c>
      <c r="F34" s="145" t="s">
        <v>248</v>
      </c>
    </row>
    <row r="35" spans="1:6" ht="20.100000000000001" customHeight="1" x14ac:dyDescent="0.25">
      <c r="A35" s="138">
        <v>44593</v>
      </c>
      <c r="B35" s="140" t="s">
        <v>158</v>
      </c>
      <c r="C35" s="123">
        <v>0.1</v>
      </c>
      <c r="D35" s="123">
        <v>0</v>
      </c>
      <c r="E35" s="123">
        <v>1323.28</v>
      </c>
      <c r="F35" s="142" t="s">
        <v>160</v>
      </c>
    </row>
    <row r="36" spans="1:6" x14ac:dyDescent="0.25">
      <c r="A36" s="138">
        <v>44623</v>
      </c>
      <c r="B36" s="143" t="s">
        <v>158</v>
      </c>
      <c r="C36" s="123">
        <v>100</v>
      </c>
      <c r="D36" s="123">
        <v>0</v>
      </c>
      <c r="E36" s="123">
        <f>E35+Tabla12[[#This Row],[Credito]]</f>
        <v>1423.28</v>
      </c>
      <c r="F36" s="144" t="s">
        <v>247</v>
      </c>
    </row>
    <row r="37" spans="1:6" x14ac:dyDescent="0.25">
      <c r="A37" s="137" t="s">
        <v>255</v>
      </c>
      <c r="B37" s="169" t="s">
        <v>158</v>
      </c>
      <c r="C37" s="103">
        <v>0.12</v>
      </c>
      <c r="D37" s="103">
        <v>0</v>
      </c>
      <c r="E37" s="103">
        <f>E36+Tabla12[[#This Row],[Credito]]</f>
        <v>1423.3999999999999</v>
      </c>
      <c r="F37" s="168" t="s">
        <v>160</v>
      </c>
    </row>
    <row r="38" spans="1:6" x14ac:dyDescent="0.25">
      <c r="A38" s="138" t="s">
        <v>255</v>
      </c>
      <c r="B38" s="171" t="s">
        <v>148</v>
      </c>
      <c r="C38" s="123"/>
      <c r="D38" s="123">
        <v>-1020</v>
      </c>
      <c r="E38" s="123">
        <f>E37+Tabla12[[#This Row],[Debito]]</f>
        <v>403.39999999999986</v>
      </c>
      <c r="F38" s="170" t="s">
        <v>256</v>
      </c>
    </row>
    <row r="39" spans="1:6" x14ac:dyDescent="0.25">
      <c r="A39" s="138">
        <v>44687</v>
      </c>
      <c r="B39" s="179" t="s">
        <v>158</v>
      </c>
      <c r="C39" s="123">
        <v>100</v>
      </c>
      <c r="D39" s="123">
        <v>0</v>
      </c>
      <c r="E39" s="123">
        <f>E38+Tabla12[[#This Row],[Credito]]</f>
        <v>503.39999999999986</v>
      </c>
      <c r="F39" s="180" t="s">
        <v>265</v>
      </c>
    </row>
    <row r="40" spans="1:6" x14ac:dyDescent="0.25">
      <c r="A40" s="138">
        <v>44687</v>
      </c>
      <c r="B40" s="179" t="s">
        <v>158</v>
      </c>
      <c r="C40" s="123">
        <v>100</v>
      </c>
      <c r="D40" s="123">
        <v>0</v>
      </c>
      <c r="E40" s="123">
        <f>E39+Tabla12[[#This Row],[Credito]]</f>
        <v>603.39999999999986</v>
      </c>
      <c r="F40" s="180" t="s">
        <v>266</v>
      </c>
    </row>
    <row r="41" spans="1:6" x14ac:dyDescent="0.25">
      <c r="A41" s="138">
        <v>44713</v>
      </c>
      <c r="B41" s="181" t="s">
        <v>158</v>
      </c>
      <c r="C41" s="123">
        <v>100</v>
      </c>
      <c r="D41" s="123">
        <v>0</v>
      </c>
      <c r="E41" s="123">
        <f>E40+Tabla12[[#This Row],[Credito]]</f>
        <v>703.39999999999986</v>
      </c>
      <c r="F41" s="182" t="s">
        <v>271</v>
      </c>
    </row>
    <row r="42" spans="1:6" x14ac:dyDescent="0.25">
      <c r="A42" s="183">
        <v>44761</v>
      </c>
      <c r="B42" s="184" t="s">
        <v>158</v>
      </c>
      <c r="C42" s="123">
        <v>200</v>
      </c>
      <c r="D42" s="123">
        <v>0</v>
      </c>
      <c r="E42" s="123">
        <f>E41+Tabla12[[#This Row],[Credito]]</f>
        <v>903.39999999999986</v>
      </c>
      <c r="F42" s="185" t="s">
        <v>274</v>
      </c>
    </row>
    <row r="43" spans="1:6" x14ac:dyDescent="0.25">
      <c r="A43" s="138">
        <v>44776</v>
      </c>
      <c r="B43" s="187" t="s">
        <v>158</v>
      </c>
      <c r="C43" s="123">
        <v>200</v>
      </c>
      <c r="D43" s="123">
        <v>0</v>
      </c>
      <c r="E43" s="123">
        <f>E42+Tabla12[[#This Row],[Credito]]</f>
        <v>1103.3999999999999</v>
      </c>
      <c r="F43" s="188" t="s">
        <v>274</v>
      </c>
    </row>
    <row r="44" spans="1:6" x14ac:dyDescent="0.25">
      <c r="A44" s="138">
        <v>44811</v>
      </c>
      <c r="B44" s="191" t="s">
        <v>158</v>
      </c>
      <c r="C44" s="123">
        <v>200</v>
      </c>
      <c r="D44" s="123">
        <v>0</v>
      </c>
      <c r="E44" s="123">
        <f>E43+Tabla12[[#This Row],[Credito]]</f>
        <v>1303.3999999999999</v>
      </c>
      <c r="F44" s="192" t="s">
        <v>274</v>
      </c>
    </row>
    <row r="45" spans="1:6" x14ac:dyDescent="0.25">
      <c r="A45" s="138">
        <v>44957</v>
      </c>
      <c r="B45" s="235"/>
      <c r="C45" s="123"/>
      <c r="D45" s="123"/>
      <c r="E45" s="123">
        <v>1305.07</v>
      </c>
      <c r="F45" s="142"/>
    </row>
    <row r="46" spans="1:6" x14ac:dyDescent="0.25">
      <c r="A46" s="138">
        <v>44998</v>
      </c>
      <c r="B46" s="272" t="s">
        <v>148</v>
      </c>
      <c r="C46" s="123"/>
      <c r="D46" s="123">
        <v>-1000</v>
      </c>
      <c r="E46" s="123">
        <f>E45+Tabla12[[#This Row],[Debito]]</f>
        <v>305.06999999999994</v>
      </c>
      <c r="F46" s="273" t="s">
        <v>154</v>
      </c>
    </row>
    <row r="47" spans="1:6" x14ac:dyDescent="0.25">
      <c r="A47" s="138">
        <v>45058</v>
      </c>
      <c r="B47" s="300" t="s">
        <v>148</v>
      </c>
      <c r="C47" s="123"/>
      <c r="D47" s="123">
        <v>-300</v>
      </c>
      <c r="E47" s="123">
        <f>E46+Tabla12[[#This Row],[Debito]]</f>
        <v>5.0699999999999363</v>
      </c>
      <c r="F47" s="301" t="s">
        <v>154</v>
      </c>
    </row>
    <row r="48" spans="1:6" x14ac:dyDescent="0.25">
      <c r="A48" s="138">
        <v>45064</v>
      </c>
      <c r="B48" s="140"/>
      <c r="C48" s="123">
        <v>200</v>
      </c>
      <c r="D48" s="123">
        <v>0</v>
      </c>
      <c r="E48" s="123">
        <f>Tabla12[[#This Row],[Credito]]+E47</f>
        <v>205.06999999999994</v>
      </c>
      <c r="F48" s="301" t="s">
        <v>515</v>
      </c>
    </row>
    <row r="49" spans="1:6" x14ac:dyDescent="0.25">
      <c r="A49" s="138">
        <v>45084</v>
      </c>
      <c r="B49" s="316" t="s">
        <v>158</v>
      </c>
      <c r="C49" s="123">
        <v>200</v>
      </c>
      <c r="D49" s="123">
        <v>0</v>
      </c>
      <c r="E49" s="123">
        <f>E48+Tabla12[[#This Row],[Credito]]</f>
        <v>405.06999999999994</v>
      </c>
      <c r="F49" s="317" t="s">
        <v>568</v>
      </c>
    </row>
    <row r="50" spans="1:6" x14ac:dyDescent="0.25">
      <c r="A50" s="138">
        <v>45085</v>
      </c>
      <c r="B50" s="316" t="s">
        <v>158</v>
      </c>
      <c r="C50" s="123">
        <v>0.24</v>
      </c>
      <c r="D50" s="123">
        <v>0</v>
      </c>
      <c r="E50" s="123">
        <f>E49+Tabla12[[#This Row],[Credito]]</f>
        <v>405.30999999999995</v>
      </c>
      <c r="F50" s="317" t="s">
        <v>569</v>
      </c>
    </row>
    <row r="51" spans="1:6" x14ac:dyDescent="0.25">
      <c r="A51" s="138">
        <v>45125</v>
      </c>
      <c r="B51" s="318" t="s">
        <v>158</v>
      </c>
      <c r="C51" s="123">
        <v>200</v>
      </c>
      <c r="D51" s="123">
        <v>0</v>
      </c>
      <c r="E51" s="123">
        <f>E50+Tabla12[[#This Row],[Credito]]</f>
        <v>605.30999999999995</v>
      </c>
      <c r="F51" s="319" t="s">
        <v>568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8">
    <tabColor rgb="FF92D050"/>
  </sheetPr>
  <dimension ref="A1:F19"/>
  <sheetViews>
    <sheetView topLeftCell="A13" zoomScale="90" zoomScaleNormal="90" workbookViewId="0">
      <selection activeCell="E18" sqref="E18"/>
    </sheetView>
  </sheetViews>
  <sheetFormatPr baseColWidth="10" defaultColWidth="8" defaultRowHeight="15" x14ac:dyDescent="0.25"/>
  <cols>
    <col min="1" max="1" width="13.125" style="109" customWidth="1"/>
    <col min="2" max="2" width="13.125" style="129" customWidth="1"/>
    <col min="3" max="5" width="13.125" style="133" customWidth="1"/>
    <col min="6" max="6" width="105" style="120" customWidth="1"/>
    <col min="7" max="16384" width="8" style="6"/>
  </cols>
  <sheetData>
    <row r="1" spans="1:6" ht="30" customHeight="1" x14ac:dyDescent="0.25">
      <c r="A1" s="124" t="s">
        <v>141</v>
      </c>
      <c r="B1" s="127" t="s">
        <v>142</v>
      </c>
      <c r="C1" s="130" t="s">
        <v>143</v>
      </c>
      <c r="D1" s="130" t="s">
        <v>144</v>
      </c>
      <c r="E1" s="130" t="s">
        <v>145</v>
      </c>
      <c r="F1" s="134" t="s">
        <v>131</v>
      </c>
    </row>
    <row r="2" spans="1:6" ht="20.100000000000001" customHeight="1" x14ac:dyDescent="0.25">
      <c r="A2" s="125">
        <v>42005</v>
      </c>
      <c r="B2" s="7" t="s">
        <v>146</v>
      </c>
      <c r="C2" s="97">
        <v>60000</v>
      </c>
      <c r="D2" s="97">
        <v>0</v>
      </c>
      <c r="E2" s="97">
        <v>60000</v>
      </c>
      <c r="F2" s="135" t="s">
        <v>161</v>
      </c>
    </row>
    <row r="3" spans="1:6" ht="20.100000000000001" customHeight="1" x14ac:dyDescent="0.25">
      <c r="A3" s="125">
        <v>42754</v>
      </c>
      <c r="B3" s="7" t="s">
        <v>146</v>
      </c>
      <c r="C3" s="97">
        <v>1650</v>
      </c>
      <c r="D3" s="97">
        <v>0</v>
      </c>
      <c r="E3" s="97">
        <v>61650</v>
      </c>
      <c r="F3" s="135"/>
    </row>
    <row r="4" spans="1:6" ht="20.100000000000001" customHeight="1" x14ac:dyDescent="0.25">
      <c r="A4" s="125">
        <v>43045</v>
      </c>
      <c r="B4" s="7" t="s">
        <v>146</v>
      </c>
      <c r="C4" s="97">
        <v>1000</v>
      </c>
      <c r="D4" s="97">
        <v>0</v>
      </c>
      <c r="E4" s="97">
        <v>62650</v>
      </c>
      <c r="F4" s="135" t="s">
        <v>162</v>
      </c>
    </row>
    <row r="5" spans="1:6" ht="20.100000000000001" customHeight="1" x14ac:dyDescent="0.25">
      <c r="A5" s="125">
        <v>43242</v>
      </c>
      <c r="B5" s="7" t="s">
        <v>146</v>
      </c>
      <c r="C5" s="97">
        <v>10000</v>
      </c>
      <c r="D5" s="97">
        <v>0</v>
      </c>
      <c r="E5" s="97">
        <v>72650</v>
      </c>
      <c r="F5" s="135" t="s">
        <v>163</v>
      </c>
    </row>
    <row r="6" spans="1:6" ht="20.100000000000001" customHeight="1" x14ac:dyDescent="0.25">
      <c r="A6" s="125">
        <v>43433</v>
      </c>
      <c r="B6" s="7" t="s">
        <v>148</v>
      </c>
      <c r="C6" s="97">
        <v>0</v>
      </c>
      <c r="D6" s="97">
        <v>-5200</v>
      </c>
      <c r="E6" s="97">
        <v>67450</v>
      </c>
      <c r="F6" s="135" t="s">
        <v>164</v>
      </c>
    </row>
    <row r="7" spans="1:6" ht="20.100000000000001" customHeight="1" x14ac:dyDescent="0.25">
      <c r="A7" s="125">
        <v>43711</v>
      </c>
      <c r="B7" s="7" t="s">
        <v>146</v>
      </c>
      <c r="C7" s="97">
        <v>7500</v>
      </c>
      <c r="D7" s="97">
        <v>0</v>
      </c>
      <c r="E7" s="97">
        <v>74950</v>
      </c>
      <c r="F7" s="135" t="s">
        <v>165</v>
      </c>
    </row>
    <row r="8" spans="1:6" ht="20.100000000000001" customHeight="1" x14ac:dyDescent="0.25">
      <c r="A8" s="125">
        <v>43817</v>
      </c>
      <c r="B8" s="7" t="s">
        <v>146</v>
      </c>
      <c r="C8" s="97">
        <v>400</v>
      </c>
      <c r="D8" s="97">
        <v>0</v>
      </c>
      <c r="E8" s="97">
        <v>75350</v>
      </c>
      <c r="F8" s="135" t="s">
        <v>166</v>
      </c>
    </row>
    <row r="9" spans="1:6" ht="20.100000000000001" customHeight="1" x14ac:dyDescent="0.25">
      <c r="A9" s="125">
        <v>43819</v>
      </c>
      <c r="B9" s="7" t="s">
        <v>146</v>
      </c>
      <c r="C9" s="97">
        <v>400</v>
      </c>
      <c r="D9" s="97">
        <v>0</v>
      </c>
      <c r="E9" s="97">
        <v>75750</v>
      </c>
      <c r="F9" s="135" t="s">
        <v>167</v>
      </c>
    </row>
    <row r="10" spans="1:6" ht="20.100000000000001" customHeight="1" x14ac:dyDescent="0.25">
      <c r="A10" s="125">
        <v>43819</v>
      </c>
      <c r="B10" s="7" t="s">
        <v>146</v>
      </c>
      <c r="C10" s="97">
        <v>22000</v>
      </c>
      <c r="D10" s="97">
        <v>0</v>
      </c>
      <c r="E10" s="97">
        <v>97750</v>
      </c>
      <c r="F10" s="135" t="s">
        <v>168</v>
      </c>
    </row>
    <row r="11" spans="1:6" ht="20.100000000000001" customHeight="1" x14ac:dyDescent="0.25">
      <c r="A11" s="125">
        <v>44188</v>
      </c>
      <c r="B11" s="7" t="s">
        <v>146</v>
      </c>
      <c r="C11" s="97">
        <v>0</v>
      </c>
      <c r="D11" s="97">
        <v>-1500</v>
      </c>
      <c r="E11" s="97">
        <v>96250</v>
      </c>
      <c r="F11" s="135" t="s">
        <v>169</v>
      </c>
    </row>
    <row r="12" spans="1:6" ht="20.100000000000001" customHeight="1" x14ac:dyDescent="0.25">
      <c r="A12" s="126">
        <v>44308</v>
      </c>
      <c r="B12" s="128" t="s">
        <v>146</v>
      </c>
      <c r="C12" s="131">
        <v>4500</v>
      </c>
      <c r="D12" s="131">
        <v>0</v>
      </c>
      <c r="E12" s="131">
        <v>100750</v>
      </c>
      <c r="F12" s="136" t="s">
        <v>170</v>
      </c>
    </row>
    <row r="13" spans="1:6" ht="30" customHeight="1" x14ac:dyDescent="0.25">
      <c r="A13" s="200">
        <v>44901</v>
      </c>
      <c r="B13" s="201" t="s">
        <v>153</v>
      </c>
      <c r="C13" s="202">
        <v>0</v>
      </c>
      <c r="D13" s="202">
        <v>-85000</v>
      </c>
      <c r="E13" s="202">
        <f>E12+Tabla17[[#This Row],[Debito]]</f>
        <v>15750</v>
      </c>
      <c r="F13" s="203" t="s">
        <v>311</v>
      </c>
    </row>
    <row r="14" spans="1:6" ht="30" customHeight="1" x14ac:dyDescent="0.25">
      <c r="A14" s="200">
        <v>44901</v>
      </c>
      <c r="B14" s="201" t="s">
        <v>153</v>
      </c>
      <c r="C14" s="202">
        <v>0</v>
      </c>
      <c r="D14" s="202">
        <v>-2550</v>
      </c>
      <c r="E14" s="202">
        <f>E13+Tabla17[[#This Row],[Debito]]</f>
        <v>13200</v>
      </c>
      <c r="F14" s="206" t="s">
        <v>318</v>
      </c>
    </row>
    <row r="15" spans="1:6" ht="30" customHeight="1" x14ac:dyDescent="0.25">
      <c r="A15" s="126">
        <v>44901</v>
      </c>
      <c r="B15" s="205" t="s">
        <v>146</v>
      </c>
      <c r="C15" s="131">
        <v>7500</v>
      </c>
      <c r="D15" s="131">
        <v>0</v>
      </c>
      <c r="E15" s="131">
        <f>E14+Tabla17[[#This Row],[Credito]]</f>
        <v>20700</v>
      </c>
      <c r="F15" s="207" t="s">
        <v>319</v>
      </c>
    </row>
    <row r="16" spans="1:6" ht="30" customHeight="1" x14ac:dyDescent="0.25">
      <c r="A16" s="126">
        <v>45049</v>
      </c>
      <c r="B16" s="282" t="s">
        <v>146</v>
      </c>
      <c r="C16" s="131">
        <v>2000</v>
      </c>
      <c r="D16" s="131">
        <v>0</v>
      </c>
      <c r="E16" s="131">
        <v>22700</v>
      </c>
      <c r="F16" s="283" t="s">
        <v>418</v>
      </c>
    </row>
    <row r="17" spans="1:6" ht="30" customHeight="1" x14ac:dyDescent="0.25">
      <c r="A17" s="126">
        <v>45058</v>
      </c>
      <c r="B17" s="302" t="s">
        <v>146</v>
      </c>
      <c r="C17" s="131">
        <v>300</v>
      </c>
      <c r="D17" s="131">
        <v>0</v>
      </c>
      <c r="E17" s="131">
        <v>23000</v>
      </c>
      <c r="F17" s="303" t="s">
        <v>513</v>
      </c>
    </row>
    <row r="18" spans="1:6" ht="30" customHeight="1" x14ac:dyDescent="0.25">
      <c r="A18" s="108"/>
      <c r="B18" s="11"/>
      <c r="C18" s="132"/>
      <c r="D18" s="132"/>
      <c r="E18" s="132"/>
      <c r="F18" s="119"/>
    </row>
    <row r="19" spans="1:6" ht="30" customHeight="1" x14ac:dyDescent="0.25">
      <c r="A19" s="108"/>
      <c r="B19" s="11"/>
      <c r="C19" s="132"/>
      <c r="D19" s="132"/>
      <c r="E19" s="132"/>
      <c r="F19" s="119"/>
    </row>
  </sheetData>
  <pageMargins left="0.75" right="0.75" top="1" bottom="1" header="0.5" footer="0.5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9">
    <tabColor theme="8" tint="-0.249977111117893"/>
  </sheetPr>
  <dimension ref="B1:Q56"/>
  <sheetViews>
    <sheetView topLeftCell="B6" zoomScale="90" zoomScaleNormal="90" workbookViewId="0">
      <selection activeCell="P12" sqref="P12"/>
    </sheetView>
  </sheetViews>
  <sheetFormatPr baseColWidth="10" defaultColWidth="10" defaultRowHeight="12.75" x14ac:dyDescent="0.2"/>
  <cols>
    <col min="1" max="1" width="2.75" style="29" customWidth="1"/>
    <col min="2" max="2" width="31.25" style="29" customWidth="1"/>
    <col min="3" max="5" width="11.125" style="29" customWidth="1"/>
    <col min="6" max="6" width="11.125" style="28" customWidth="1"/>
    <col min="7" max="14" width="11.125" style="29" customWidth="1"/>
    <col min="15" max="15" width="18.125" style="29" customWidth="1"/>
    <col min="16" max="16" width="34" style="29" customWidth="1"/>
    <col min="17" max="17" width="18.125" style="29" customWidth="1"/>
    <col min="18" max="18" width="10" style="29"/>
    <col min="19" max="19" width="23.25" style="29" customWidth="1"/>
    <col min="20" max="16384" width="10" style="29"/>
  </cols>
  <sheetData>
    <row r="1" spans="2:16" ht="13.5" thickBot="1" x14ac:dyDescent="0.25"/>
    <row r="2" spans="2:16" ht="12.75" customHeight="1" x14ac:dyDescent="0.2">
      <c r="B2" s="374" t="s">
        <v>171</v>
      </c>
      <c r="C2" s="375"/>
      <c r="D2" s="375"/>
      <c r="E2" s="375"/>
      <c r="F2" s="375"/>
      <c r="G2" s="375"/>
      <c r="H2" s="375"/>
      <c r="I2" s="376"/>
      <c r="K2" s="383">
        <v>2023</v>
      </c>
      <c r="L2" s="384"/>
    </row>
    <row r="3" spans="2:16" ht="12.75" customHeight="1" x14ac:dyDescent="0.2">
      <c r="B3" s="377"/>
      <c r="C3" s="378"/>
      <c r="D3" s="378"/>
      <c r="E3" s="378"/>
      <c r="F3" s="378"/>
      <c r="G3" s="378"/>
      <c r="H3" s="378"/>
      <c r="I3" s="379"/>
      <c r="K3" s="385"/>
      <c r="L3" s="386"/>
    </row>
    <row r="4" spans="2:16" ht="12.75" customHeight="1" x14ac:dyDescent="0.2">
      <c r="B4" s="377"/>
      <c r="C4" s="378"/>
      <c r="D4" s="378"/>
      <c r="E4" s="378"/>
      <c r="F4" s="378"/>
      <c r="G4" s="378"/>
      <c r="H4" s="378"/>
      <c r="I4" s="379"/>
      <c r="K4" s="385"/>
      <c r="L4" s="386"/>
    </row>
    <row r="5" spans="2:16" ht="12.75" customHeight="1" x14ac:dyDescent="0.2">
      <c r="B5" s="377"/>
      <c r="C5" s="378"/>
      <c r="D5" s="378"/>
      <c r="E5" s="378"/>
      <c r="F5" s="378"/>
      <c r="G5" s="378"/>
      <c r="H5" s="378"/>
      <c r="I5" s="379"/>
      <c r="K5" s="385"/>
      <c r="L5" s="386"/>
    </row>
    <row r="6" spans="2:16" ht="12.75" customHeight="1" thickBot="1" x14ac:dyDescent="0.25">
      <c r="B6" s="380"/>
      <c r="C6" s="381"/>
      <c r="D6" s="381"/>
      <c r="E6" s="381"/>
      <c r="F6" s="381"/>
      <c r="G6" s="381"/>
      <c r="H6" s="381"/>
      <c r="I6" s="382"/>
      <c r="K6" s="387"/>
      <c r="L6" s="388"/>
    </row>
    <row r="7" spans="2:16" ht="12.75" customHeight="1" x14ac:dyDescent="0.2">
      <c r="B7" s="67"/>
      <c r="C7" s="67"/>
      <c r="D7" s="67"/>
      <c r="E7" s="67"/>
      <c r="F7" s="67"/>
      <c r="G7" s="67"/>
      <c r="H7" s="67"/>
      <c r="I7" s="67"/>
      <c r="K7" s="204"/>
      <c r="L7" s="68"/>
    </row>
    <row r="8" spans="2:16" ht="30" customHeight="1" x14ac:dyDescent="0.2">
      <c r="B8" s="389" t="s">
        <v>172</v>
      </c>
      <c r="C8" s="390"/>
      <c r="D8" s="390"/>
      <c r="E8" s="390"/>
      <c r="F8" s="390"/>
      <c r="G8" s="390"/>
      <c r="H8" s="390"/>
      <c r="I8" s="390"/>
      <c r="J8" s="390"/>
      <c r="K8" s="390"/>
      <c r="L8" s="391"/>
    </row>
    <row r="9" spans="2:16" ht="12.75" customHeight="1" x14ac:dyDescent="0.2">
      <c r="B9" s="67"/>
      <c r="C9" s="67"/>
      <c r="D9" s="67"/>
      <c r="E9" s="67"/>
      <c r="F9" s="67"/>
      <c r="G9" s="67"/>
      <c r="H9" s="67"/>
      <c r="I9" s="67"/>
      <c r="K9" s="69"/>
      <c r="L9" s="69"/>
    </row>
    <row r="10" spans="2:16" ht="12.75" customHeight="1" thickBot="1" x14ac:dyDescent="0.25">
      <c r="B10" s="67"/>
      <c r="C10" s="67"/>
      <c r="D10" s="67"/>
      <c r="E10" s="67"/>
      <c r="F10" s="67"/>
      <c r="G10" s="67"/>
      <c r="H10" s="67"/>
      <c r="I10" s="67"/>
      <c r="K10" s="69"/>
      <c r="L10" s="69"/>
    </row>
    <row r="11" spans="2:16" ht="39.950000000000003" customHeight="1" thickBot="1" x14ac:dyDescent="0.25">
      <c r="B11" s="70" t="s">
        <v>92</v>
      </c>
      <c r="C11" s="21" t="s">
        <v>74</v>
      </c>
      <c r="D11" s="21" t="s">
        <v>75</v>
      </c>
      <c r="E11" s="21" t="s">
        <v>76</v>
      </c>
      <c r="F11" s="21" t="s">
        <v>77</v>
      </c>
      <c r="G11" s="21" t="s">
        <v>78</v>
      </c>
      <c r="H11" s="21" t="s">
        <v>79</v>
      </c>
      <c r="I11" s="21" t="s">
        <v>80</v>
      </c>
      <c r="J11" s="21" t="s">
        <v>81</v>
      </c>
      <c r="K11" s="21" t="s">
        <v>82</v>
      </c>
      <c r="L11" s="21" t="s">
        <v>83</v>
      </c>
      <c r="M11" s="21" t="s">
        <v>84</v>
      </c>
      <c r="N11" s="21" t="s">
        <v>85</v>
      </c>
      <c r="O11" s="71" t="s">
        <v>173</v>
      </c>
    </row>
    <row r="12" spans="2:16" ht="30" customHeight="1" x14ac:dyDescent="0.2">
      <c r="B12" s="72" t="s">
        <v>174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73"/>
    </row>
    <row r="13" spans="2:16" ht="30" customHeight="1" x14ac:dyDescent="0.2">
      <c r="B13" s="74" t="s">
        <v>175</v>
      </c>
      <c r="C13" s="274">
        <v>738317.53</v>
      </c>
      <c r="D13" s="274">
        <v>64687.15</v>
      </c>
      <c r="E13" s="274">
        <v>848917</v>
      </c>
      <c r="F13" s="274">
        <v>546362.62</v>
      </c>
      <c r="G13" s="274">
        <v>485385.75</v>
      </c>
      <c r="H13" s="274">
        <v>155628.41</v>
      </c>
      <c r="I13" s="274">
        <v>261297.98</v>
      </c>
      <c r="J13" s="274"/>
      <c r="K13" s="274"/>
      <c r="L13" s="274"/>
      <c r="M13" s="274"/>
      <c r="N13" s="274"/>
      <c r="O13" s="149" t="s">
        <v>176</v>
      </c>
    </row>
    <row r="14" spans="2:16" ht="30" customHeight="1" x14ac:dyDescent="0.2">
      <c r="B14" s="147" t="s">
        <v>179</v>
      </c>
      <c r="C14" s="275">
        <v>1305.07</v>
      </c>
      <c r="D14" s="275">
        <v>1305.17</v>
      </c>
      <c r="E14" s="275">
        <v>305</v>
      </c>
      <c r="F14" s="275">
        <v>305.26</v>
      </c>
      <c r="G14" s="275">
        <v>205.28</v>
      </c>
      <c r="H14" s="275">
        <v>405.31</v>
      </c>
      <c r="I14" s="275">
        <v>605</v>
      </c>
      <c r="J14" s="275"/>
      <c r="K14" s="275"/>
      <c r="L14" s="275"/>
      <c r="M14" s="275"/>
      <c r="N14" s="275"/>
      <c r="O14" s="150" t="s">
        <v>180</v>
      </c>
    </row>
    <row r="15" spans="2:16" ht="30" customHeight="1" x14ac:dyDescent="0.2">
      <c r="B15" s="147" t="s">
        <v>181</v>
      </c>
      <c r="C15" s="275">
        <v>20700</v>
      </c>
      <c r="D15" s="275">
        <v>20700</v>
      </c>
      <c r="E15" s="275">
        <v>20700</v>
      </c>
      <c r="F15" s="275">
        <v>22700</v>
      </c>
      <c r="G15" s="275">
        <v>23000</v>
      </c>
      <c r="H15" s="275">
        <v>23000</v>
      </c>
      <c r="I15" s="275">
        <v>23000</v>
      </c>
      <c r="J15" s="275"/>
      <c r="K15" s="275"/>
      <c r="L15" s="275"/>
      <c r="M15" s="275"/>
      <c r="N15" s="275"/>
      <c r="O15" s="150"/>
      <c r="P15" s="75"/>
    </row>
    <row r="16" spans="2:16" ht="30" customHeight="1" thickBot="1" x14ac:dyDescent="0.25">
      <c r="B16" s="164" t="s">
        <v>182</v>
      </c>
      <c r="C16" s="276"/>
      <c r="D16" s="276">
        <v>500000</v>
      </c>
      <c r="E16" s="276">
        <v>1000000</v>
      </c>
      <c r="F16" s="276"/>
      <c r="G16" s="276"/>
      <c r="H16" s="276"/>
      <c r="I16" s="276"/>
      <c r="J16" s="276"/>
      <c r="K16" s="276"/>
      <c r="L16" s="276"/>
      <c r="M16" s="276"/>
      <c r="N16" s="276"/>
      <c r="O16" s="165"/>
    </row>
    <row r="17" spans="2:17" ht="30" customHeight="1" x14ac:dyDescent="0.2">
      <c r="B17" s="166" t="s">
        <v>183</v>
      </c>
      <c r="C17" s="277">
        <v>645</v>
      </c>
      <c r="D17" s="277">
        <v>645</v>
      </c>
      <c r="E17" s="277">
        <v>645</v>
      </c>
      <c r="F17" s="277">
        <v>0</v>
      </c>
      <c r="G17" s="277">
        <v>0</v>
      </c>
      <c r="H17" s="277">
        <v>0</v>
      </c>
      <c r="I17" s="277">
        <v>0</v>
      </c>
      <c r="J17" s="277"/>
      <c r="K17" s="277"/>
      <c r="L17" s="277"/>
      <c r="M17" s="277"/>
      <c r="N17" s="277">
        <v>0</v>
      </c>
      <c r="O17" s="167"/>
    </row>
    <row r="18" spans="2:17" ht="30" customHeight="1" thickBot="1" x14ac:dyDescent="0.25">
      <c r="B18" s="76" t="s">
        <v>184</v>
      </c>
      <c r="C18" s="278">
        <v>50</v>
      </c>
      <c r="D18" s="278">
        <v>50</v>
      </c>
      <c r="E18" s="278">
        <v>50</v>
      </c>
      <c r="F18" s="278">
        <v>50</v>
      </c>
      <c r="G18" s="278">
        <v>50</v>
      </c>
      <c r="H18" s="278">
        <v>50</v>
      </c>
      <c r="I18" s="278">
        <v>50</v>
      </c>
      <c r="J18" s="278">
        <v>50</v>
      </c>
      <c r="K18" s="278">
        <v>50</v>
      </c>
      <c r="L18" s="278">
        <v>50</v>
      </c>
      <c r="M18" s="279">
        <v>50</v>
      </c>
      <c r="N18" s="279">
        <v>50</v>
      </c>
      <c r="O18" s="151"/>
      <c r="P18" s="77"/>
      <c r="Q18" s="77"/>
    </row>
    <row r="19" spans="2:17" ht="30" customHeight="1" thickBot="1" x14ac:dyDescent="0.25">
      <c r="B19" s="78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80"/>
      <c r="N19" s="80"/>
      <c r="O19" s="81"/>
      <c r="P19" s="77"/>
      <c r="Q19" s="77"/>
    </row>
    <row r="20" spans="2:17" ht="30" customHeight="1" thickBot="1" x14ac:dyDescent="0.25">
      <c r="B20" s="82" t="s">
        <v>185</v>
      </c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4"/>
      <c r="N20" s="84"/>
      <c r="O20" s="85"/>
      <c r="P20" s="77"/>
      <c r="Q20" s="77"/>
    </row>
    <row r="21" spans="2:17" ht="30" customHeight="1" x14ac:dyDescent="0.2">
      <c r="B21" s="152" t="s">
        <v>177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46" t="s">
        <v>178</v>
      </c>
      <c r="P21" s="77"/>
      <c r="Q21" s="77"/>
    </row>
    <row r="22" spans="2:17" ht="23.25" customHeight="1" thickBot="1" x14ac:dyDescent="0.25"/>
    <row r="23" spans="2:17" ht="30" customHeight="1" thickBot="1" x14ac:dyDescent="0.25">
      <c r="B23" s="395" t="s">
        <v>186</v>
      </c>
      <c r="C23" s="396"/>
      <c r="D23" s="396"/>
      <c r="E23" s="396"/>
      <c r="F23" s="396"/>
      <c r="G23" s="396"/>
      <c r="H23" s="396"/>
      <c r="I23" s="396"/>
      <c r="J23" s="396"/>
      <c r="K23" s="396"/>
      <c r="L23" s="396"/>
      <c r="M23" s="396"/>
      <c r="N23" s="396"/>
      <c r="O23" s="397"/>
    </row>
    <row r="24" spans="2:17" ht="24.95" customHeight="1" x14ac:dyDescent="0.2">
      <c r="B24" s="392" t="s">
        <v>187</v>
      </c>
      <c r="C24" s="393"/>
      <c r="D24" s="393"/>
      <c r="E24" s="393"/>
      <c r="F24" s="393"/>
      <c r="G24" s="394" t="s">
        <v>272</v>
      </c>
      <c r="H24" s="394"/>
      <c r="I24" s="394"/>
      <c r="J24" s="398" t="s">
        <v>188</v>
      </c>
      <c r="K24" s="398"/>
      <c r="L24" s="398"/>
      <c r="M24" s="398"/>
      <c r="N24" s="398"/>
      <c r="O24" s="399"/>
      <c r="P24" s="87"/>
      <c r="Q24" s="87"/>
    </row>
    <row r="25" spans="2:17" ht="24.95" customHeight="1" x14ac:dyDescent="0.2">
      <c r="B25" s="359" t="s">
        <v>189</v>
      </c>
      <c r="C25" s="360"/>
      <c r="D25" s="360"/>
      <c r="E25" s="360"/>
      <c r="F25" s="360"/>
      <c r="G25" s="366" t="s">
        <v>190</v>
      </c>
      <c r="H25" s="366"/>
      <c r="I25" s="366"/>
      <c r="J25" s="370" t="s">
        <v>188</v>
      </c>
      <c r="K25" s="370"/>
      <c r="L25" s="370"/>
      <c r="M25" s="370"/>
      <c r="N25" s="370"/>
      <c r="O25" s="371"/>
      <c r="P25" s="87"/>
      <c r="Q25" s="87"/>
    </row>
    <row r="26" spans="2:17" ht="36" customHeight="1" thickBot="1" x14ac:dyDescent="0.25">
      <c r="B26" s="367" t="s">
        <v>191</v>
      </c>
      <c r="C26" s="368"/>
      <c r="D26" s="368"/>
      <c r="E26" s="368"/>
      <c r="F26" s="368"/>
      <c r="G26" s="369" t="s">
        <v>192</v>
      </c>
      <c r="H26" s="369"/>
      <c r="I26" s="369"/>
      <c r="J26" s="372" t="s">
        <v>193</v>
      </c>
      <c r="K26" s="372"/>
      <c r="L26" s="372"/>
      <c r="M26" s="372"/>
      <c r="N26" s="372"/>
      <c r="O26" s="373"/>
      <c r="P26" s="100"/>
    </row>
    <row r="27" spans="2:17" ht="36" customHeight="1" thickBot="1" x14ac:dyDescent="0.25">
      <c r="B27" s="367" t="s">
        <v>312</v>
      </c>
      <c r="C27" s="368"/>
      <c r="D27" s="368"/>
      <c r="E27" s="368"/>
      <c r="F27" s="368"/>
      <c r="G27" s="369" t="s">
        <v>313</v>
      </c>
      <c r="H27" s="369"/>
      <c r="I27" s="369"/>
      <c r="J27" s="372" t="s">
        <v>314</v>
      </c>
      <c r="K27" s="372"/>
      <c r="L27" s="372"/>
      <c r="M27" s="372"/>
      <c r="N27" s="372"/>
      <c r="O27" s="373"/>
      <c r="P27" s="100"/>
    </row>
    <row r="28" spans="2:17" ht="24.95" customHeight="1" x14ac:dyDescent="0.2">
      <c r="B28" s="153"/>
      <c r="C28" s="153"/>
      <c r="D28" s="153"/>
      <c r="E28" s="153"/>
      <c r="F28" s="153"/>
      <c r="G28" s="154"/>
      <c r="H28" s="154"/>
      <c r="I28" s="154"/>
      <c r="K28" s="87"/>
      <c r="L28" s="87"/>
      <c r="M28" s="87"/>
      <c r="N28" s="87"/>
      <c r="O28" s="28"/>
    </row>
    <row r="29" spans="2:17" ht="24.95" customHeight="1" thickBot="1" x14ac:dyDescent="0.25">
      <c r="E29" s="88"/>
      <c r="K29" s="87"/>
      <c r="L29" s="87"/>
      <c r="M29" s="87"/>
      <c r="N29" s="87"/>
      <c r="O29" s="75"/>
    </row>
    <row r="30" spans="2:17" ht="30" customHeight="1" thickBot="1" x14ac:dyDescent="0.25">
      <c r="B30" s="361" t="s">
        <v>194</v>
      </c>
      <c r="C30" s="362"/>
      <c r="D30" s="362"/>
      <c r="E30" s="362"/>
      <c r="F30" s="362"/>
      <c r="G30" s="362"/>
      <c r="H30" s="362"/>
      <c r="I30" s="362"/>
      <c r="J30" s="362"/>
      <c r="K30" s="362"/>
      <c r="L30" s="362"/>
      <c r="M30" s="362"/>
      <c r="N30" s="362"/>
      <c r="O30" s="363"/>
    </row>
    <row r="31" spans="2:17" ht="30" customHeight="1" x14ac:dyDescent="0.2">
      <c r="B31" s="349" t="s">
        <v>195</v>
      </c>
      <c r="C31" s="350"/>
      <c r="D31" s="350"/>
      <c r="E31" s="156" t="s">
        <v>196</v>
      </c>
      <c r="F31" s="157" t="s">
        <v>197</v>
      </c>
      <c r="G31" s="350" t="s">
        <v>198</v>
      </c>
      <c r="H31" s="350"/>
      <c r="I31" s="350"/>
      <c r="J31" s="350"/>
      <c r="K31" s="350"/>
      <c r="L31" s="350"/>
      <c r="M31" s="350"/>
      <c r="N31" s="350"/>
      <c r="O31" s="364"/>
      <c r="P31" s="89"/>
    </row>
    <row r="32" spans="2:17" ht="24.95" customHeight="1" x14ac:dyDescent="0.2">
      <c r="B32" s="351" t="s">
        <v>199</v>
      </c>
      <c r="C32" s="352"/>
      <c r="D32" s="352"/>
      <c r="E32" s="158" t="s">
        <v>200</v>
      </c>
      <c r="F32" s="159">
        <v>40360</v>
      </c>
      <c r="G32" s="354" t="s">
        <v>201</v>
      </c>
      <c r="H32" s="354"/>
      <c r="I32" s="354"/>
      <c r="J32" s="354"/>
      <c r="K32" s="354"/>
      <c r="L32" s="354"/>
      <c r="M32" s="354"/>
      <c r="N32" s="354"/>
      <c r="O32" s="365"/>
    </row>
    <row r="33" spans="2:15" ht="24.95" customHeight="1" x14ac:dyDescent="0.2">
      <c r="B33" s="353" t="s">
        <v>202</v>
      </c>
      <c r="C33" s="354"/>
      <c r="D33" s="354"/>
      <c r="E33" s="160" t="s">
        <v>203</v>
      </c>
      <c r="F33" s="161">
        <v>378000</v>
      </c>
      <c r="G33" s="354" t="s">
        <v>204</v>
      </c>
      <c r="H33" s="354"/>
      <c r="I33" s="354"/>
      <c r="J33" s="354"/>
      <c r="K33" s="354"/>
      <c r="L33" s="354"/>
      <c r="M33" s="354"/>
      <c r="N33" s="354"/>
      <c r="O33" s="365"/>
    </row>
    <row r="34" spans="2:15" ht="24.95" customHeight="1" thickBot="1" x14ac:dyDescent="0.25">
      <c r="B34" s="357" t="s">
        <v>205</v>
      </c>
      <c r="C34" s="358"/>
      <c r="D34" s="358"/>
      <c r="E34" s="162" t="s">
        <v>206</v>
      </c>
      <c r="F34" s="163">
        <v>300000</v>
      </c>
      <c r="G34" s="355" t="s">
        <v>207</v>
      </c>
      <c r="H34" s="355"/>
      <c r="I34" s="355"/>
      <c r="J34" s="355"/>
      <c r="K34" s="355"/>
      <c r="L34" s="355"/>
      <c r="M34" s="355"/>
      <c r="N34" s="355"/>
      <c r="O34" s="356"/>
    </row>
    <row r="35" spans="2:15" ht="24.95" customHeight="1" x14ac:dyDescent="0.2">
      <c r="B35" s="90"/>
      <c r="C35" s="86"/>
      <c r="D35" s="86"/>
      <c r="K35" s="87"/>
      <c r="L35" s="87"/>
      <c r="M35" s="87"/>
      <c r="N35" s="91"/>
      <c r="O35" s="92"/>
    </row>
    <row r="36" spans="2:15" ht="24.95" customHeight="1" x14ac:dyDescent="0.2">
      <c r="B36" s="90"/>
      <c r="C36" s="86"/>
      <c r="D36" s="86"/>
      <c r="K36" s="87"/>
      <c r="L36" s="87"/>
      <c r="M36" s="87"/>
      <c r="N36" s="87"/>
      <c r="O36" s="28"/>
    </row>
    <row r="37" spans="2:15" ht="24.95" customHeight="1" x14ac:dyDescent="0.2">
      <c r="B37" s="90"/>
      <c r="C37" s="86"/>
      <c r="D37" s="86"/>
      <c r="G37" s="93"/>
    </row>
    <row r="38" spans="2:15" ht="24.95" customHeight="1" x14ac:dyDescent="0.2">
      <c r="B38" s="348" t="s">
        <v>208</v>
      </c>
      <c r="C38" s="348"/>
      <c r="D38" s="348"/>
      <c r="G38" s="93"/>
    </row>
    <row r="39" spans="2:15" ht="24.95" customHeight="1" x14ac:dyDescent="0.2">
      <c r="B39" s="348"/>
      <c r="C39" s="348"/>
      <c r="D39" s="348"/>
      <c r="G39" s="93"/>
    </row>
    <row r="40" spans="2:15" ht="24.95" customHeight="1" x14ac:dyDescent="0.2">
      <c r="G40" s="93"/>
    </row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  <row r="56" ht="24.95" customHeight="1" x14ac:dyDescent="0.2"/>
  </sheetData>
  <mergeCells count="26">
    <mergeCell ref="B2:I6"/>
    <mergeCell ref="K2:L6"/>
    <mergeCell ref="B8:L8"/>
    <mergeCell ref="B24:F24"/>
    <mergeCell ref="G24:I24"/>
    <mergeCell ref="B23:O23"/>
    <mergeCell ref="J24:O24"/>
    <mergeCell ref="B25:F25"/>
    <mergeCell ref="B30:O30"/>
    <mergeCell ref="G31:O31"/>
    <mergeCell ref="G32:O32"/>
    <mergeCell ref="G33:O33"/>
    <mergeCell ref="G25:I25"/>
    <mergeCell ref="B26:F26"/>
    <mergeCell ref="G26:I26"/>
    <mergeCell ref="J25:O25"/>
    <mergeCell ref="J26:O26"/>
    <mergeCell ref="B27:F27"/>
    <mergeCell ref="G27:I27"/>
    <mergeCell ref="J27:O27"/>
    <mergeCell ref="B38:D39"/>
    <mergeCell ref="B31:D31"/>
    <mergeCell ref="B32:D32"/>
    <mergeCell ref="B33:D33"/>
    <mergeCell ref="G34:O34"/>
    <mergeCell ref="B34:D34"/>
  </mergeCell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18"/>
  <dimension ref="A2:L10"/>
  <sheetViews>
    <sheetView workbookViewId="0">
      <selection activeCell="A7" sqref="A7:L7"/>
    </sheetView>
  </sheetViews>
  <sheetFormatPr baseColWidth="10" defaultRowHeight="15.75" x14ac:dyDescent="0.25"/>
  <sheetData>
    <row r="2" spans="1:12" x14ac:dyDescent="0.25">
      <c r="A2" s="322" t="s">
        <v>251</v>
      </c>
      <c r="B2" s="322"/>
      <c r="C2" s="322"/>
      <c r="D2" s="322"/>
      <c r="E2" s="322"/>
      <c r="F2" s="322"/>
      <c r="G2" s="322"/>
      <c r="H2" s="322"/>
      <c r="I2" s="322"/>
    </row>
    <row r="3" spans="1:12" ht="15.75" customHeight="1" x14ac:dyDescent="0.25">
      <c r="A3" s="402" t="s">
        <v>259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</row>
    <row r="4" spans="1:12" ht="15.75" customHeight="1" x14ac:dyDescent="0.25">
      <c r="A4" s="402" t="s">
        <v>262</v>
      </c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</row>
    <row r="5" spans="1:12" x14ac:dyDescent="0.25">
      <c r="A5" s="402" t="s">
        <v>260</v>
      </c>
      <c r="B5" s="402"/>
      <c r="C5" s="402"/>
      <c r="D5" s="402"/>
      <c r="E5" s="402"/>
      <c r="F5" s="402"/>
      <c r="G5" s="402"/>
      <c r="H5" s="402"/>
      <c r="I5" s="402"/>
      <c r="J5" s="402"/>
      <c r="K5" s="402"/>
      <c r="L5" s="402"/>
    </row>
    <row r="6" spans="1:12" x14ac:dyDescent="0.25">
      <c r="A6" s="402" t="s">
        <v>514</v>
      </c>
      <c r="B6" s="402"/>
      <c r="C6" s="402"/>
      <c r="D6" s="402"/>
      <c r="E6" s="402"/>
      <c r="F6" s="402"/>
      <c r="G6" s="402"/>
      <c r="H6" s="402"/>
      <c r="I6" s="402"/>
      <c r="J6" s="402"/>
      <c r="K6" s="402"/>
      <c r="L6" s="402"/>
    </row>
    <row r="7" spans="1:12" x14ac:dyDescent="0.25">
      <c r="A7" s="402" t="s">
        <v>261</v>
      </c>
      <c r="B7" s="402"/>
      <c r="C7" s="402"/>
      <c r="D7" s="402"/>
      <c r="E7" s="402"/>
      <c r="F7" s="402"/>
      <c r="G7" s="402"/>
      <c r="H7" s="402"/>
      <c r="I7" s="402"/>
      <c r="J7" s="402"/>
      <c r="K7" s="402"/>
      <c r="L7" s="402"/>
    </row>
    <row r="8" spans="1:12" x14ac:dyDescent="0.25">
      <c r="A8" s="402"/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</row>
    <row r="9" spans="1:12" x14ac:dyDescent="0.25">
      <c r="A9" s="401"/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</row>
    <row r="10" spans="1:12" x14ac:dyDescent="0.25">
      <c r="A10" s="400"/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</row>
  </sheetData>
  <mergeCells count="9">
    <mergeCell ref="A10:L10"/>
    <mergeCell ref="A9:L9"/>
    <mergeCell ref="A4:L4"/>
    <mergeCell ref="A2:I2"/>
    <mergeCell ref="A3:L3"/>
    <mergeCell ref="A5:L5"/>
    <mergeCell ref="A6:L6"/>
    <mergeCell ref="A7:L7"/>
    <mergeCell ref="A8:L8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691AF-51C8-4F14-ADEB-FF9EAAA39C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35</vt:i4>
      </vt:variant>
    </vt:vector>
  </HeadingPairs>
  <TitlesOfParts>
    <vt:vector size="35" baseType="lpstr">
      <vt:lpstr>Menu</vt:lpstr>
      <vt:lpstr>Ene</vt:lpstr>
      <vt:lpstr>Ene_Debitos</vt:lpstr>
      <vt:lpstr>Ene_Creditos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Meses</vt:lpstr>
      <vt:lpstr>Abr</vt:lpstr>
      <vt:lpstr>Debitos</vt:lpstr>
      <vt:lpstr>Gastos_diarios</vt:lpstr>
      <vt:lpstr>Creditos</vt:lpstr>
      <vt:lpstr>Abr_Efectivo1</vt:lpstr>
      <vt:lpstr>Dic_Efectivo</vt:lpstr>
      <vt:lpstr>Dic_Debitos</vt:lpstr>
      <vt:lpstr>Dic_Creditos</vt:lpstr>
      <vt:lpstr>Ene_Efectivo</vt:lpstr>
      <vt:lpstr>Respuestas de formulario 1</vt:lpstr>
      <vt:lpstr>Totales</vt:lpstr>
      <vt:lpstr>Impuestos_2022</vt:lpstr>
      <vt:lpstr>Impuestos_2023</vt:lpstr>
      <vt:lpstr>Gastos</vt:lpstr>
      <vt:lpstr>Saldo_Mensual</vt:lpstr>
      <vt:lpstr>Prestamos</vt:lpstr>
      <vt:lpstr>Plazo Fijo</vt:lpstr>
      <vt:lpstr>CA Dolares</vt:lpstr>
      <vt:lpstr>CSeg Dolares</vt:lpstr>
      <vt:lpstr>Patrimonio</vt:lpstr>
      <vt:lpstr>Mensajes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2023-08-10T14:47:43Z</dcterms:modified>
</cp:coreProperties>
</file>